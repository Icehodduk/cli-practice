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_Data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커뮤니케이션북스" sheetId="4" state="visible" r:id="rId4"/>
    <sheet xmlns:r="http://schemas.openxmlformats.org/officeDocument/2006/relationships" name="한빛미디어" sheetId="5" state="visible" r:id="rId5"/>
    <sheet xmlns:r="http://schemas.openxmlformats.org/officeDocument/2006/relationships" name="길벗" sheetId="6" state="visible" r:id="rId6"/>
    <sheet xmlns:r="http://schemas.openxmlformats.org/officeDocument/2006/relationships" name="제이펍" sheetId="7" state="visible" r:id="rId7"/>
    <sheet xmlns:r="http://schemas.openxmlformats.org/officeDocument/2006/relationships" name="골든래빗" sheetId="8" state="visible" r:id="rId8"/>
    <sheet xmlns:r="http://schemas.openxmlformats.org/officeDocument/2006/relationships" name="앤써북" sheetId="9" state="visible" r:id="rId9"/>
    <sheet xmlns:r="http://schemas.openxmlformats.org/officeDocument/2006/relationships" name="위키북스" sheetId="10" state="visible" r:id="rId10"/>
    <sheet xmlns:r="http://schemas.openxmlformats.org/officeDocument/2006/relationships" name="기타_출판사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₩#,##0;(\₩#,##0);&quot;-&quot;"/>
    <numFmt numFmtId="165" formatCode="#,##0;(#,##0);&quot;-&quot;"/>
    <numFmt numFmtId="166" formatCode="0.0%"/>
    <numFmt numFmtId="167" formatCode="#,##0&quot; 권&quot;"/>
    <numFmt numFmtId="168" formatCode="₩#,##0"/>
    <numFmt numFmtId="169" formatCode="#,##0&quot; 건&quot;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000FF"/>
      <sz val="11"/>
    </font>
    <font>
      <name val="맑은 고딕"/>
      <color rgb="00000000"/>
      <sz val="11"/>
    </font>
    <font>
      <name val="맑은 고딕"/>
      <color rgb="00008000"/>
      <sz val="11"/>
    </font>
    <font>
      <name val="맑은 고딕"/>
      <b val="1"/>
      <color rgb="00000000"/>
      <sz val="11"/>
    </font>
    <font>
      <name val="맑은 고딕"/>
      <b val="1"/>
      <color rgb="00FFFFFF"/>
      <sz val="18"/>
    </font>
    <font>
      <name val="맑은 고딕"/>
      <b val="1"/>
      <color rgb="00555555"/>
      <sz val="9"/>
    </font>
    <font>
      <name val="맑은 고딕"/>
      <b val="1"/>
      <color rgb="00000000"/>
      <sz val="16"/>
    </font>
    <font>
      <name val="맑은 고딕"/>
      <color rgb="00555555"/>
      <sz val="9"/>
    </font>
    <font>
      <name val="맑은 고딕"/>
      <b val="1"/>
      <color rgb="001B365D"/>
      <sz val="14"/>
    </font>
    <font>
      <name val="맑은 고딕"/>
      <b val="1"/>
      <color rgb="00008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682B4"/>
        <bgColor rgb="004682B4"/>
      </patternFill>
    </fill>
    <fill>
      <patternFill patternType="solid">
        <fgColor rgb="00F0F4F8"/>
        <bgColor rgb="00F0F4F8"/>
      </patternFill>
    </fill>
    <fill>
      <patternFill patternType="solid">
        <fgColor rgb="00FFFFE0"/>
        <bgColor rgb="00FFFFE0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5" borderId="2" applyAlignment="1" pivotButton="0" quotePrefix="0" xfId="0">
      <alignment horizontal="left" vertical="center" wrapText="1"/>
    </xf>
    <xf numFmtId="167" fontId="8" fillId="4" borderId="2" applyAlignment="1" pivotButton="0" quotePrefix="0" xfId="0">
      <alignment horizontal="center" vertical="center"/>
    </xf>
    <xf numFmtId="168" fontId="8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169" fontId="8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165" fontId="11" fillId="0" borderId="3" applyAlignment="1" pivotButton="0" quotePrefix="0" xfId="0">
      <alignment horizontal="right" vertical="center"/>
    </xf>
    <xf numFmtId="164" fontId="11" fillId="0" borderId="3" applyAlignment="1" pivotButton="0" quotePrefix="0" xfId="0">
      <alignment horizontal="right" vertical="center"/>
    </xf>
    <xf numFmtId="166" fontId="11" fillId="0" borderId="3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주요 출판사별 도서 발행 건수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'Analysis_Data'!J1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'Analysis_Data'!$I$2:$I$16</f>
            </numRef>
          </cat>
          <val>
            <numRef>
              <f>'Analysis_Data'!$J$2:$J$16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출판사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도서 수 (권)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연도별 도서 발행 건수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'Analysis_Data'!$A$2:$A$15</f>
            </numRef>
          </cat>
          <val>
            <numRef>
              <f>'Analysis_Data'!$B$2:$B$15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발행연도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도서 수 (권)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30" customWidth="1" min="3" max="3"/>
    <col width="21" customWidth="1" min="4" max="4"/>
    <col width="30" customWidth="1" min="5" max="5"/>
    <col width="21" customWidth="1" min="6" max="6"/>
    <col width="26" customWidth="1" min="7" max="7"/>
    <col width="10" customWidth="1" min="8" max="8"/>
    <col width="15" customWidth="1" min="9" max="9"/>
    <col width="21" customWidth="1" min="10" max="10"/>
    <col width="50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 ht="40" customHeight="1">
      <c r="A1" s="1" t="inlineStr">
        <is>
          <t>YES24 도서 데이터 요약 대시보드</t>
        </is>
      </c>
    </row>
    <row r="2"/>
    <row r="3">
      <c r="A3" s="2" t="inlineStr">
        <is>
          <t>총 도서 등록 수</t>
        </is>
      </c>
      <c r="B3" s="3" t="n"/>
      <c r="C3" s="2" t="inlineStr">
        <is>
          <t>평균 도서 판매가</t>
        </is>
      </c>
      <c r="D3" s="3" t="n"/>
      <c r="E3" s="2" t="inlineStr">
        <is>
          <t>평균 도서 할인율</t>
        </is>
      </c>
      <c r="F3" s="3" t="n"/>
      <c r="G3" s="2" t="inlineStr">
        <is>
          <t>도서 누적 판매지수</t>
        </is>
      </c>
      <c r="H3" s="3" t="n"/>
      <c r="I3" s="2" t="inlineStr">
        <is>
          <t>도서 누적 리뷰 수</t>
        </is>
      </c>
      <c r="J3" s="3" t="n"/>
      <c r="K3" s="4" t="inlineStr">
        <is>
          <t>※ 참고 사항:
본 대시보드는 실시간 수식 연동형으로 구성되었습니다.
수식 결과는 검은색, 타 시트 참조 수식은 녹색,
수동 하드코딩 입력값은 파란색으로 표시되어 있습니다.</t>
        </is>
      </c>
      <c r="L3" s="3" t="n"/>
      <c r="M3" s="3" t="n"/>
      <c r="N3" s="3" t="n"/>
      <c r="O3" s="3" t="n"/>
    </row>
    <row r="4">
      <c r="A4" s="5">
        <f>COUNT(Raw_Data!A2:A1201)</f>
        <v/>
      </c>
      <c r="B4" s="3" t="n"/>
      <c r="C4" s="6">
        <f>AVERAGE(Raw_Data!F2:F1201)</f>
        <v/>
      </c>
      <c r="D4" s="3" t="n"/>
      <c r="E4" s="7">
        <f>AVERAGE(Raw_Data!K2:K1201)</f>
        <v/>
      </c>
      <c r="F4" s="3" t="n"/>
      <c r="G4" s="8">
        <f>SUM(Raw_Data!H2:H1201)</f>
        <v/>
      </c>
      <c r="H4" s="3" t="n"/>
      <c r="I4" s="9">
        <f>SUM(Raw_Data!G2:G1201)</f>
        <v/>
      </c>
      <c r="J4" s="3" t="n"/>
      <c r="K4" s="3" t="n"/>
      <c r="L4" s="3" t="n"/>
      <c r="M4" s="3" t="n"/>
      <c r="N4" s="3" t="n"/>
      <c r="O4" s="3" t="n"/>
    </row>
    <row r="5"/>
    <row r="6">
      <c r="A6" s="10" t="inlineStr">
        <is>
          <t>■ 주요 출판사별 요약 테이블 (Top 15)</t>
        </is>
      </c>
      <c r="I6" s="10" t="inlineStr">
        <is>
          <t>■ 연도별 도서 발행 추이 요약 테이블</t>
        </is>
      </c>
    </row>
    <row r="7">
      <c r="A7" s="11" t="inlineStr">
        <is>
          <t>출판사</t>
        </is>
      </c>
      <c r="B7" s="11" t="inlineStr">
        <is>
          <t>도서 수</t>
        </is>
      </c>
      <c r="C7" s="11" t="inlineStr">
        <is>
          <t>평균 정가</t>
        </is>
      </c>
      <c r="D7" s="11" t="inlineStr">
        <is>
          <t>평균 판매가</t>
        </is>
      </c>
      <c r="E7" s="11" t="inlineStr">
        <is>
          <t>평균 할인율</t>
        </is>
      </c>
      <c r="F7" s="11" t="inlineStr">
        <is>
          <t>판매지수 합계</t>
        </is>
      </c>
      <c r="G7" s="11" t="inlineStr">
        <is>
          <t>리뷰 수 합계</t>
        </is>
      </c>
      <c r="I7" s="11" t="inlineStr">
        <is>
          <t>발행연도</t>
        </is>
      </c>
      <c r="J7" s="11" t="inlineStr">
        <is>
          <t>도서 수</t>
        </is>
      </c>
      <c r="K7" s="11" t="inlineStr">
        <is>
          <t>평균 정가</t>
        </is>
      </c>
      <c r="L7" s="11" t="inlineStr">
        <is>
          <t>평균 판매가</t>
        </is>
      </c>
      <c r="M7" s="11" t="inlineStr">
        <is>
          <t>평균 할인율</t>
        </is>
      </c>
      <c r="N7" s="11" t="inlineStr">
        <is>
          <t>판매지수 합계</t>
        </is>
      </c>
      <c r="O7" s="11" t="inlineStr">
        <is>
          <t>리뷰 수 합계</t>
        </is>
      </c>
    </row>
    <row r="8">
      <c r="A8" s="12">
        <f>Analysis_Data!I2</f>
        <v/>
      </c>
      <c r="B8" s="13">
        <f>Analysis_Data!J2</f>
        <v/>
      </c>
      <c r="C8" s="14">
        <f>Analysis_Data!K2</f>
        <v/>
      </c>
      <c r="D8" s="14">
        <f>Analysis_Data!L2</f>
        <v/>
      </c>
      <c r="E8" s="15">
        <f>Analysis_Data!M2</f>
        <v/>
      </c>
      <c r="F8" s="13">
        <f>Analysis_Data!N2</f>
        <v/>
      </c>
      <c r="G8" s="13">
        <f>Analysis_Data!O2</f>
        <v/>
      </c>
      <c r="I8" s="16">
        <f>Analysis_Data!A2</f>
        <v/>
      </c>
      <c r="J8" s="13">
        <f>Analysis_Data!B2</f>
        <v/>
      </c>
      <c r="K8" s="14">
        <f>Analysis_Data!C2</f>
        <v/>
      </c>
      <c r="L8" s="14">
        <f>Analysis_Data!D2</f>
        <v/>
      </c>
      <c r="M8" s="15">
        <f>Analysis_Data!E2</f>
        <v/>
      </c>
      <c r="N8" s="13">
        <f>Analysis_Data!F2</f>
        <v/>
      </c>
      <c r="O8" s="13">
        <f>Analysis_Data!G2</f>
        <v/>
      </c>
    </row>
    <row r="9">
      <c r="A9" s="12">
        <f>Analysis_Data!I3</f>
        <v/>
      </c>
      <c r="B9" s="13">
        <f>Analysis_Data!J3</f>
        <v/>
      </c>
      <c r="C9" s="14">
        <f>Analysis_Data!K3</f>
        <v/>
      </c>
      <c r="D9" s="14">
        <f>Analysis_Data!L3</f>
        <v/>
      </c>
      <c r="E9" s="15">
        <f>Analysis_Data!M3</f>
        <v/>
      </c>
      <c r="F9" s="13">
        <f>Analysis_Data!N3</f>
        <v/>
      </c>
      <c r="G9" s="13">
        <f>Analysis_Data!O3</f>
        <v/>
      </c>
      <c r="I9" s="16">
        <f>Analysis_Data!A3</f>
        <v/>
      </c>
      <c r="J9" s="13">
        <f>Analysis_Data!B3</f>
        <v/>
      </c>
      <c r="K9" s="14">
        <f>Analysis_Data!C3</f>
        <v/>
      </c>
      <c r="L9" s="14">
        <f>Analysis_Data!D3</f>
        <v/>
      </c>
      <c r="M9" s="15">
        <f>Analysis_Data!E3</f>
        <v/>
      </c>
      <c r="N9" s="13">
        <f>Analysis_Data!F3</f>
        <v/>
      </c>
      <c r="O9" s="13">
        <f>Analysis_Data!G3</f>
        <v/>
      </c>
    </row>
    <row r="10">
      <c r="A10" s="12">
        <f>Analysis_Data!I4</f>
        <v/>
      </c>
      <c r="B10" s="13">
        <f>Analysis_Data!J4</f>
        <v/>
      </c>
      <c r="C10" s="14">
        <f>Analysis_Data!K4</f>
        <v/>
      </c>
      <c r="D10" s="14">
        <f>Analysis_Data!L4</f>
        <v/>
      </c>
      <c r="E10" s="15">
        <f>Analysis_Data!M4</f>
        <v/>
      </c>
      <c r="F10" s="13">
        <f>Analysis_Data!N4</f>
        <v/>
      </c>
      <c r="G10" s="13">
        <f>Analysis_Data!O4</f>
        <v/>
      </c>
      <c r="I10" s="16">
        <f>Analysis_Data!A4</f>
        <v/>
      </c>
      <c r="J10" s="13">
        <f>Analysis_Data!B4</f>
        <v/>
      </c>
      <c r="K10" s="14">
        <f>Analysis_Data!C4</f>
        <v/>
      </c>
      <c r="L10" s="14">
        <f>Analysis_Data!D4</f>
        <v/>
      </c>
      <c r="M10" s="15">
        <f>Analysis_Data!E4</f>
        <v/>
      </c>
      <c r="N10" s="13">
        <f>Analysis_Data!F4</f>
        <v/>
      </c>
      <c r="O10" s="13">
        <f>Analysis_Data!G4</f>
        <v/>
      </c>
    </row>
    <row r="11">
      <c r="A11" s="12">
        <f>Analysis_Data!I5</f>
        <v/>
      </c>
      <c r="B11" s="13">
        <f>Analysis_Data!J5</f>
        <v/>
      </c>
      <c r="C11" s="14">
        <f>Analysis_Data!K5</f>
        <v/>
      </c>
      <c r="D11" s="14">
        <f>Analysis_Data!L5</f>
        <v/>
      </c>
      <c r="E11" s="15">
        <f>Analysis_Data!M5</f>
        <v/>
      </c>
      <c r="F11" s="13">
        <f>Analysis_Data!N5</f>
        <v/>
      </c>
      <c r="G11" s="13">
        <f>Analysis_Data!O5</f>
        <v/>
      </c>
      <c r="I11" s="16">
        <f>Analysis_Data!A5</f>
        <v/>
      </c>
      <c r="J11" s="13">
        <f>Analysis_Data!B5</f>
        <v/>
      </c>
      <c r="K11" s="14">
        <f>Analysis_Data!C5</f>
        <v/>
      </c>
      <c r="L11" s="14">
        <f>Analysis_Data!D5</f>
        <v/>
      </c>
      <c r="M11" s="15">
        <f>Analysis_Data!E5</f>
        <v/>
      </c>
      <c r="N11" s="13">
        <f>Analysis_Data!F5</f>
        <v/>
      </c>
      <c r="O11" s="13">
        <f>Analysis_Data!G5</f>
        <v/>
      </c>
    </row>
    <row r="12">
      <c r="A12" s="12">
        <f>Analysis_Data!I6</f>
        <v/>
      </c>
      <c r="B12" s="13">
        <f>Analysis_Data!J6</f>
        <v/>
      </c>
      <c r="C12" s="14">
        <f>Analysis_Data!K6</f>
        <v/>
      </c>
      <c r="D12" s="14">
        <f>Analysis_Data!L6</f>
        <v/>
      </c>
      <c r="E12" s="15">
        <f>Analysis_Data!M6</f>
        <v/>
      </c>
      <c r="F12" s="13">
        <f>Analysis_Data!N6</f>
        <v/>
      </c>
      <c r="G12" s="13">
        <f>Analysis_Data!O6</f>
        <v/>
      </c>
      <c r="I12" s="16">
        <f>Analysis_Data!A6</f>
        <v/>
      </c>
      <c r="J12" s="13">
        <f>Analysis_Data!B6</f>
        <v/>
      </c>
      <c r="K12" s="14">
        <f>Analysis_Data!C6</f>
        <v/>
      </c>
      <c r="L12" s="14">
        <f>Analysis_Data!D6</f>
        <v/>
      </c>
      <c r="M12" s="15">
        <f>Analysis_Data!E6</f>
        <v/>
      </c>
      <c r="N12" s="13">
        <f>Analysis_Data!F6</f>
        <v/>
      </c>
      <c r="O12" s="13">
        <f>Analysis_Data!G6</f>
        <v/>
      </c>
    </row>
    <row r="13">
      <c r="A13" s="12">
        <f>Analysis_Data!I7</f>
        <v/>
      </c>
      <c r="B13" s="13">
        <f>Analysis_Data!J7</f>
        <v/>
      </c>
      <c r="C13" s="14">
        <f>Analysis_Data!K7</f>
        <v/>
      </c>
      <c r="D13" s="14">
        <f>Analysis_Data!L7</f>
        <v/>
      </c>
      <c r="E13" s="15">
        <f>Analysis_Data!M7</f>
        <v/>
      </c>
      <c r="F13" s="13">
        <f>Analysis_Data!N7</f>
        <v/>
      </c>
      <c r="G13" s="13">
        <f>Analysis_Data!O7</f>
        <v/>
      </c>
      <c r="I13" s="16">
        <f>Analysis_Data!A7</f>
        <v/>
      </c>
      <c r="J13" s="13">
        <f>Analysis_Data!B7</f>
        <v/>
      </c>
      <c r="K13" s="14">
        <f>Analysis_Data!C7</f>
        <v/>
      </c>
      <c r="L13" s="14">
        <f>Analysis_Data!D7</f>
        <v/>
      </c>
      <c r="M13" s="15">
        <f>Analysis_Data!E7</f>
        <v/>
      </c>
      <c r="N13" s="13">
        <f>Analysis_Data!F7</f>
        <v/>
      </c>
      <c r="O13" s="13">
        <f>Analysis_Data!G7</f>
        <v/>
      </c>
    </row>
    <row r="14">
      <c r="A14" s="12">
        <f>Analysis_Data!I8</f>
        <v/>
      </c>
      <c r="B14" s="13">
        <f>Analysis_Data!J8</f>
        <v/>
      </c>
      <c r="C14" s="14">
        <f>Analysis_Data!K8</f>
        <v/>
      </c>
      <c r="D14" s="14">
        <f>Analysis_Data!L8</f>
        <v/>
      </c>
      <c r="E14" s="15">
        <f>Analysis_Data!M8</f>
        <v/>
      </c>
      <c r="F14" s="13">
        <f>Analysis_Data!N8</f>
        <v/>
      </c>
      <c r="G14" s="13">
        <f>Analysis_Data!O8</f>
        <v/>
      </c>
      <c r="I14" s="16">
        <f>Analysis_Data!A8</f>
        <v/>
      </c>
      <c r="J14" s="13">
        <f>Analysis_Data!B8</f>
        <v/>
      </c>
      <c r="K14" s="14">
        <f>Analysis_Data!C8</f>
        <v/>
      </c>
      <c r="L14" s="14">
        <f>Analysis_Data!D8</f>
        <v/>
      </c>
      <c r="M14" s="15">
        <f>Analysis_Data!E8</f>
        <v/>
      </c>
      <c r="N14" s="13">
        <f>Analysis_Data!F8</f>
        <v/>
      </c>
      <c r="O14" s="13">
        <f>Analysis_Data!G8</f>
        <v/>
      </c>
    </row>
    <row r="15">
      <c r="A15" s="12">
        <f>Analysis_Data!I9</f>
        <v/>
      </c>
      <c r="B15" s="13">
        <f>Analysis_Data!J9</f>
        <v/>
      </c>
      <c r="C15" s="14">
        <f>Analysis_Data!K9</f>
        <v/>
      </c>
      <c r="D15" s="14">
        <f>Analysis_Data!L9</f>
        <v/>
      </c>
      <c r="E15" s="15">
        <f>Analysis_Data!M9</f>
        <v/>
      </c>
      <c r="F15" s="13">
        <f>Analysis_Data!N9</f>
        <v/>
      </c>
      <c r="G15" s="13">
        <f>Analysis_Data!O9</f>
        <v/>
      </c>
      <c r="I15" s="16">
        <f>Analysis_Data!A9</f>
        <v/>
      </c>
      <c r="J15" s="13">
        <f>Analysis_Data!B9</f>
        <v/>
      </c>
      <c r="K15" s="14">
        <f>Analysis_Data!C9</f>
        <v/>
      </c>
      <c r="L15" s="14">
        <f>Analysis_Data!D9</f>
        <v/>
      </c>
      <c r="M15" s="15">
        <f>Analysis_Data!E9</f>
        <v/>
      </c>
      <c r="N15" s="13">
        <f>Analysis_Data!F9</f>
        <v/>
      </c>
      <c r="O15" s="13">
        <f>Analysis_Data!G9</f>
        <v/>
      </c>
    </row>
    <row r="16">
      <c r="A16" s="12">
        <f>Analysis_Data!I10</f>
        <v/>
      </c>
      <c r="B16" s="13">
        <f>Analysis_Data!J10</f>
        <v/>
      </c>
      <c r="C16" s="14">
        <f>Analysis_Data!K10</f>
        <v/>
      </c>
      <c r="D16" s="14">
        <f>Analysis_Data!L10</f>
        <v/>
      </c>
      <c r="E16" s="15">
        <f>Analysis_Data!M10</f>
        <v/>
      </c>
      <c r="F16" s="13">
        <f>Analysis_Data!N10</f>
        <v/>
      </c>
      <c r="G16" s="13">
        <f>Analysis_Data!O10</f>
        <v/>
      </c>
      <c r="I16" s="16">
        <f>Analysis_Data!A10</f>
        <v/>
      </c>
      <c r="J16" s="13">
        <f>Analysis_Data!B10</f>
        <v/>
      </c>
      <c r="K16" s="14">
        <f>Analysis_Data!C10</f>
        <v/>
      </c>
      <c r="L16" s="14">
        <f>Analysis_Data!D10</f>
        <v/>
      </c>
      <c r="M16" s="15">
        <f>Analysis_Data!E10</f>
        <v/>
      </c>
      <c r="N16" s="13">
        <f>Analysis_Data!F10</f>
        <v/>
      </c>
      <c r="O16" s="13">
        <f>Analysis_Data!G10</f>
        <v/>
      </c>
    </row>
    <row r="17">
      <c r="A17" s="12">
        <f>Analysis_Data!I11</f>
        <v/>
      </c>
      <c r="B17" s="13">
        <f>Analysis_Data!J11</f>
        <v/>
      </c>
      <c r="C17" s="14">
        <f>Analysis_Data!K11</f>
        <v/>
      </c>
      <c r="D17" s="14">
        <f>Analysis_Data!L11</f>
        <v/>
      </c>
      <c r="E17" s="15">
        <f>Analysis_Data!M11</f>
        <v/>
      </c>
      <c r="F17" s="13">
        <f>Analysis_Data!N11</f>
        <v/>
      </c>
      <c r="G17" s="13">
        <f>Analysis_Data!O11</f>
        <v/>
      </c>
      <c r="I17" s="16">
        <f>Analysis_Data!A11</f>
        <v/>
      </c>
      <c r="J17" s="13">
        <f>Analysis_Data!B11</f>
        <v/>
      </c>
      <c r="K17" s="14">
        <f>Analysis_Data!C11</f>
        <v/>
      </c>
      <c r="L17" s="14">
        <f>Analysis_Data!D11</f>
        <v/>
      </c>
      <c r="M17" s="15">
        <f>Analysis_Data!E11</f>
        <v/>
      </c>
      <c r="N17" s="13">
        <f>Analysis_Data!F11</f>
        <v/>
      </c>
      <c r="O17" s="13">
        <f>Analysis_Data!G11</f>
        <v/>
      </c>
    </row>
    <row r="18">
      <c r="A18" s="12">
        <f>Analysis_Data!I12</f>
        <v/>
      </c>
      <c r="B18" s="13">
        <f>Analysis_Data!J12</f>
        <v/>
      </c>
      <c r="C18" s="14">
        <f>Analysis_Data!K12</f>
        <v/>
      </c>
      <c r="D18" s="14">
        <f>Analysis_Data!L12</f>
        <v/>
      </c>
      <c r="E18" s="15">
        <f>Analysis_Data!M12</f>
        <v/>
      </c>
      <c r="F18" s="13">
        <f>Analysis_Data!N12</f>
        <v/>
      </c>
      <c r="G18" s="13">
        <f>Analysis_Data!O12</f>
        <v/>
      </c>
      <c r="I18" s="16">
        <f>Analysis_Data!A12</f>
        <v/>
      </c>
      <c r="J18" s="13">
        <f>Analysis_Data!B12</f>
        <v/>
      </c>
      <c r="K18" s="14">
        <f>Analysis_Data!C12</f>
        <v/>
      </c>
      <c r="L18" s="14">
        <f>Analysis_Data!D12</f>
        <v/>
      </c>
      <c r="M18" s="15">
        <f>Analysis_Data!E12</f>
        <v/>
      </c>
      <c r="N18" s="13">
        <f>Analysis_Data!F12</f>
        <v/>
      </c>
      <c r="O18" s="13">
        <f>Analysis_Data!G12</f>
        <v/>
      </c>
    </row>
    <row r="19">
      <c r="A19" s="12">
        <f>Analysis_Data!I13</f>
        <v/>
      </c>
      <c r="B19" s="13">
        <f>Analysis_Data!J13</f>
        <v/>
      </c>
      <c r="C19" s="14">
        <f>Analysis_Data!K13</f>
        <v/>
      </c>
      <c r="D19" s="14">
        <f>Analysis_Data!L13</f>
        <v/>
      </c>
      <c r="E19" s="15">
        <f>Analysis_Data!M13</f>
        <v/>
      </c>
      <c r="F19" s="13">
        <f>Analysis_Data!N13</f>
        <v/>
      </c>
      <c r="G19" s="13">
        <f>Analysis_Data!O13</f>
        <v/>
      </c>
      <c r="I19" s="16">
        <f>Analysis_Data!A13</f>
        <v/>
      </c>
      <c r="J19" s="13">
        <f>Analysis_Data!B13</f>
        <v/>
      </c>
      <c r="K19" s="14">
        <f>Analysis_Data!C13</f>
        <v/>
      </c>
      <c r="L19" s="14">
        <f>Analysis_Data!D13</f>
        <v/>
      </c>
      <c r="M19" s="15">
        <f>Analysis_Data!E13</f>
        <v/>
      </c>
      <c r="N19" s="13">
        <f>Analysis_Data!F13</f>
        <v/>
      </c>
      <c r="O19" s="13">
        <f>Analysis_Data!G13</f>
        <v/>
      </c>
    </row>
    <row r="20">
      <c r="A20" s="12">
        <f>Analysis_Data!I14</f>
        <v/>
      </c>
      <c r="B20" s="13">
        <f>Analysis_Data!J14</f>
        <v/>
      </c>
      <c r="C20" s="14">
        <f>Analysis_Data!K14</f>
        <v/>
      </c>
      <c r="D20" s="14">
        <f>Analysis_Data!L14</f>
        <v/>
      </c>
      <c r="E20" s="15">
        <f>Analysis_Data!M14</f>
        <v/>
      </c>
      <c r="F20" s="13">
        <f>Analysis_Data!N14</f>
        <v/>
      </c>
      <c r="G20" s="13">
        <f>Analysis_Data!O14</f>
        <v/>
      </c>
      <c r="I20" s="16">
        <f>Analysis_Data!A14</f>
        <v/>
      </c>
      <c r="J20" s="13">
        <f>Analysis_Data!B14</f>
        <v/>
      </c>
      <c r="K20" s="14">
        <f>Analysis_Data!C14</f>
        <v/>
      </c>
      <c r="L20" s="14">
        <f>Analysis_Data!D14</f>
        <v/>
      </c>
      <c r="M20" s="15">
        <f>Analysis_Data!E14</f>
        <v/>
      </c>
      <c r="N20" s="13">
        <f>Analysis_Data!F14</f>
        <v/>
      </c>
      <c r="O20" s="13">
        <f>Analysis_Data!G14</f>
        <v/>
      </c>
    </row>
    <row r="21">
      <c r="A21" s="12">
        <f>Analysis_Data!I15</f>
        <v/>
      </c>
      <c r="B21" s="13">
        <f>Analysis_Data!J15</f>
        <v/>
      </c>
      <c r="C21" s="14">
        <f>Analysis_Data!K15</f>
        <v/>
      </c>
      <c r="D21" s="14">
        <f>Analysis_Data!L15</f>
        <v/>
      </c>
      <c r="E21" s="15">
        <f>Analysis_Data!M15</f>
        <v/>
      </c>
      <c r="F21" s="13">
        <f>Analysis_Data!N15</f>
        <v/>
      </c>
      <c r="G21" s="13">
        <f>Analysis_Data!O15</f>
        <v/>
      </c>
      <c r="I21" s="16">
        <f>Analysis_Data!A15</f>
        <v/>
      </c>
      <c r="J21" s="13">
        <f>Analysis_Data!B15</f>
        <v/>
      </c>
      <c r="K21" s="14">
        <f>Analysis_Data!C15</f>
        <v/>
      </c>
      <c r="L21" s="14">
        <f>Analysis_Data!D15</f>
        <v/>
      </c>
      <c r="M21" s="15">
        <f>Analysis_Data!E15</f>
        <v/>
      </c>
      <c r="N21" s="13">
        <f>Analysis_Data!F15</f>
        <v/>
      </c>
      <c r="O21" s="13">
        <f>Analysis_Data!G15</f>
        <v/>
      </c>
    </row>
    <row r="22">
      <c r="A22" s="12">
        <f>Analysis_Data!I16</f>
        <v/>
      </c>
      <c r="B22" s="13">
        <f>Analysis_Data!J16</f>
        <v/>
      </c>
      <c r="C22" s="14">
        <f>Analysis_Data!K16</f>
        <v/>
      </c>
      <c r="D22" s="14">
        <f>Analysis_Data!L16</f>
        <v/>
      </c>
      <c r="E22" s="15">
        <f>Analysis_Data!M16</f>
        <v/>
      </c>
      <c r="F22" s="13">
        <f>Analysis_Data!N16</f>
        <v/>
      </c>
      <c r="G22" s="13">
        <f>Analysis_Data!O16</f>
        <v/>
      </c>
      <c r="I22" s="17" t="inlineStr">
        <is>
          <t>합계</t>
        </is>
      </c>
      <c r="J22" s="18">
        <f>Analysis_Data!B16</f>
        <v/>
      </c>
      <c r="K22" s="19">
        <f>Analysis_Data!C16</f>
        <v/>
      </c>
      <c r="L22" s="19">
        <f>Analysis_Data!D16</f>
        <v/>
      </c>
      <c r="M22" s="20">
        <f>Analysis_Data!E16</f>
        <v/>
      </c>
      <c r="N22" s="18">
        <f>Analysis_Data!F16</f>
        <v/>
      </c>
      <c r="O22" s="18">
        <f>Analysis_Data!G16</f>
        <v/>
      </c>
    </row>
    <row r="23">
      <c r="A23" s="17" t="inlineStr">
        <is>
          <t>합계</t>
        </is>
      </c>
      <c r="B23" s="18">
        <f>Analysis_Data!J17</f>
        <v/>
      </c>
      <c r="C23" s="19">
        <f>Analysis_Data!K17</f>
        <v/>
      </c>
      <c r="D23" s="19">
        <f>Analysis_Data!L17</f>
        <v/>
      </c>
      <c r="E23" s="20">
        <f>Analysis_Data!M17</f>
        <v/>
      </c>
      <c r="F23" s="18">
        <f>Analysis_Data!N17</f>
        <v/>
      </c>
      <c r="G23" s="18">
        <f>Analysis_Data!O17</f>
        <v/>
      </c>
    </row>
  </sheetData>
  <mergeCells count="12">
    <mergeCell ref="A4:B4"/>
    <mergeCell ref="G4:H4"/>
    <mergeCell ref="E4:F4"/>
    <mergeCell ref="I4:J4"/>
    <mergeCell ref="K3:O4"/>
    <mergeCell ref="I3:J3"/>
    <mergeCell ref="A1:O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0" customWidth="1" min="8" max="8"/>
    <col width="19" customWidth="1" min="9" max="9"/>
    <col width="39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s="11" t="inlineStr">
        <is>
          <t>발행연도</t>
        </is>
      </c>
      <c r="B1" s="11" t="inlineStr">
        <is>
          <t>도서 수</t>
        </is>
      </c>
      <c r="C1" s="11" t="inlineStr">
        <is>
          <t>평균 정가</t>
        </is>
      </c>
      <c r="D1" s="11" t="inlineStr">
        <is>
          <t>평균 판매가</t>
        </is>
      </c>
      <c r="E1" s="11" t="inlineStr">
        <is>
          <t>평균 할인율</t>
        </is>
      </c>
      <c r="F1" s="11" t="inlineStr">
        <is>
          <t>판매지수 합계</t>
        </is>
      </c>
      <c r="G1" s="11" t="inlineStr">
        <is>
          <t>리뷰 수 합계</t>
        </is>
      </c>
      <c r="I1" s="11" t="inlineStr">
        <is>
          <t>출판사</t>
        </is>
      </c>
      <c r="J1" s="11" t="inlineStr">
        <is>
          <t>도서 수</t>
        </is>
      </c>
      <c r="K1" s="11" t="inlineStr">
        <is>
          <t>평균 정가</t>
        </is>
      </c>
      <c r="L1" s="11" t="inlineStr">
        <is>
          <t>평균 판매가</t>
        </is>
      </c>
      <c r="M1" s="11" t="inlineStr">
        <is>
          <t>평균 할인율</t>
        </is>
      </c>
      <c r="N1" s="11" t="inlineStr">
        <is>
          <t>판매지수 합계</t>
        </is>
      </c>
      <c r="O1" s="11" t="inlineStr">
        <is>
          <t>리뷰 수 합계</t>
        </is>
      </c>
    </row>
    <row r="2">
      <c r="A2" s="21" t="inlineStr">
        <is>
          <t>2012</t>
        </is>
      </c>
      <c r="B2" s="13">
        <f>COUNTIF(Raw_Data!$I$2:$I$1201, A2)</f>
        <v/>
      </c>
      <c r="C2" s="14">
        <f>AVERAGEIF(Raw_Data!$I$2:$I$1201, A2, Raw_Data!$E$2:$E$1201)</f>
        <v/>
      </c>
      <c r="D2" s="14">
        <f>AVERAGEIF(Raw_Data!$I$2:$I$1201, A2, Raw_Data!$F$2:$F$1201)</f>
        <v/>
      </c>
      <c r="E2" s="15">
        <f>AVERAGEIF(Raw_Data!$I$2:$I$1201, A2, Raw_Data!$K$2:$K$1201)</f>
        <v/>
      </c>
      <c r="F2" s="13">
        <f>SUMIF(Raw_Data!$I$2:$I$1201, A2, Raw_Data!$H$2:$H$1201)</f>
        <v/>
      </c>
      <c r="G2" s="13">
        <f>SUMIF(Raw_Data!$I$2:$I$1201, A2, Raw_Data!$G$2:$G$1201)</f>
        <v/>
      </c>
      <c r="I2" s="22" t="inlineStr">
        <is>
          <t>커뮤니케이션북스</t>
        </is>
      </c>
      <c r="J2" s="13">
        <f>COUNTIF(Raw_Data!$C$2:$C$1201, I2)</f>
        <v/>
      </c>
      <c r="K2" s="14">
        <f>AVERAGEIF(Raw_Data!$C$2:$C$1201, I2, Raw_Data!$E$2:$E$1201)</f>
        <v/>
      </c>
      <c r="L2" s="14">
        <f>AVERAGEIF(Raw_Data!$C$2:$C$1201, I2, Raw_Data!$F$2:$F$1201)</f>
        <v/>
      </c>
      <c r="M2" s="15">
        <f>AVERAGEIF(Raw_Data!$C$2:$C$1201, I2, Raw_Data!$K$2:$K$1201)</f>
        <v/>
      </c>
      <c r="N2" s="13">
        <f>SUMIF(Raw_Data!$C$2:$C$1201, I2, Raw_Data!$H$2:$H$1201)</f>
        <v/>
      </c>
      <c r="O2" s="13">
        <f>SUMIF(Raw_Data!$C$2:$C$1201, I2, Raw_Data!$G$2:$G$1201)</f>
        <v/>
      </c>
    </row>
    <row r="3">
      <c r="A3" s="21" t="inlineStr">
        <is>
          <t>2013</t>
        </is>
      </c>
      <c r="B3" s="13">
        <f>COUNTIF(Raw_Data!$I$2:$I$1201, A3)</f>
        <v/>
      </c>
      <c r="C3" s="14">
        <f>AVERAGEIF(Raw_Data!$I$2:$I$1201, A3, Raw_Data!$E$2:$E$1201)</f>
        <v/>
      </c>
      <c r="D3" s="14">
        <f>AVERAGEIF(Raw_Data!$I$2:$I$1201, A3, Raw_Data!$F$2:$F$1201)</f>
        <v/>
      </c>
      <c r="E3" s="15">
        <f>AVERAGEIF(Raw_Data!$I$2:$I$1201, A3, Raw_Data!$K$2:$K$1201)</f>
        <v/>
      </c>
      <c r="F3" s="13">
        <f>SUMIF(Raw_Data!$I$2:$I$1201, A3, Raw_Data!$H$2:$H$1201)</f>
        <v/>
      </c>
      <c r="G3" s="13">
        <f>SUMIF(Raw_Data!$I$2:$I$1201, A3, Raw_Data!$G$2:$G$1201)</f>
        <v/>
      </c>
      <c r="I3" s="22" t="inlineStr">
        <is>
          <t>한빛미디어</t>
        </is>
      </c>
      <c r="J3" s="13">
        <f>COUNTIF(Raw_Data!$C$2:$C$1201, I3)</f>
        <v/>
      </c>
      <c r="K3" s="14">
        <f>AVERAGEIF(Raw_Data!$C$2:$C$1201, I3, Raw_Data!$E$2:$E$1201)</f>
        <v/>
      </c>
      <c r="L3" s="14">
        <f>AVERAGEIF(Raw_Data!$C$2:$C$1201, I3, Raw_Data!$F$2:$F$1201)</f>
        <v/>
      </c>
      <c r="M3" s="15">
        <f>AVERAGEIF(Raw_Data!$C$2:$C$1201, I3, Raw_Data!$K$2:$K$1201)</f>
        <v/>
      </c>
      <c r="N3" s="13">
        <f>SUMIF(Raw_Data!$C$2:$C$1201, I3, Raw_Data!$H$2:$H$1201)</f>
        <v/>
      </c>
      <c r="O3" s="13">
        <f>SUMIF(Raw_Data!$C$2:$C$1201, I3, Raw_Data!$G$2:$G$1201)</f>
        <v/>
      </c>
    </row>
    <row r="4">
      <c r="A4" s="21" t="inlineStr">
        <is>
          <t>2014</t>
        </is>
      </c>
      <c r="B4" s="13">
        <f>COUNTIF(Raw_Data!$I$2:$I$1201, A4)</f>
        <v/>
      </c>
      <c r="C4" s="14">
        <f>AVERAGEIF(Raw_Data!$I$2:$I$1201, A4, Raw_Data!$E$2:$E$1201)</f>
        <v/>
      </c>
      <c r="D4" s="14">
        <f>AVERAGEIF(Raw_Data!$I$2:$I$1201, A4, Raw_Data!$F$2:$F$1201)</f>
        <v/>
      </c>
      <c r="E4" s="15">
        <f>AVERAGEIF(Raw_Data!$I$2:$I$1201, A4, Raw_Data!$K$2:$K$1201)</f>
        <v/>
      </c>
      <c r="F4" s="13">
        <f>SUMIF(Raw_Data!$I$2:$I$1201, A4, Raw_Data!$H$2:$H$1201)</f>
        <v/>
      </c>
      <c r="G4" s="13">
        <f>SUMIF(Raw_Data!$I$2:$I$1201, A4, Raw_Data!$G$2:$G$1201)</f>
        <v/>
      </c>
      <c r="I4" s="22" t="inlineStr">
        <is>
          <t>길벗</t>
        </is>
      </c>
      <c r="J4" s="13">
        <f>COUNTIF(Raw_Data!$C$2:$C$1201, I4)</f>
        <v/>
      </c>
      <c r="K4" s="14">
        <f>AVERAGEIF(Raw_Data!$C$2:$C$1201, I4, Raw_Data!$E$2:$E$1201)</f>
        <v/>
      </c>
      <c r="L4" s="14">
        <f>AVERAGEIF(Raw_Data!$C$2:$C$1201, I4, Raw_Data!$F$2:$F$1201)</f>
        <v/>
      </c>
      <c r="M4" s="15">
        <f>AVERAGEIF(Raw_Data!$C$2:$C$1201, I4, Raw_Data!$K$2:$K$1201)</f>
        <v/>
      </c>
      <c r="N4" s="13">
        <f>SUMIF(Raw_Data!$C$2:$C$1201, I4, Raw_Data!$H$2:$H$1201)</f>
        <v/>
      </c>
      <c r="O4" s="13">
        <f>SUMIF(Raw_Data!$C$2:$C$1201, I4, Raw_Data!$G$2:$G$1201)</f>
        <v/>
      </c>
    </row>
    <row r="5">
      <c r="A5" s="21" t="inlineStr">
        <is>
          <t>2015</t>
        </is>
      </c>
      <c r="B5" s="13">
        <f>COUNTIF(Raw_Data!$I$2:$I$1201, A5)</f>
        <v/>
      </c>
      <c r="C5" s="14">
        <f>AVERAGEIF(Raw_Data!$I$2:$I$1201, A5, Raw_Data!$E$2:$E$1201)</f>
        <v/>
      </c>
      <c r="D5" s="14">
        <f>AVERAGEIF(Raw_Data!$I$2:$I$1201, A5, Raw_Data!$F$2:$F$1201)</f>
        <v/>
      </c>
      <c r="E5" s="15">
        <f>AVERAGEIF(Raw_Data!$I$2:$I$1201, A5, Raw_Data!$K$2:$K$1201)</f>
        <v/>
      </c>
      <c r="F5" s="13">
        <f>SUMIF(Raw_Data!$I$2:$I$1201, A5, Raw_Data!$H$2:$H$1201)</f>
        <v/>
      </c>
      <c r="G5" s="13">
        <f>SUMIF(Raw_Data!$I$2:$I$1201, A5, Raw_Data!$G$2:$G$1201)</f>
        <v/>
      </c>
      <c r="I5" s="22" t="inlineStr">
        <is>
          <t>제이펍</t>
        </is>
      </c>
      <c r="J5" s="13">
        <f>COUNTIF(Raw_Data!$C$2:$C$1201, I5)</f>
        <v/>
      </c>
      <c r="K5" s="14">
        <f>AVERAGEIF(Raw_Data!$C$2:$C$1201, I5, Raw_Data!$E$2:$E$1201)</f>
        <v/>
      </c>
      <c r="L5" s="14">
        <f>AVERAGEIF(Raw_Data!$C$2:$C$1201, I5, Raw_Data!$F$2:$F$1201)</f>
        <v/>
      </c>
      <c r="M5" s="15">
        <f>AVERAGEIF(Raw_Data!$C$2:$C$1201, I5, Raw_Data!$K$2:$K$1201)</f>
        <v/>
      </c>
      <c r="N5" s="13">
        <f>SUMIF(Raw_Data!$C$2:$C$1201, I5, Raw_Data!$H$2:$H$1201)</f>
        <v/>
      </c>
      <c r="O5" s="13">
        <f>SUMIF(Raw_Data!$C$2:$C$1201, I5, Raw_Data!$G$2:$G$1201)</f>
        <v/>
      </c>
    </row>
    <row r="6">
      <c r="A6" s="21" t="inlineStr">
        <is>
          <t>2017</t>
        </is>
      </c>
      <c r="B6" s="13">
        <f>COUNTIF(Raw_Data!$I$2:$I$1201, A6)</f>
        <v/>
      </c>
      <c r="C6" s="14">
        <f>AVERAGEIF(Raw_Data!$I$2:$I$1201, A6, Raw_Data!$E$2:$E$1201)</f>
        <v/>
      </c>
      <c r="D6" s="14">
        <f>AVERAGEIF(Raw_Data!$I$2:$I$1201, A6, Raw_Data!$F$2:$F$1201)</f>
        <v/>
      </c>
      <c r="E6" s="15">
        <f>AVERAGEIF(Raw_Data!$I$2:$I$1201, A6, Raw_Data!$K$2:$K$1201)</f>
        <v/>
      </c>
      <c r="F6" s="13">
        <f>SUMIF(Raw_Data!$I$2:$I$1201, A6, Raw_Data!$H$2:$H$1201)</f>
        <v/>
      </c>
      <c r="G6" s="13">
        <f>SUMIF(Raw_Data!$I$2:$I$1201, A6, Raw_Data!$G$2:$G$1201)</f>
        <v/>
      </c>
      <c r="I6" s="22" t="inlineStr">
        <is>
          <t>골든래빗</t>
        </is>
      </c>
      <c r="J6" s="13">
        <f>COUNTIF(Raw_Data!$C$2:$C$1201, I6)</f>
        <v/>
      </c>
      <c r="K6" s="14">
        <f>AVERAGEIF(Raw_Data!$C$2:$C$1201, I6, Raw_Data!$E$2:$E$1201)</f>
        <v/>
      </c>
      <c r="L6" s="14">
        <f>AVERAGEIF(Raw_Data!$C$2:$C$1201, I6, Raw_Data!$F$2:$F$1201)</f>
        <v/>
      </c>
      <c r="M6" s="15">
        <f>AVERAGEIF(Raw_Data!$C$2:$C$1201, I6, Raw_Data!$K$2:$K$1201)</f>
        <v/>
      </c>
      <c r="N6" s="13">
        <f>SUMIF(Raw_Data!$C$2:$C$1201, I6, Raw_Data!$H$2:$H$1201)</f>
        <v/>
      </c>
      <c r="O6" s="13">
        <f>SUMIF(Raw_Data!$C$2:$C$1201, I6, Raw_Data!$G$2:$G$1201)</f>
        <v/>
      </c>
    </row>
    <row r="7">
      <c r="A7" s="21" t="inlineStr">
        <is>
          <t>2018</t>
        </is>
      </c>
      <c r="B7" s="13">
        <f>COUNTIF(Raw_Data!$I$2:$I$1201, A7)</f>
        <v/>
      </c>
      <c r="C7" s="14">
        <f>AVERAGEIF(Raw_Data!$I$2:$I$1201, A7, Raw_Data!$E$2:$E$1201)</f>
        <v/>
      </c>
      <c r="D7" s="14">
        <f>AVERAGEIF(Raw_Data!$I$2:$I$1201, A7, Raw_Data!$F$2:$F$1201)</f>
        <v/>
      </c>
      <c r="E7" s="15">
        <f>AVERAGEIF(Raw_Data!$I$2:$I$1201, A7, Raw_Data!$K$2:$K$1201)</f>
        <v/>
      </c>
      <c r="F7" s="13">
        <f>SUMIF(Raw_Data!$I$2:$I$1201, A7, Raw_Data!$H$2:$H$1201)</f>
        <v/>
      </c>
      <c r="G7" s="13">
        <f>SUMIF(Raw_Data!$I$2:$I$1201, A7, Raw_Data!$G$2:$G$1201)</f>
        <v/>
      </c>
      <c r="I7" s="22" t="inlineStr">
        <is>
          <t>앤써북</t>
        </is>
      </c>
      <c r="J7" s="13">
        <f>COUNTIF(Raw_Data!$C$2:$C$1201, I7)</f>
        <v/>
      </c>
      <c r="K7" s="14">
        <f>AVERAGEIF(Raw_Data!$C$2:$C$1201, I7, Raw_Data!$E$2:$E$1201)</f>
        <v/>
      </c>
      <c r="L7" s="14">
        <f>AVERAGEIF(Raw_Data!$C$2:$C$1201, I7, Raw_Data!$F$2:$F$1201)</f>
        <v/>
      </c>
      <c r="M7" s="15">
        <f>AVERAGEIF(Raw_Data!$C$2:$C$1201, I7, Raw_Data!$K$2:$K$1201)</f>
        <v/>
      </c>
      <c r="N7" s="13">
        <f>SUMIF(Raw_Data!$C$2:$C$1201, I7, Raw_Data!$H$2:$H$1201)</f>
        <v/>
      </c>
      <c r="O7" s="13">
        <f>SUMIF(Raw_Data!$C$2:$C$1201, I7, Raw_Data!$G$2:$G$1201)</f>
        <v/>
      </c>
    </row>
    <row r="8">
      <c r="A8" s="21" t="inlineStr">
        <is>
          <t>2019</t>
        </is>
      </c>
      <c r="B8" s="13">
        <f>COUNTIF(Raw_Data!$I$2:$I$1201, A8)</f>
        <v/>
      </c>
      <c r="C8" s="14">
        <f>AVERAGEIF(Raw_Data!$I$2:$I$1201, A8, Raw_Data!$E$2:$E$1201)</f>
        <v/>
      </c>
      <c r="D8" s="14">
        <f>AVERAGEIF(Raw_Data!$I$2:$I$1201, A8, Raw_Data!$F$2:$F$1201)</f>
        <v/>
      </c>
      <c r="E8" s="15">
        <f>AVERAGEIF(Raw_Data!$I$2:$I$1201, A8, Raw_Data!$K$2:$K$1201)</f>
        <v/>
      </c>
      <c r="F8" s="13">
        <f>SUMIF(Raw_Data!$I$2:$I$1201, A8, Raw_Data!$H$2:$H$1201)</f>
        <v/>
      </c>
      <c r="G8" s="13">
        <f>SUMIF(Raw_Data!$I$2:$I$1201, A8, Raw_Data!$G$2:$G$1201)</f>
        <v/>
      </c>
      <c r="I8" s="22" t="inlineStr">
        <is>
          <t>위키북스</t>
        </is>
      </c>
      <c r="J8" s="13">
        <f>COUNTIF(Raw_Data!$C$2:$C$1201, I8)</f>
        <v/>
      </c>
      <c r="K8" s="14">
        <f>AVERAGEIF(Raw_Data!$C$2:$C$1201, I8, Raw_Data!$E$2:$E$1201)</f>
        <v/>
      </c>
      <c r="L8" s="14">
        <f>AVERAGEIF(Raw_Data!$C$2:$C$1201, I8, Raw_Data!$F$2:$F$1201)</f>
        <v/>
      </c>
      <c r="M8" s="15">
        <f>AVERAGEIF(Raw_Data!$C$2:$C$1201, I8, Raw_Data!$K$2:$K$1201)</f>
        <v/>
      </c>
      <c r="N8" s="13">
        <f>SUMIF(Raw_Data!$C$2:$C$1201, I8, Raw_Data!$H$2:$H$1201)</f>
        <v/>
      </c>
      <c r="O8" s="13">
        <f>SUMIF(Raw_Data!$C$2:$C$1201, I8, Raw_Data!$G$2:$G$1201)</f>
        <v/>
      </c>
    </row>
    <row r="9">
      <c r="A9" s="21" t="inlineStr">
        <is>
          <t>2020</t>
        </is>
      </c>
      <c r="B9" s="13">
        <f>COUNTIF(Raw_Data!$I$2:$I$1201, A9)</f>
        <v/>
      </c>
      <c r="C9" s="14">
        <f>AVERAGEIF(Raw_Data!$I$2:$I$1201, A9, Raw_Data!$E$2:$E$1201)</f>
        <v/>
      </c>
      <c r="D9" s="14">
        <f>AVERAGEIF(Raw_Data!$I$2:$I$1201, A9, Raw_Data!$F$2:$F$1201)</f>
        <v/>
      </c>
      <c r="E9" s="15">
        <f>AVERAGEIF(Raw_Data!$I$2:$I$1201, A9, Raw_Data!$K$2:$K$1201)</f>
        <v/>
      </c>
      <c r="F9" s="13">
        <f>SUMIF(Raw_Data!$I$2:$I$1201, A9, Raw_Data!$H$2:$H$1201)</f>
        <v/>
      </c>
      <c r="G9" s="13">
        <f>SUMIF(Raw_Data!$I$2:$I$1201, A9, Raw_Data!$G$2:$G$1201)</f>
        <v/>
      </c>
      <c r="I9" s="22" t="inlineStr">
        <is>
          <t>에이콘출판사</t>
        </is>
      </c>
      <c r="J9" s="13">
        <f>COUNTIF(Raw_Data!$C$2:$C$1201, I9)</f>
        <v/>
      </c>
      <c r="K9" s="14">
        <f>AVERAGEIF(Raw_Data!$C$2:$C$1201, I9, Raw_Data!$E$2:$E$1201)</f>
        <v/>
      </c>
      <c r="L9" s="14">
        <f>AVERAGEIF(Raw_Data!$C$2:$C$1201, I9, Raw_Data!$F$2:$F$1201)</f>
        <v/>
      </c>
      <c r="M9" s="15">
        <f>AVERAGEIF(Raw_Data!$C$2:$C$1201, I9, Raw_Data!$K$2:$K$1201)</f>
        <v/>
      </c>
      <c r="N9" s="13">
        <f>SUMIF(Raw_Data!$C$2:$C$1201, I9, Raw_Data!$H$2:$H$1201)</f>
        <v/>
      </c>
      <c r="O9" s="13">
        <f>SUMIF(Raw_Data!$C$2:$C$1201, I9, Raw_Data!$G$2:$G$1201)</f>
        <v/>
      </c>
    </row>
    <row r="10">
      <c r="A10" s="21" t="inlineStr">
        <is>
          <t>2021</t>
        </is>
      </c>
      <c r="B10" s="13">
        <f>COUNTIF(Raw_Data!$I$2:$I$1201, A10)</f>
        <v/>
      </c>
      <c r="C10" s="14">
        <f>AVERAGEIF(Raw_Data!$I$2:$I$1201, A10, Raw_Data!$E$2:$E$1201)</f>
        <v/>
      </c>
      <c r="D10" s="14">
        <f>AVERAGEIF(Raw_Data!$I$2:$I$1201, A10, Raw_Data!$F$2:$F$1201)</f>
        <v/>
      </c>
      <c r="E10" s="15">
        <f>AVERAGEIF(Raw_Data!$I$2:$I$1201, A10, Raw_Data!$K$2:$K$1201)</f>
        <v/>
      </c>
      <c r="F10" s="13">
        <f>SUMIF(Raw_Data!$I$2:$I$1201, A10, Raw_Data!$H$2:$H$1201)</f>
        <v/>
      </c>
      <c r="G10" s="13">
        <f>SUMIF(Raw_Data!$I$2:$I$1201, A10, Raw_Data!$G$2:$G$1201)</f>
        <v/>
      </c>
      <c r="I10" s="22" t="inlineStr">
        <is>
          <t>BOOKK(부크크)</t>
        </is>
      </c>
      <c r="J10" s="13">
        <f>COUNTIF(Raw_Data!$C$2:$C$1201, I10)</f>
        <v/>
      </c>
      <c r="K10" s="14">
        <f>AVERAGEIF(Raw_Data!$C$2:$C$1201, I10, Raw_Data!$E$2:$E$1201)</f>
        <v/>
      </c>
      <c r="L10" s="14">
        <f>AVERAGEIF(Raw_Data!$C$2:$C$1201, I10, Raw_Data!$F$2:$F$1201)</f>
        <v/>
      </c>
      <c r="M10" s="15">
        <f>AVERAGEIF(Raw_Data!$C$2:$C$1201, I10, Raw_Data!$K$2:$K$1201)</f>
        <v/>
      </c>
      <c r="N10" s="13">
        <f>SUMIF(Raw_Data!$C$2:$C$1201, I10, Raw_Data!$H$2:$H$1201)</f>
        <v/>
      </c>
      <c r="O10" s="13">
        <f>SUMIF(Raw_Data!$C$2:$C$1201, I10, Raw_Data!$G$2:$G$1201)</f>
        <v/>
      </c>
    </row>
    <row r="11">
      <c r="A11" s="21" t="inlineStr">
        <is>
          <t>2022</t>
        </is>
      </c>
      <c r="B11" s="13">
        <f>COUNTIF(Raw_Data!$I$2:$I$1201, A11)</f>
        <v/>
      </c>
      <c r="C11" s="14">
        <f>AVERAGEIF(Raw_Data!$I$2:$I$1201, A11, Raw_Data!$E$2:$E$1201)</f>
        <v/>
      </c>
      <c r="D11" s="14">
        <f>AVERAGEIF(Raw_Data!$I$2:$I$1201, A11, Raw_Data!$F$2:$F$1201)</f>
        <v/>
      </c>
      <c r="E11" s="15">
        <f>AVERAGEIF(Raw_Data!$I$2:$I$1201, A11, Raw_Data!$K$2:$K$1201)</f>
        <v/>
      </c>
      <c r="F11" s="13">
        <f>SUMIF(Raw_Data!$I$2:$I$1201, A11, Raw_Data!$H$2:$H$1201)</f>
        <v/>
      </c>
      <c r="G11" s="13">
        <f>SUMIF(Raw_Data!$I$2:$I$1201, A11, Raw_Data!$G$2:$G$1201)</f>
        <v/>
      </c>
      <c r="I11" s="22" t="inlineStr">
        <is>
          <t>이지스퍼블리싱</t>
        </is>
      </c>
      <c r="J11" s="13">
        <f>COUNTIF(Raw_Data!$C$2:$C$1201, I11)</f>
        <v/>
      </c>
      <c r="K11" s="14">
        <f>AVERAGEIF(Raw_Data!$C$2:$C$1201, I11, Raw_Data!$E$2:$E$1201)</f>
        <v/>
      </c>
      <c r="L11" s="14">
        <f>AVERAGEIF(Raw_Data!$C$2:$C$1201, I11, Raw_Data!$F$2:$F$1201)</f>
        <v/>
      </c>
      <c r="M11" s="15">
        <f>AVERAGEIF(Raw_Data!$C$2:$C$1201, I11, Raw_Data!$K$2:$K$1201)</f>
        <v/>
      </c>
      <c r="N11" s="13">
        <f>SUMIF(Raw_Data!$C$2:$C$1201, I11, Raw_Data!$H$2:$H$1201)</f>
        <v/>
      </c>
      <c r="O11" s="13">
        <f>SUMIF(Raw_Data!$C$2:$C$1201, I11, Raw_Data!$G$2:$G$1201)</f>
        <v/>
      </c>
    </row>
    <row r="12">
      <c r="A12" s="21" t="inlineStr">
        <is>
          <t>2023</t>
        </is>
      </c>
      <c r="B12" s="13">
        <f>COUNTIF(Raw_Data!$I$2:$I$1201, A12)</f>
        <v/>
      </c>
      <c r="C12" s="14">
        <f>AVERAGEIF(Raw_Data!$I$2:$I$1201, A12, Raw_Data!$E$2:$E$1201)</f>
        <v/>
      </c>
      <c r="D12" s="14">
        <f>AVERAGEIF(Raw_Data!$I$2:$I$1201, A12, Raw_Data!$F$2:$F$1201)</f>
        <v/>
      </c>
      <c r="E12" s="15">
        <f>AVERAGEIF(Raw_Data!$I$2:$I$1201, A12, Raw_Data!$K$2:$K$1201)</f>
        <v/>
      </c>
      <c r="F12" s="13">
        <f>SUMIF(Raw_Data!$I$2:$I$1201, A12, Raw_Data!$H$2:$H$1201)</f>
        <v/>
      </c>
      <c r="G12" s="13">
        <f>SUMIF(Raw_Data!$I$2:$I$1201, A12, Raw_Data!$G$2:$G$1201)</f>
        <v/>
      </c>
      <c r="I12" s="22" t="inlineStr">
        <is>
          <t>성안당</t>
        </is>
      </c>
      <c r="J12" s="13">
        <f>COUNTIF(Raw_Data!$C$2:$C$1201, I12)</f>
        <v/>
      </c>
      <c r="K12" s="14">
        <f>AVERAGEIF(Raw_Data!$C$2:$C$1201, I12, Raw_Data!$E$2:$E$1201)</f>
        <v/>
      </c>
      <c r="L12" s="14">
        <f>AVERAGEIF(Raw_Data!$C$2:$C$1201, I12, Raw_Data!$F$2:$F$1201)</f>
        <v/>
      </c>
      <c r="M12" s="15">
        <f>AVERAGEIF(Raw_Data!$C$2:$C$1201, I12, Raw_Data!$K$2:$K$1201)</f>
        <v/>
      </c>
      <c r="N12" s="13">
        <f>SUMIF(Raw_Data!$C$2:$C$1201, I12, Raw_Data!$H$2:$H$1201)</f>
        <v/>
      </c>
      <c r="O12" s="13">
        <f>SUMIF(Raw_Data!$C$2:$C$1201, I12, Raw_Data!$G$2:$G$1201)</f>
        <v/>
      </c>
    </row>
    <row r="13">
      <c r="A13" s="21" t="inlineStr">
        <is>
          <t>2024</t>
        </is>
      </c>
      <c r="B13" s="13">
        <f>COUNTIF(Raw_Data!$I$2:$I$1201, A13)</f>
        <v/>
      </c>
      <c r="C13" s="14">
        <f>AVERAGEIF(Raw_Data!$I$2:$I$1201, A13, Raw_Data!$E$2:$E$1201)</f>
        <v/>
      </c>
      <c r="D13" s="14">
        <f>AVERAGEIF(Raw_Data!$I$2:$I$1201, A13, Raw_Data!$F$2:$F$1201)</f>
        <v/>
      </c>
      <c r="E13" s="15">
        <f>AVERAGEIF(Raw_Data!$I$2:$I$1201, A13, Raw_Data!$K$2:$K$1201)</f>
        <v/>
      </c>
      <c r="F13" s="13">
        <f>SUMIF(Raw_Data!$I$2:$I$1201, A13, Raw_Data!$H$2:$H$1201)</f>
        <v/>
      </c>
      <c r="G13" s="13">
        <f>SUMIF(Raw_Data!$I$2:$I$1201, A13, Raw_Data!$G$2:$G$1201)</f>
        <v/>
      </c>
      <c r="I13" s="22" t="inlineStr">
        <is>
          <t>한빛아카데미</t>
        </is>
      </c>
      <c r="J13" s="13">
        <f>COUNTIF(Raw_Data!$C$2:$C$1201, I13)</f>
        <v/>
      </c>
      <c r="K13" s="14">
        <f>AVERAGEIF(Raw_Data!$C$2:$C$1201, I13, Raw_Data!$E$2:$E$1201)</f>
        <v/>
      </c>
      <c r="L13" s="14">
        <f>AVERAGEIF(Raw_Data!$C$2:$C$1201, I13, Raw_Data!$F$2:$F$1201)</f>
        <v/>
      </c>
      <c r="M13" s="15">
        <f>AVERAGEIF(Raw_Data!$C$2:$C$1201, I13, Raw_Data!$K$2:$K$1201)</f>
        <v/>
      </c>
      <c r="N13" s="13">
        <f>SUMIF(Raw_Data!$C$2:$C$1201, I13, Raw_Data!$H$2:$H$1201)</f>
        <v/>
      </c>
      <c r="O13" s="13">
        <f>SUMIF(Raw_Data!$C$2:$C$1201, I13, Raw_Data!$G$2:$G$1201)</f>
        <v/>
      </c>
    </row>
    <row r="14">
      <c r="A14" s="21" t="inlineStr">
        <is>
          <t>2025</t>
        </is>
      </c>
      <c r="B14" s="13">
        <f>COUNTIF(Raw_Data!$I$2:$I$1201, A14)</f>
        <v/>
      </c>
      <c r="C14" s="14">
        <f>AVERAGEIF(Raw_Data!$I$2:$I$1201, A14, Raw_Data!$E$2:$E$1201)</f>
        <v/>
      </c>
      <c r="D14" s="14">
        <f>AVERAGEIF(Raw_Data!$I$2:$I$1201, A14, Raw_Data!$F$2:$F$1201)</f>
        <v/>
      </c>
      <c r="E14" s="15">
        <f>AVERAGEIF(Raw_Data!$I$2:$I$1201, A14, Raw_Data!$K$2:$K$1201)</f>
        <v/>
      </c>
      <c r="F14" s="13">
        <f>SUMIF(Raw_Data!$I$2:$I$1201, A14, Raw_Data!$H$2:$H$1201)</f>
        <v/>
      </c>
      <c r="G14" s="13">
        <f>SUMIF(Raw_Data!$I$2:$I$1201, A14, Raw_Data!$G$2:$G$1201)</f>
        <v/>
      </c>
      <c r="I14" s="22" t="inlineStr">
        <is>
          <t>디지털북스</t>
        </is>
      </c>
      <c r="J14" s="13">
        <f>COUNTIF(Raw_Data!$C$2:$C$1201, I14)</f>
        <v/>
      </c>
      <c r="K14" s="14">
        <f>AVERAGEIF(Raw_Data!$C$2:$C$1201, I14, Raw_Data!$E$2:$E$1201)</f>
        <v/>
      </c>
      <c r="L14" s="14">
        <f>AVERAGEIF(Raw_Data!$C$2:$C$1201, I14, Raw_Data!$F$2:$F$1201)</f>
        <v/>
      </c>
      <c r="M14" s="15">
        <f>AVERAGEIF(Raw_Data!$C$2:$C$1201, I14, Raw_Data!$K$2:$K$1201)</f>
        <v/>
      </c>
      <c r="N14" s="13">
        <f>SUMIF(Raw_Data!$C$2:$C$1201, I14, Raw_Data!$H$2:$H$1201)</f>
        <v/>
      </c>
      <c r="O14" s="13">
        <f>SUMIF(Raw_Data!$C$2:$C$1201, I14, Raw_Data!$G$2:$G$1201)</f>
        <v/>
      </c>
    </row>
    <row r="15">
      <c r="A15" s="21" t="inlineStr">
        <is>
          <t>2026</t>
        </is>
      </c>
      <c r="B15" s="13">
        <f>COUNTIF(Raw_Data!$I$2:$I$1201, A15)</f>
        <v/>
      </c>
      <c r="C15" s="14">
        <f>AVERAGEIF(Raw_Data!$I$2:$I$1201, A15, Raw_Data!$E$2:$E$1201)</f>
        <v/>
      </c>
      <c r="D15" s="14">
        <f>AVERAGEIF(Raw_Data!$I$2:$I$1201, A15, Raw_Data!$F$2:$F$1201)</f>
        <v/>
      </c>
      <c r="E15" s="15">
        <f>AVERAGEIF(Raw_Data!$I$2:$I$1201, A15, Raw_Data!$K$2:$K$1201)</f>
        <v/>
      </c>
      <c r="F15" s="13">
        <f>SUMIF(Raw_Data!$I$2:$I$1201, A15, Raw_Data!$H$2:$H$1201)</f>
        <v/>
      </c>
      <c r="G15" s="13">
        <f>SUMIF(Raw_Data!$I$2:$I$1201, A15, Raw_Data!$G$2:$G$1201)</f>
        <v/>
      </c>
      <c r="I15" s="22" t="inlineStr">
        <is>
          <t>영진닷컴</t>
        </is>
      </c>
      <c r="J15" s="13">
        <f>COUNTIF(Raw_Data!$C$2:$C$1201, I15)</f>
        <v/>
      </c>
      <c r="K15" s="14">
        <f>AVERAGEIF(Raw_Data!$C$2:$C$1201, I15, Raw_Data!$E$2:$E$1201)</f>
        <v/>
      </c>
      <c r="L15" s="14">
        <f>AVERAGEIF(Raw_Data!$C$2:$C$1201, I15, Raw_Data!$F$2:$F$1201)</f>
        <v/>
      </c>
      <c r="M15" s="15">
        <f>AVERAGEIF(Raw_Data!$C$2:$C$1201, I15, Raw_Data!$K$2:$K$1201)</f>
        <v/>
      </c>
      <c r="N15" s="13">
        <f>SUMIF(Raw_Data!$C$2:$C$1201, I15, Raw_Data!$H$2:$H$1201)</f>
        <v/>
      </c>
      <c r="O15" s="13">
        <f>SUMIF(Raw_Data!$C$2:$C$1201, I15, Raw_Data!$G$2:$G$1201)</f>
        <v/>
      </c>
    </row>
    <row r="16">
      <c r="A16" s="23" t="inlineStr">
        <is>
          <t>합계</t>
        </is>
      </c>
      <c r="B16" s="24">
        <f>SUM(B2:B15)</f>
        <v/>
      </c>
      <c r="C16" s="25">
        <f>AVERAGE(C2:C15)</f>
        <v/>
      </c>
      <c r="D16" s="25">
        <f>AVERAGE(D2:D15)</f>
        <v/>
      </c>
      <c r="E16" s="26">
        <f>AVERAGE(E2:E15)</f>
        <v/>
      </c>
      <c r="F16" s="24">
        <f>SUM(F2:F15)</f>
        <v/>
      </c>
      <c r="G16" s="24">
        <f>SUM(G2:G15)</f>
        <v/>
      </c>
      <c r="I16" s="22" t="inlineStr">
        <is>
          <t>리코멘드</t>
        </is>
      </c>
      <c r="J16" s="13">
        <f>COUNTIF(Raw_Data!$C$2:$C$1201, I16)</f>
        <v/>
      </c>
      <c r="K16" s="14">
        <f>AVERAGEIF(Raw_Data!$C$2:$C$1201, I16, Raw_Data!$E$2:$E$1201)</f>
        <v/>
      </c>
      <c r="L16" s="14">
        <f>AVERAGEIF(Raw_Data!$C$2:$C$1201, I16, Raw_Data!$F$2:$F$1201)</f>
        <v/>
      </c>
      <c r="M16" s="15">
        <f>AVERAGEIF(Raw_Data!$C$2:$C$1201, I16, Raw_Data!$K$2:$K$1201)</f>
        <v/>
      </c>
      <c r="N16" s="13">
        <f>SUMIF(Raw_Data!$C$2:$C$1201, I16, Raw_Data!$H$2:$H$1201)</f>
        <v/>
      </c>
      <c r="O16" s="13">
        <f>SUMIF(Raw_Data!$C$2:$C$1201, I16, Raw_Data!$G$2:$G$1201)</f>
        <v/>
      </c>
    </row>
    <row r="17">
      <c r="I17" s="23" t="inlineStr">
        <is>
          <t>합계</t>
        </is>
      </c>
      <c r="J17" s="24">
        <f>SUM(J2:J16)</f>
        <v/>
      </c>
      <c r="K17" s="25">
        <f>AVERAGE(K2:K16)</f>
        <v/>
      </c>
      <c r="L17" s="25">
        <f>AVERAGE(L2:L16)</f>
        <v/>
      </c>
      <c r="M17" s="26">
        <f>AVERAGE(M2:M16)</f>
        <v/>
      </c>
      <c r="N17" s="24">
        <f>SUM(N2:N16)</f>
        <v/>
      </c>
      <c r="O17" s="24">
        <f>SUM(O2:O16)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9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37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클로드 코드로 시작하는 실전 에이전틱 코딩</t>
        </is>
      </c>
      <c r="B2" s="22" t="inlineStr">
        <is>
          <t>Goos Kim</t>
        </is>
      </c>
      <c r="C2" s="22" t="inlineStr">
        <is>
          <t>더 타이즈</t>
        </is>
      </c>
      <c r="D2" s="22" t="inlineStr">
        <is>
          <t>2026년 05월</t>
        </is>
      </c>
      <c r="E2" s="28" t="n">
        <v>33000</v>
      </c>
      <c r="F2" s="28" t="n">
        <v>29700</v>
      </c>
      <c r="G2" s="29" t="n">
        <v>11</v>
      </c>
      <c r="H2" s="29" t="n">
        <v>24912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바로바로 클로드 with 코워크, 스킬, 클로드 코드, 디자인</t>
        </is>
      </c>
      <c r="B3" s="22" t="inlineStr">
        <is>
          <t>차진우</t>
        </is>
      </c>
      <c r="C3" s="22" t="inlineStr">
        <is>
          <t>골든래빗</t>
        </is>
      </c>
      <c r="D3" s="22" t="inlineStr">
        <is>
          <t>2026년 05월</t>
        </is>
      </c>
      <c r="E3" s="28" t="n">
        <v>28000</v>
      </c>
      <c r="F3" s="28" t="n">
        <v>25200</v>
      </c>
      <c r="G3" s="29" t="n">
        <v>1</v>
      </c>
      <c r="H3" s="29" t="n">
        <v>21747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조코딩의 바이브 코딩 1인 창업 with 클로드 코드, 수파베이스, 스트라이프</t>
        </is>
      </c>
      <c r="B4" s="22" t="inlineStr">
        <is>
          <t>조동근</t>
        </is>
      </c>
      <c r="C4" s="22" t="inlineStr">
        <is>
          <t>한빛미디어</t>
        </is>
      </c>
      <c r="D4" s="22" t="inlineStr">
        <is>
          <t>2026년 05월</t>
        </is>
      </c>
      <c r="E4" s="28" t="n">
        <v>30000</v>
      </c>
      <c r="F4" s="28" t="n">
        <v>27000</v>
      </c>
      <c r="G4" s="29" t="n">
        <v>2</v>
      </c>
      <c r="H4" s="29" t="n">
        <v>15939</v>
      </c>
      <c r="I4" s="21" t="inlineStr">
        <is>
          <t>2026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하네스 엔지니어링 with 클로드 코드</t>
        </is>
      </c>
      <c r="B5" s="22" t="inlineStr">
        <is>
          <t>황민호</t>
        </is>
      </c>
      <c r="C5" s="22" t="inlineStr">
        <is>
          <t>한빛미디어</t>
        </is>
      </c>
      <c r="D5" s="22" t="inlineStr">
        <is>
          <t>2026년 06월</t>
        </is>
      </c>
      <c r="E5" s="28" t="n">
        <v>30000</v>
      </c>
      <c r="F5" s="28" t="n">
        <v>27000</v>
      </c>
      <c r="G5" s="29" t="n">
        <v>1</v>
      </c>
      <c r="H5" s="29" t="n">
        <v>10287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요즘 교사를 위한 에듀테크 5대장 : 캔바, 패들렛, 북크리에이터, 노션, 챗GPT∙제미나이</t>
        </is>
      </c>
      <c r="B6" s="22" t="inlineStr">
        <is>
          <t>안익재, 황의태</t>
        </is>
      </c>
      <c r="C6" s="22" t="inlineStr">
        <is>
          <t>앤써북</t>
        </is>
      </c>
      <c r="D6" s="22" t="inlineStr">
        <is>
          <t>2025년 12월</t>
        </is>
      </c>
      <c r="E6" s="28" t="n">
        <v>19800</v>
      </c>
      <c r="F6" s="28" t="n">
        <v>17820</v>
      </c>
      <c r="G6" s="29" t="n">
        <v>92</v>
      </c>
      <c r="H6" s="29" t="n">
        <v>36312</v>
      </c>
      <c r="I6" s="21" t="inlineStr">
        <is>
          <t>2025</t>
        </is>
      </c>
      <c r="J6" s="21" t="inlineStr">
        <is>
          <t xml:space="preserve"> 1</t>
        </is>
      </c>
      <c r="K6" s="30">
        <f>(E6-F6)/IF(E6&gt;0,E6,1)</f>
        <v/>
      </c>
    </row>
    <row r="7">
      <c r="A7" s="22" t="inlineStr">
        <is>
          <t>AI 시대의 질문력, 프롬프트 엔지니어링</t>
        </is>
      </c>
      <c r="B7" s="22" t="inlineStr">
        <is>
          <t>류한석</t>
        </is>
      </c>
      <c r="C7" s="22" t="inlineStr">
        <is>
          <t>코리아닷컴(Korea.com)</t>
        </is>
      </c>
      <c r="D7" s="22" t="inlineStr">
        <is>
          <t>2025년 08월</t>
        </is>
      </c>
      <c r="E7" s="28" t="n">
        <v>27000</v>
      </c>
      <c r="F7" s="28" t="n">
        <v>24300</v>
      </c>
      <c r="G7" s="29" t="n">
        <v>61</v>
      </c>
      <c r="H7" s="29" t="n">
        <v>68079</v>
      </c>
      <c r="I7" s="21" t="inlineStr">
        <is>
          <t>2025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클로드 코드 마스터</t>
        </is>
      </c>
      <c r="B8" s="22" t="inlineStr">
        <is>
          <t>이남희, 백승현</t>
        </is>
      </c>
      <c r="C8" s="22" t="inlineStr">
        <is>
          <t>한빛미디어</t>
        </is>
      </c>
      <c r="D8" s="22" t="inlineStr">
        <is>
          <t>2026년 04월</t>
        </is>
      </c>
      <c r="E8" s="28" t="n">
        <v>36000</v>
      </c>
      <c r="F8" s="28" t="n">
        <v>32400</v>
      </c>
      <c r="G8" s="29" t="n">
        <v>23</v>
      </c>
      <c r="H8" s="29" t="n">
        <v>17244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된다! 캡컷 영상 편집</t>
        </is>
      </c>
      <c r="B9" s="22" t="inlineStr">
        <is>
          <t>지민이</t>
        </is>
      </c>
      <c r="C9" s="22" t="inlineStr">
        <is>
          <t>이지스퍼블리싱</t>
        </is>
      </c>
      <c r="D9" s="22" t="inlineStr">
        <is>
          <t>2026년 05월</t>
        </is>
      </c>
      <c r="E9" s="28" t="n">
        <v>22000</v>
      </c>
      <c r="F9" s="28" t="n">
        <v>19800</v>
      </c>
      <c r="G9" s="29" t="n">
        <v>17</v>
      </c>
      <c r="H9" s="29" t="n">
        <v>10254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바쁜 교사를 위한 바로 쓰는 AI</t>
        </is>
      </c>
      <c r="B10" s="22" t="inlineStr">
        <is>
          <t>전소영, 이태화, 조두연</t>
        </is>
      </c>
      <c r="C10" s="22" t="inlineStr">
        <is>
          <t>사회평론아카데미</t>
        </is>
      </c>
      <c r="D10" s="22" t="inlineStr">
        <is>
          <t>2026년 04월</t>
        </is>
      </c>
      <c r="E10" s="28" t="n">
        <v>24000</v>
      </c>
      <c r="F10" s="28" t="n">
        <v>21600</v>
      </c>
      <c r="G10" s="29" t="n">
        <v>17</v>
      </c>
      <c r="H10" s="29" t="n">
        <v>17976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바로바로 제미나이 X 구글 AI</t>
        </is>
      </c>
      <c r="B11" s="22" t="inlineStr">
        <is>
          <t>공냥이</t>
        </is>
      </c>
      <c r="C11" s="22" t="inlineStr">
        <is>
          <t>골든래빗</t>
        </is>
      </c>
      <c r="D11" s="22" t="inlineStr">
        <is>
          <t>2026년 06월</t>
        </is>
      </c>
      <c r="E11" s="28" t="n">
        <v>24000</v>
      </c>
      <c r="F11" s="28" t="n">
        <v>21600</v>
      </c>
      <c r="G11" s="29" t="n">
        <v>1</v>
      </c>
      <c r="H11" s="29" t="n">
        <v>7152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클로드 코워크 with 스킬, 플러그인</t>
        </is>
      </c>
      <c r="B12" s="22" t="inlineStr">
        <is>
          <t>클리커, 강민혁</t>
        </is>
      </c>
      <c r="C12" s="22" t="inlineStr">
        <is>
          <t>한빛미디어</t>
        </is>
      </c>
      <c r="D12" s="22" t="inlineStr">
        <is>
          <t>2026년 03월</t>
        </is>
      </c>
      <c r="E12" s="28" t="n">
        <v>26000</v>
      </c>
      <c r="F12" s="28" t="n">
        <v>23400</v>
      </c>
      <c r="G12" s="29" t="n">
        <v>23</v>
      </c>
      <c r="H12" s="29" t="n">
        <v>14913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AI 실전 마스터 칼릭스의 프롬프트 디테일</t>
        </is>
      </c>
      <c r="B13" s="22" t="inlineStr">
        <is>
          <t>칼릭스(손윤석)</t>
        </is>
      </c>
      <c r="C13" s="22" t="inlineStr">
        <is>
          <t>한빛비즈</t>
        </is>
      </c>
      <c r="D13" s="22" t="inlineStr">
        <is>
          <t>2026년 04월</t>
        </is>
      </c>
      <c r="E13" s="28" t="n">
        <v>22000</v>
      </c>
      <c r="F13" s="28" t="n">
        <v>19800</v>
      </c>
      <c r="G13" s="29" t="n">
        <v>12</v>
      </c>
      <c r="H13" s="29" t="n">
        <v>9570</v>
      </c>
      <c r="I13" s="21" t="inlineStr">
        <is>
          <t>2026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요즘 교사를 위한 AI 수업 활용 가이드 with 2022 개정 교육과정</t>
        </is>
      </c>
      <c r="B14" s="22" t="inlineStr">
        <is>
          <t>박진환, 공지훈, 서원진</t>
        </is>
      </c>
      <c r="C14" s="22" t="inlineStr">
        <is>
          <t>한빛미디어</t>
        </is>
      </c>
      <c r="D14" s="22" t="inlineStr">
        <is>
          <t>2025년 05월</t>
        </is>
      </c>
      <c r="E14" s="28" t="n">
        <v>20000</v>
      </c>
      <c r="F14" s="28" t="n">
        <v>18000</v>
      </c>
      <c r="G14" s="29" t="n">
        <v>65</v>
      </c>
      <c r="H14" s="29" t="n">
        <v>87927</v>
      </c>
      <c r="I14" s="21" t="inlineStr">
        <is>
          <t>2025</t>
        </is>
      </c>
      <c r="J14" s="21" t="inlineStr">
        <is>
          <t xml:space="preserve"> 0</t>
        </is>
      </c>
      <c r="K14" s="30">
        <f>(E14-F14)/IF(E14&gt;0,E14,1)</f>
        <v/>
      </c>
    </row>
    <row r="15">
      <c r="A15" s="22" t="inlineStr">
        <is>
          <t>된다! 하루 만에 끝내는 제미나이 활용법</t>
        </is>
      </c>
      <c r="B15" s="22" t="inlineStr">
        <is>
          <t>권서림</t>
        </is>
      </c>
      <c r="C15" s="22" t="inlineStr">
        <is>
          <t>이지스퍼블리싱</t>
        </is>
      </c>
      <c r="D15" s="22" t="inlineStr">
        <is>
          <t>2025년 11월</t>
        </is>
      </c>
      <c r="E15" s="28" t="n">
        <v>20000</v>
      </c>
      <c r="F15" s="28" t="n">
        <v>18000</v>
      </c>
      <c r="G15" s="29" t="n">
        <v>78</v>
      </c>
      <c r="H15" s="29" t="n">
        <v>73338</v>
      </c>
      <c r="I15" s="21" t="inlineStr">
        <is>
          <t>2025</t>
        </is>
      </c>
      <c r="J15" s="21" t="inlineStr">
        <is>
          <t xml:space="preserve"> 1</t>
        </is>
      </c>
      <c r="K15" s="30">
        <f>(E15-F15)/IF(E15&gt;0,E15,1)</f>
        <v/>
      </c>
    </row>
    <row r="16">
      <c r="A16" s="22" t="inlineStr">
        <is>
          <t>자연은 왜 이토록 단순하면서도 아름다운가</t>
        </is>
      </c>
      <c r="B16" s="22" t="inlineStr">
        <is>
          <t>로버트 칸, 크리스 퀴그, 박병철</t>
        </is>
      </c>
      <c r="C16" s="22" t="inlineStr">
        <is>
          <t>알에이치코리아(RHK)</t>
        </is>
      </c>
      <c r="D16" s="22" t="inlineStr">
        <is>
          <t>2026년 04월</t>
        </is>
      </c>
      <c r="E16" s="28" t="n">
        <v>35000</v>
      </c>
      <c r="F16" s="28" t="n">
        <v>31500</v>
      </c>
      <c r="G16" s="29" t="n">
        <v>12</v>
      </c>
      <c r="H16" s="29" t="n">
        <v>8523</v>
      </c>
      <c r="I16" s="21" t="inlineStr">
        <is>
          <t>2026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다시, 소프트웨어 엔지니어</t>
        </is>
      </c>
      <c r="B17" s="22" t="inlineStr">
        <is>
          <t>네서니얼 슈타, 댄 베가, 박성철</t>
        </is>
      </c>
      <c r="C17" s="22" t="inlineStr">
        <is>
          <t>책만</t>
        </is>
      </c>
      <c r="D17" s="22" t="inlineStr">
        <is>
          <t>2026년 05월</t>
        </is>
      </c>
      <c r="E17" s="28" t="n">
        <v>30000</v>
      </c>
      <c r="F17" s="28" t="n">
        <v>27000</v>
      </c>
      <c r="G17" s="29" t="n">
        <v>0</v>
      </c>
      <c r="H17" s="29" t="n">
        <v>5025</v>
      </c>
      <c r="I17" s="21" t="inlineStr">
        <is>
          <t>2026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요즘 교사를 위한 에듀테크 수업 활용 가이드 with 2022 개정 교육과정</t>
        </is>
      </c>
      <c r="B18" s="22" t="inlineStr">
        <is>
          <t>박진환, 서원진, 박권</t>
        </is>
      </c>
      <c r="C18" s="22" t="inlineStr">
        <is>
          <t>한빛미디어</t>
        </is>
      </c>
      <c r="D18" s="22" t="inlineStr">
        <is>
          <t>2026년 04월</t>
        </is>
      </c>
      <c r="E18" s="28" t="n">
        <v>24000</v>
      </c>
      <c r="F18" s="28" t="n">
        <v>21600</v>
      </c>
      <c r="G18" s="29" t="n">
        <v>123</v>
      </c>
      <c r="H18" s="29" t="n">
        <v>11856</v>
      </c>
      <c r="I18" s="21" t="inlineStr">
        <is>
          <t>2026</t>
        </is>
      </c>
      <c r="J18" s="21" t="inlineStr">
        <is>
          <t xml:space="preserve"> 0</t>
        </is>
      </c>
      <c r="K18" s="30">
        <f>(E18-F18)/IF(E18&gt;0,E18,1)</f>
        <v/>
      </c>
    </row>
    <row r="19">
      <c r="A19" s="22" t="inlineStr">
        <is>
          <t>클로드 코드를 활용한 바이브 코딩 완벽 입문</t>
        </is>
      </c>
      <c r="B19" s="22" t="inlineStr">
        <is>
          <t>히라카와 토모히데, 최용</t>
        </is>
      </c>
      <c r="C19" s="22" t="inlineStr">
        <is>
          <t>위키북스</t>
        </is>
      </c>
      <c r="D19" s="22" t="inlineStr">
        <is>
          <t>2026년 03월</t>
        </is>
      </c>
      <c r="E19" s="28" t="n">
        <v>26000</v>
      </c>
      <c r="F19" s="28" t="n">
        <v>23400</v>
      </c>
      <c r="G19" s="29" t="n">
        <v>8</v>
      </c>
      <c r="H19" s="29" t="n">
        <v>15519</v>
      </c>
      <c r="I19" s="21" t="inlineStr">
        <is>
          <t>2026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바이브 코더를 위한 최소한의 AI/IT 지식</t>
        </is>
      </c>
      <c r="B20" s="22" t="inlineStr">
        <is>
          <t>클리커, 이희영</t>
        </is>
      </c>
      <c r="C20" s="22" t="inlineStr">
        <is>
          <t>한빛미디어</t>
        </is>
      </c>
      <c r="D20" s="22" t="inlineStr">
        <is>
          <t>2026년 04월</t>
        </is>
      </c>
      <c r="E20" s="28" t="n">
        <v>22000</v>
      </c>
      <c r="F20" s="28" t="n">
        <v>19800</v>
      </c>
      <c r="G20" s="29" t="n">
        <v>52</v>
      </c>
      <c r="H20" s="29" t="n">
        <v>7251</v>
      </c>
      <c r="I20" s="21" t="inlineStr">
        <is>
          <t>2026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제미나이 교사 마스터 플랜 (2026년 최신판)</t>
        </is>
      </c>
      <c r="B21" s="22" t="inlineStr">
        <is>
          <t>한민철</t>
        </is>
      </c>
      <c r="C21" s="22" t="inlineStr">
        <is>
          <t>책바세</t>
        </is>
      </c>
      <c r="D21" s="22" t="inlineStr">
        <is>
          <t>2026년 04월</t>
        </is>
      </c>
      <c r="E21" s="28" t="n">
        <v>30000</v>
      </c>
      <c r="F21" s="28" t="n">
        <v>27000</v>
      </c>
      <c r="G21" s="29" t="n">
        <v>26</v>
      </c>
      <c r="H21" s="29" t="n">
        <v>9459</v>
      </c>
      <c r="I21" s="21" t="inlineStr">
        <is>
          <t>2026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학교에서 바로 쓰는 제미나이 &amp; 노트북LM</t>
        </is>
      </c>
      <c r="B22" s="22" t="inlineStr">
        <is>
          <t>손성호, 김민, 김상백, 송유미, 박권, 정보 더 보기/감추기, 손성호, 김민, 김상백, 송유미, 박권, 최동욱</t>
        </is>
      </c>
      <c r="C22" s="22" t="inlineStr">
        <is>
          <t>학교도서관저널</t>
        </is>
      </c>
      <c r="D22" s="22" t="inlineStr">
        <is>
          <t>2026년 04월</t>
        </is>
      </c>
      <c r="E22" s="28" t="n">
        <v>19000</v>
      </c>
      <c r="F22" s="28" t="n">
        <v>17100</v>
      </c>
      <c r="G22" s="29" t="n">
        <v>13</v>
      </c>
      <c r="H22" s="29" t="n">
        <v>11061</v>
      </c>
      <c r="I22" s="21" t="inlineStr">
        <is>
          <t>2026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오픈클로 with GPT, 제미나이, 클로드</t>
        </is>
      </c>
      <c r="B23" s="22" t="inlineStr">
        <is>
          <t>강민혁</t>
        </is>
      </c>
      <c r="C23" s="22" t="inlineStr">
        <is>
          <t>한빛미디어</t>
        </is>
      </c>
      <c r="D23" s="22" t="inlineStr">
        <is>
          <t>2026년 03월</t>
        </is>
      </c>
      <c r="E23" s="28" t="n">
        <v>22000</v>
      </c>
      <c r="F23" s="28" t="n">
        <v>19800</v>
      </c>
      <c r="G23" s="29" t="n">
        <v>25</v>
      </c>
      <c r="H23" s="29" t="n">
        <v>12063</v>
      </c>
      <c r="I23" s="21" t="inlineStr">
        <is>
          <t>2026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AI 에이전트 개발 완벽 입문</t>
        </is>
      </c>
      <c r="B24" s="22" t="inlineStr">
        <is>
          <t>에디 유, 김대규, 조경아, 김현지</t>
        </is>
      </c>
      <c r="C24" s="22" t="inlineStr">
        <is>
          <t>위키북스</t>
        </is>
      </c>
      <c r="D24" s="22" t="inlineStr">
        <is>
          <t>2026년 04월</t>
        </is>
      </c>
      <c r="E24" s="28" t="n">
        <v>42000</v>
      </c>
      <c r="F24" s="28" t="n">
        <v>37800</v>
      </c>
      <c r="G24" s="29" t="n">
        <v>21</v>
      </c>
      <c r="H24" s="29" t="n">
        <v>6285</v>
      </c>
      <c r="I24" s="21" t="inlineStr">
        <is>
          <t>2026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일 잘하는 직장인의 AI 활용법</t>
        </is>
      </c>
      <c r="B25" s="22" t="inlineStr">
        <is>
          <t>김덕중, 김민정, 김인선</t>
        </is>
      </c>
      <c r="C25" s="22" t="inlineStr">
        <is>
          <t>디지털북스</t>
        </is>
      </c>
      <c r="D25" s="22" t="inlineStr">
        <is>
          <t>2026년 05월</t>
        </is>
      </c>
      <c r="E25" s="28" t="n">
        <v>22000</v>
      </c>
      <c r="F25" s="28" t="n">
        <v>19800</v>
      </c>
      <c r="G25" s="29" t="n">
        <v>0</v>
      </c>
      <c r="H25" s="29" t="n">
        <v>3702</v>
      </c>
      <c r="I25" s="21" t="inlineStr">
        <is>
          <t>2026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수업에 바로 쓰는 일잘러 선생님의 캔바 Canva 활용법</t>
        </is>
      </c>
      <c r="B26" s="22" t="inlineStr">
        <is>
          <t>황은지</t>
        </is>
      </c>
      <c r="C26" s="22" t="inlineStr">
        <is>
          <t>제이펍</t>
        </is>
      </c>
      <c r="D26" s="22" t="inlineStr">
        <is>
          <t>2026년 05월</t>
        </is>
      </c>
      <c r="E26" s="28" t="n">
        <v>22000</v>
      </c>
      <c r="F26" s="28" t="n">
        <v>19800</v>
      </c>
      <c r="G26" s="29" t="n">
        <v>32</v>
      </c>
      <c r="H26" s="29" t="n">
        <v>6069</v>
      </c>
      <c r="I26" s="21" t="inlineStr">
        <is>
          <t>2026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이게 되네? 캔바 AI 미친 활용법 47제</t>
        </is>
      </c>
      <c r="B27" s="22" t="inlineStr">
        <is>
          <t>이지쌤(이지훈)</t>
        </is>
      </c>
      <c r="C27" s="22" t="inlineStr">
        <is>
          <t>골든래빗</t>
        </is>
      </c>
      <c r="D27" s="22" t="inlineStr">
        <is>
          <t>2026년 05월</t>
        </is>
      </c>
      <c r="E27" s="28" t="n">
        <v>24000</v>
      </c>
      <c r="F27" s="28" t="n">
        <v>21600</v>
      </c>
      <c r="G27" s="29" t="n">
        <v>15</v>
      </c>
      <c r="H27" s="29" t="n">
        <v>4869</v>
      </c>
      <c r="I27" s="21" t="inlineStr">
        <is>
          <t>2026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AI 에이전트 엔지니어링</t>
        </is>
      </c>
      <c r="B28" s="22" t="inlineStr">
        <is>
          <t>마이클 알바다, 강민혁</t>
        </is>
      </c>
      <c r="C28" s="22" t="inlineStr">
        <is>
          <t>한빛미디어</t>
        </is>
      </c>
      <c r="D28" s="22" t="inlineStr">
        <is>
          <t>2026년 01월</t>
        </is>
      </c>
      <c r="E28" s="28" t="n">
        <v>32000</v>
      </c>
      <c r="F28" s="28" t="n">
        <v>28800</v>
      </c>
      <c r="G28" s="29" t="n">
        <v>17</v>
      </c>
      <c r="H28" s="29" t="n">
        <v>12336</v>
      </c>
      <c r="I28" s="21" t="inlineStr">
        <is>
          <t>2026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요즘 교사를 위한 AI 바이브 코딩 활용 가이드 with 2022 개정 교육과정</t>
        </is>
      </c>
      <c r="B29" s="22" t="inlineStr">
        <is>
          <t>공지훈, 곽수창, 박준효</t>
        </is>
      </c>
      <c r="C29" s="22" t="inlineStr">
        <is>
          <t>한빛미디어</t>
        </is>
      </c>
      <c r="D29" s="22" t="inlineStr">
        <is>
          <t>2026년 05월</t>
        </is>
      </c>
      <c r="E29" s="28" t="n">
        <v>22000</v>
      </c>
      <c r="F29" s="28" t="n">
        <v>19800</v>
      </c>
      <c r="G29" s="29" t="n">
        <v>97</v>
      </c>
      <c r="H29" s="29" t="n">
        <v>5553</v>
      </c>
      <c r="I29" s="21" t="inlineStr">
        <is>
          <t>2026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세컨드 브레인은 옵시디언 with 클로드 코드</t>
        </is>
      </c>
      <c r="B30" s="22" t="inlineStr">
        <is>
          <t>시안</t>
        </is>
      </c>
      <c r="C30" s="22" t="inlineStr">
        <is>
          <t>골든래빗</t>
        </is>
      </c>
      <c r="D30" s="22" t="inlineStr">
        <is>
          <t>2026년 04월</t>
        </is>
      </c>
      <c r="E30" s="28" t="n">
        <v>25000</v>
      </c>
      <c r="F30" s="28" t="n">
        <v>23750</v>
      </c>
      <c r="G30" s="29" t="n">
        <v>36</v>
      </c>
      <c r="H30" s="29" t="n">
        <v>5397</v>
      </c>
      <c r="I30" s="21" t="inlineStr">
        <is>
          <t>2026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누구나 쉽게 AI 작사 &amp; 작곡 with 생성형 인공지능, 챗GPT, 수노, 유디오</t>
        </is>
      </c>
      <c r="B31" s="22" t="inlineStr">
        <is>
          <t>현병욱(오땡큐), 신수진</t>
        </is>
      </c>
      <c r="C31" s="22" t="inlineStr">
        <is>
          <t>시프트</t>
        </is>
      </c>
      <c r="D31" s="22" t="inlineStr">
        <is>
          <t>2025년 09월</t>
        </is>
      </c>
      <c r="E31" s="28" t="n">
        <v>20000</v>
      </c>
      <c r="F31" s="28" t="n">
        <v>18000</v>
      </c>
      <c r="G31" s="29" t="n">
        <v>30</v>
      </c>
      <c r="H31" s="29" t="n">
        <v>19986</v>
      </c>
      <c r="I31" s="21" t="inlineStr">
        <is>
          <t>2025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만들면서 배우는 AI 에이전트 개발 입문+실전</t>
        </is>
      </c>
      <c r="B32" s="22" t="inlineStr">
        <is>
          <t>박나연(공원나연)</t>
        </is>
      </c>
      <c r="C32" s="22" t="inlineStr">
        <is>
          <t>한빛미디어</t>
        </is>
      </c>
      <c r="D32" s="22" t="inlineStr">
        <is>
          <t>2026년 05월</t>
        </is>
      </c>
      <c r="E32" s="28" t="n">
        <v>37000</v>
      </c>
      <c r="F32" s="28" t="n">
        <v>33300</v>
      </c>
      <c r="G32" s="29" t="n">
        <v>42</v>
      </c>
      <c r="H32" s="29" t="n">
        <v>4923</v>
      </c>
      <c r="I32" s="21" t="inlineStr">
        <is>
          <t>2026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누구나 아는 나만 모르는 제미나이</t>
        </is>
      </c>
      <c r="B33" s="22" t="inlineStr">
        <is>
          <t>이성원</t>
        </is>
      </c>
      <c r="C33" s="22" t="inlineStr">
        <is>
          <t>한빛미디어</t>
        </is>
      </c>
      <c r="D33" s="22" t="inlineStr">
        <is>
          <t>2026년 01월</t>
        </is>
      </c>
      <c r="E33" s="28" t="n">
        <v>19000</v>
      </c>
      <c r="F33" s="28" t="n">
        <v>17100</v>
      </c>
      <c r="G33" s="29" t="n">
        <v>43</v>
      </c>
      <c r="H33" s="29" t="n">
        <v>14067</v>
      </c>
      <c r="I33" s="21" t="inlineStr">
        <is>
          <t>2026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AI 생존 지도</t>
        </is>
      </c>
      <c r="B34" s="22" t="inlineStr">
        <is>
          <t>이석현</t>
        </is>
      </c>
      <c r="C34" s="22" t="inlineStr">
        <is>
          <t>여림재</t>
        </is>
      </c>
      <c r="D34" s="22" t="inlineStr">
        <is>
          <t>2026년 06월</t>
        </is>
      </c>
      <c r="E34" s="28" t="n">
        <v>20000</v>
      </c>
      <c r="F34" s="28" t="n">
        <v>18000</v>
      </c>
      <c r="G34" s="29" t="n">
        <v>0</v>
      </c>
      <c r="H34" s="29" t="n">
        <v>1830</v>
      </c>
      <c r="I34" s="21" t="inlineStr">
        <is>
          <t>2026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기계가 언어를 사용한다는 것에 대한 인문학적 사유</t>
        </is>
      </c>
      <c r="B35" s="22" t="inlineStr">
        <is>
          <t>마크 코켈버그, 데이비드 J.건컬, 신동숙, 손화철</t>
        </is>
      </c>
      <c r="C35" s="22" t="inlineStr">
        <is>
          <t>생각이음</t>
        </is>
      </c>
      <c r="D35" s="22" t="inlineStr">
        <is>
          <t>2026년 04월</t>
        </is>
      </c>
      <c r="E35" s="28" t="n">
        <v>19000</v>
      </c>
      <c r="F35" s="28" t="n">
        <v>17100</v>
      </c>
      <c r="G35" s="29" t="n">
        <v>0</v>
      </c>
      <c r="H35" s="29" t="n">
        <v>3000</v>
      </c>
      <c r="I35" s="21" t="inlineStr">
        <is>
          <t>2026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클로드 디자인 시작하기</t>
        </is>
      </c>
      <c r="B36" s="22" t="inlineStr">
        <is>
          <t>조남경</t>
        </is>
      </c>
      <c r="C36" s="22" t="inlineStr">
        <is>
          <t>비엘북스</t>
        </is>
      </c>
      <c r="D36" s="22" t="inlineStr">
        <is>
          <t>2026년 05월</t>
        </is>
      </c>
      <c r="E36" s="28" t="n">
        <v>25000</v>
      </c>
      <c r="F36" s="28" t="n">
        <v>22500</v>
      </c>
      <c r="G36" s="29" t="n">
        <v>0</v>
      </c>
      <c r="H36" s="29" t="n">
        <v>3546</v>
      </c>
      <c r="I36" s="21" t="inlineStr">
        <is>
          <t>2026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요즘 바이브 코딩 코덱스 완벽 가이드</t>
        </is>
      </c>
      <c r="B37" s="22" t="inlineStr">
        <is>
          <t>윤재원</t>
        </is>
      </c>
      <c r="C37" s="22" t="inlineStr">
        <is>
          <t>골든래빗</t>
        </is>
      </c>
      <c r="D37" s="22" t="inlineStr">
        <is>
          <t>2026년 02월</t>
        </is>
      </c>
      <c r="E37" s="28" t="n">
        <v>28000</v>
      </c>
      <c r="F37" s="28" t="n">
        <v>25200</v>
      </c>
      <c r="G37" s="29" t="n">
        <v>35</v>
      </c>
      <c r="H37" s="29" t="n">
        <v>5541</v>
      </c>
      <c r="I37" s="21" t="inlineStr">
        <is>
          <t>2026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AI로 10배 빠르게 일하는 법</t>
        </is>
      </c>
      <c r="B38" s="22" t="inlineStr">
        <is>
          <t>이도혜, 고신복, 김경태, 박소희, 박은혜, 정보 더 보기/감추기, 이도혜, 고신복, 김경태, 박소희, 박은혜, 양유직, 오세종, 정광우, 조난영, 진효식, 허난희, 김진선</t>
        </is>
      </c>
      <c r="C38" s="22" t="inlineStr">
        <is>
          <t>미디어북</t>
        </is>
      </c>
      <c r="D38" s="22" t="inlineStr">
        <is>
          <t>2026년 05월</t>
        </is>
      </c>
      <c r="E38" s="28" t="n">
        <v>20000</v>
      </c>
      <c r="F38" s="28" t="n">
        <v>20000</v>
      </c>
      <c r="G38" s="29" t="n">
        <v>43</v>
      </c>
      <c r="H38" s="29" t="n">
        <v>3453</v>
      </c>
      <c r="I38" s="21" t="inlineStr">
        <is>
          <t>2026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2" t="inlineStr">
        <is>
          <t>AI 리터러시 플러스+: 인공지능 기본부터 도구 선택, 조합, 실전 활용까지</t>
        </is>
      </c>
      <c r="B39" s="22" t="inlineStr">
        <is>
          <t>김용성</t>
        </is>
      </c>
      <c r="C39" s="22" t="inlineStr">
        <is>
          <t>프리렉</t>
        </is>
      </c>
      <c r="D39" s="22" t="inlineStr">
        <is>
          <t>2026년 04월</t>
        </is>
      </c>
      <c r="E39" s="28" t="n">
        <v>25000</v>
      </c>
      <c r="F39" s="28" t="n">
        <v>22500</v>
      </c>
      <c r="G39" s="29" t="n">
        <v>205</v>
      </c>
      <c r="H39" s="29" t="n">
        <v>3696</v>
      </c>
      <c r="I39" s="21" t="inlineStr">
        <is>
          <t>2026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2" t="inlineStr">
        <is>
          <t>된다! 하루 만에 끝내는 챗GPT 활용법</t>
        </is>
      </c>
      <c r="B40" s="22" t="inlineStr">
        <is>
          <t>프롬프트 크리에이터</t>
        </is>
      </c>
      <c r="C40" s="22" t="inlineStr">
        <is>
          <t>이지스퍼블리싱</t>
        </is>
      </c>
      <c r="D40" s="22" t="inlineStr">
        <is>
          <t>2025년 06월</t>
        </is>
      </c>
      <c r="E40" s="28" t="n">
        <v>20000</v>
      </c>
      <c r="F40" s="28" t="n">
        <v>18000</v>
      </c>
      <c r="G40" s="29" t="n">
        <v>99</v>
      </c>
      <c r="H40" s="29" t="n">
        <v>34329</v>
      </c>
      <c r="I40" s="21" t="inlineStr">
        <is>
          <t>2025</t>
        </is>
      </c>
      <c r="J40" s="21" t="inlineStr">
        <is>
          <t xml:space="preserve"> 0</t>
        </is>
      </c>
      <c r="K40" s="30">
        <f>(E40-F40)/IF(E40&gt;0,E40,1)</f>
        <v/>
      </c>
    </row>
    <row r="41">
      <c r="A41" s="22" t="inlineStr">
        <is>
          <t>요즘 바이브 코딩 커서 X 클로드 코드 실전 외주 돈 벌기</t>
        </is>
      </c>
      <c r="B41" s="22" t="inlineStr">
        <is>
          <t>불혹코딩</t>
        </is>
      </c>
      <c r="C41" s="22" t="inlineStr">
        <is>
          <t>골든래빗</t>
        </is>
      </c>
      <c r="D41" s="22" t="inlineStr">
        <is>
          <t>2026년 05월</t>
        </is>
      </c>
      <c r="E41" s="28" t="n">
        <v>26000</v>
      </c>
      <c r="F41" s="28" t="n">
        <v>23400</v>
      </c>
      <c r="G41" s="29" t="n">
        <v>14</v>
      </c>
      <c r="H41" s="29" t="n">
        <v>4137</v>
      </c>
      <c r="I41" s="21" t="inlineStr">
        <is>
          <t>2026</t>
        </is>
      </c>
      <c r="J41" s="21" t="inlineStr">
        <is>
          <t xml:space="preserve"> 0</t>
        </is>
      </c>
      <c r="K41" s="30">
        <f>(E41-F41)/IF(E41&gt;0,E41,1)</f>
        <v/>
      </c>
    </row>
    <row r="42">
      <c r="A42" s="22" t="inlineStr">
        <is>
          <t>요즘 바이브 코딩 안티그래비티 완벽 가이드</t>
        </is>
      </c>
      <c r="B42" s="22" t="inlineStr">
        <is>
          <t>최지호</t>
        </is>
      </c>
      <c r="C42" s="22" t="inlineStr">
        <is>
          <t>골든래빗</t>
        </is>
      </c>
      <c r="D42" s="22" t="inlineStr">
        <is>
          <t>2026년 02월</t>
        </is>
      </c>
      <c r="E42" s="28" t="n">
        <v>28000</v>
      </c>
      <c r="F42" s="28" t="n">
        <v>25200</v>
      </c>
      <c r="G42" s="29" t="n">
        <v>29</v>
      </c>
      <c r="H42" s="29" t="n">
        <v>18714</v>
      </c>
      <c r="I42" s="21" t="inlineStr">
        <is>
          <t>2026</t>
        </is>
      </c>
      <c r="J42" s="21" t="inlineStr">
        <is>
          <t xml:space="preserve"> 0</t>
        </is>
      </c>
      <c r="K42" s="30">
        <f>(E42-F42)/IF(E42&gt;0,E42,1)</f>
        <v/>
      </c>
    </row>
    <row r="43">
      <c r="A43" s="22" t="inlineStr">
        <is>
          <t>이게 되네? 나노바나나 2 AI 비포&amp;애프터 미친 활용법 82제</t>
        </is>
      </c>
      <c r="B43" s="22" t="inlineStr">
        <is>
          <t>쌩초</t>
        </is>
      </c>
      <c r="C43" s="22" t="inlineStr">
        <is>
          <t>골든래빗</t>
        </is>
      </c>
      <c r="D43" s="22" t="inlineStr">
        <is>
          <t>2026년 05월</t>
        </is>
      </c>
      <c r="E43" s="28" t="n">
        <v>24000</v>
      </c>
      <c r="F43" s="28" t="n">
        <v>21600</v>
      </c>
      <c r="G43" s="29" t="n">
        <v>96</v>
      </c>
      <c r="H43" s="29" t="n">
        <v>3228</v>
      </c>
      <c r="I43" s="21" t="inlineStr">
        <is>
          <t>2026</t>
        </is>
      </c>
      <c r="J43" s="21" t="inlineStr">
        <is>
          <t xml:space="preserve"> 0</t>
        </is>
      </c>
      <c r="K43" s="30">
        <f>(E43-F43)/IF(E43&gt;0,E43,1)</f>
        <v/>
      </c>
    </row>
    <row r="44">
      <c r="A44" s="22" t="inlineStr">
        <is>
          <t>초보도 바로 되는 AI 콘텐츠</t>
        </is>
      </c>
      <c r="B44" s="22" t="inlineStr">
        <is>
          <t>이도혜, 김인호, 문정수, 바울, 육화영, 정보 더 보기/감추기, 이도혜, 김인호, 문정수, 바울, 육화영, 이성열, 이수진, 이진영, 정지연, 노수승, 배경수, 김진선</t>
        </is>
      </c>
      <c r="C44" s="22" t="inlineStr">
        <is>
          <t>미디어북</t>
        </is>
      </c>
      <c r="D44" s="22" t="inlineStr">
        <is>
          <t>2026년 05월</t>
        </is>
      </c>
      <c r="E44" s="28" t="n">
        <v>20000</v>
      </c>
      <c r="F44" s="28" t="n">
        <v>20000</v>
      </c>
      <c r="G44" s="29" t="n">
        <v>38</v>
      </c>
      <c r="H44" s="29" t="n">
        <v>1386</v>
      </c>
      <c r="I44" s="21" t="inlineStr">
        <is>
          <t>2026</t>
        </is>
      </c>
      <c r="J44" s="21" t="inlineStr">
        <is>
          <t xml:space="preserve"> 0</t>
        </is>
      </c>
      <c r="K44" s="30">
        <f>(E44-F44)/IF(E44&gt;0,E44,1)</f>
        <v/>
      </c>
    </row>
    <row r="45">
      <c r="A45" s="22" t="inlineStr">
        <is>
          <t>옵시디언 프로페셔널 노트</t>
        </is>
      </c>
      <c r="B45" s="22" t="inlineStr">
        <is>
          <t>구요한</t>
        </is>
      </c>
      <c r="C45" s="22" t="inlineStr">
        <is>
          <t>리코멘드</t>
        </is>
      </c>
      <c r="D45" s="22" t="inlineStr">
        <is>
          <t>2026년 03월</t>
        </is>
      </c>
      <c r="E45" s="28" t="n">
        <v>25000</v>
      </c>
      <c r="F45" s="28" t="n">
        <v>22500</v>
      </c>
      <c r="G45" s="29" t="n">
        <v>34</v>
      </c>
      <c r="H45" s="29" t="n">
        <v>6306</v>
      </c>
      <c r="I45" s="21" t="inlineStr">
        <is>
          <t>2026</t>
        </is>
      </c>
      <c r="J45" s="21" t="inlineStr">
        <is>
          <t xml:space="preserve"> 0</t>
        </is>
      </c>
      <c r="K45" s="30">
        <f>(E45-F45)/IF(E45&gt;0,E45,1)</f>
        <v/>
      </c>
    </row>
    <row r="46">
      <c r="A46" s="22" t="inlineStr">
        <is>
          <t>스토리 엔지니어링</t>
        </is>
      </c>
      <c r="B46" s="22" t="inlineStr">
        <is>
          <t>김우정</t>
        </is>
      </c>
      <c r="C46" s="22" t="inlineStr">
        <is>
          <t>생능북스</t>
        </is>
      </c>
      <c r="D46" s="22" t="inlineStr">
        <is>
          <t>2026년 05월</t>
        </is>
      </c>
      <c r="E46" s="28" t="n">
        <v>16800</v>
      </c>
      <c r="F46" s="28" t="n">
        <v>15120</v>
      </c>
      <c r="G46" s="29" t="n">
        <v>33</v>
      </c>
      <c r="H46" s="29" t="n">
        <v>3429</v>
      </c>
      <c r="I46" s="21" t="inlineStr">
        <is>
          <t>2026</t>
        </is>
      </c>
      <c r="J46" s="21" t="inlineStr">
        <is>
          <t xml:space="preserve"> 0</t>
        </is>
      </c>
      <c r="K46" s="30">
        <f>(E46-F46)/IF(E46&gt;0,E46,1)</f>
        <v/>
      </c>
    </row>
    <row r="47">
      <c r="A47" s="22" t="inlineStr">
        <is>
          <t>베테랑 AI 전문가가 만든 가장 쉬운 제미나이 활용! Gemini(제미나이)로 무엇이든 만들 수 있다 (AI 비서 영상 만들기 · 유튜브 숏폼)</t>
        </is>
      </c>
      <c r="B47" s="22" t="inlineStr">
        <is>
          <t>송상미, 윤소영, 강은정</t>
        </is>
      </c>
      <c r="C47" s="22" t="inlineStr">
        <is>
          <t>광문각출판미디어</t>
        </is>
      </c>
      <c r="D47" s="22" t="inlineStr">
        <is>
          <t>2026년 05월</t>
        </is>
      </c>
      <c r="E47" s="28" t="n">
        <v>19000</v>
      </c>
      <c r="F47" s="28" t="n">
        <v>19000</v>
      </c>
      <c r="G47" s="29" t="n">
        <v>24</v>
      </c>
      <c r="H47" s="29" t="n">
        <v>2418</v>
      </c>
      <c r="I47" s="21" t="inlineStr">
        <is>
          <t>2026</t>
        </is>
      </c>
      <c r="J47" s="21" t="inlineStr">
        <is>
          <t xml:space="preserve"> 0</t>
        </is>
      </c>
      <c r="K47" s="30">
        <f>(E47-F47)/IF(E47&gt;0,E47,1)</f>
        <v/>
      </c>
    </row>
    <row r="48">
      <c r="A48" s="22" t="inlineStr">
        <is>
          <t>바로 배워서 바로 써먹는 바이브 코딩</t>
        </is>
      </c>
      <c r="B48" s="22" t="inlineStr">
        <is>
          <t>박찬, 김병석, 전수연, 김지용, 구현희, 정보 더 보기/감추기, 박찬, 김병석, 전수연, 김지용, 구현희, 전채원, 홍찬우, 이상선</t>
        </is>
      </c>
      <c r="C48" s="22" t="inlineStr">
        <is>
          <t>다빈치books</t>
        </is>
      </c>
      <c r="D48" s="22" t="inlineStr">
        <is>
          <t>2025년 09월</t>
        </is>
      </c>
      <c r="E48" s="28" t="n">
        <v>22000</v>
      </c>
      <c r="F48" s="28" t="n">
        <v>19800</v>
      </c>
      <c r="G48" s="29" t="n">
        <v>43</v>
      </c>
      <c r="H48" s="29" t="n">
        <v>21870</v>
      </c>
      <c r="I48" s="21" t="inlineStr">
        <is>
          <t>2025</t>
        </is>
      </c>
      <c r="J48" s="21" t="inlineStr">
        <is>
          <t xml:space="preserve"> 0</t>
        </is>
      </c>
      <c r="K48" s="30">
        <f>(E48-F48)/IF(E48&gt;0,E48,1)</f>
        <v/>
      </c>
    </row>
    <row r="49">
      <c r="A49" s="22" t="inlineStr">
        <is>
          <t>바로바로 바이브 코딩 with 커서 AI</t>
        </is>
      </c>
      <c r="B49" s="22" t="inlineStr">
        <is>
          <t>박현규</t>
        </is>
      </c>
      <c r="C49" s="22" t="inlineStr">
        <is>
          <t>골든래빗</t>
        </is>
      </c>
      <c r="D49" s="22" t="inlineStr">
        <is>
          <t>2026년 04월</t>
        </is>
      </c>
      <c r="E49" s="28" t="n">
        <v>30000</v>
      </c>
      <c r="F49" s="28" t="n">
        <v>27000</v>
      </c>
      <c r="G49" s="29" t="n">
        <v>10</v>
      </c>
      <c r="H49" s="29" t="n">
        <v>3687</v>
      </c>
      <c r="I49" s="21" t="inlineStr">
        <is>
          <t>2026</t>
        </is>
      </c>
      <c r="J49" s="21" t="inlineStr">
        <is>
          <t xml:space="preserve"> 0</t>
        </is>
      </c>
      <c r="K49" s="30">
        <f>(E49-F49)/IF(E49&gt;0,E49,1)</f>
        <v/>
      </c>
    </row>
    <row r="50">
      <c r="A50" s="22" t="inlineStr">
        <is>
          <t>에이전트 시대의 AI 시스템 설계</t>
        </is>
      </c>
      <c r="B50" s="22" t="inlineStr">
        <is>
          <t>발리아파 락슈마난, 하네스 막스 하프케, 류광</t>
        </is>
      </c>
      <c r="C50" s="22" t="inlineStr">
        <is>
          <t>한빛미디어</t>
        </is>
      </c>
      <c r="D50" s="22" t="inlineStr">
        <is>
          <t>2026년 04월</t>
        </is>
      </c>
      <c r="E50" s="28" t="n">
        <v>42000</v>
      </c>
      <c r="F50" s="28" t="n">
        <v>37800</v>
      </c>
      <c r="G50" s="29" t="n">
        <v>12</v>
      </c>
      <c r="H50" s="29" t="n">
        <v>2829</v>
      </c>
      <c r="I50" s="21" t="inlineStr">
        <is>
          <t>2026</t>
        </is>
      </c>
      <c r="J50" s="21" t="inlineStr">
        <is>
          <t xml:space="preserve"> 0</t>
        </is>
      </c>
      <c r="K50" s="30">
        <f>(E50-F50)/IF(E50&gt;0,E50,1)</f>
        <v/>
      </c>
    </row>
    <row r="51">
      <c r="A51" s="22" t="inlineStr">
        <is>
          <t>퇴근이 빨라지는 제미나이 &amp; 노트북LM 업무 자동화 정석 엑셀 X AI</t>
        </is>
      </c>
      <c r="B51" s="22" t="inlineStr">
        <is>
          <t>권현욱</t>
        </is>
      </c>
      <c r="C51" s="22" t="inlineStr">
        <is>
          <t>디지털북스</t>
        </is>
      </c>
      <c r="D51" s="22" t="inlineStr">
        <is>
          <t>2026년 04월</t>
        </is>
      </c>
      <c r="E51" s="28" t="n">
        <v>22000</v>
      </c>
      <c r="F51" s="28" t="n">
        <v>19800</v>
      </c>
      <c r="G51" s="29" t="n">
        <v>5</v>
      </c>
      <c r="H51" s="29" t="n">
        <v>2778</v>
      </c>
      <c r="I51" s="21" t="inlineStr">
        <is>
          <t>2026</t>
        </is>
      </c>
      <c r="J51" s="21" t="inlineStr">
        <is>
          <t xml:space="preserve"> 0</t>
        </is>
      </c>
      <c r="K51" s="30">
        <f>(E51-F51)/IF(E51&gt;0,E51,1)</f>
        <v/>
      </c>
    </row>
    <row r="52">
      <c r="A52" s="22" t="inlineStr">
        <is>
          <t>청소년을 위한 바로 써먹는 필수 AI 활용법</t>
        </is>
      </c>
      <c r="B52" s="22" t="inlineStr">
        <is>
          <t>김환</t>
        </is>
      </c>
      <c r="C52" s="22" t="inlineStr">
        <is>
          <t>알파에듀</t>
        </is>
      </c>
      <c r="D52" s="22" t="inlineStr">
        <is>
          <t>2026년 06월</t>
        </is>
      </c>
      <c r="E52" s="28" t="n">
        <v>16800</v>
      </c>
      <c r="F52" s="28" t="n">
        <v>15120</v>
      </c>
      <c r="G52" s="29" t="n">
        <v>16</v>
      </c>
      <c r="H52" s="29" t="n">
        <v>1752</v>
      </c>
      <c r="I52" s="21" t="inlineStr">
        <is>
          <t>2026</t>
        </is>
      </c>
      <c r="J52" s="21" t="inlineStr">
        <is>
          <t xml:space="preserve"> 0</t>
        </is>
      </c>
      <c r="K52" s="30">
        <f>(E52-F52)/IF(E52&gt;0,E52,1)</f>
        <v/>
      </c>
    </row>
    <row r="53">
      <c r="A53" s="22" t="inlineStr">
        <is>
          <t>혼자 공부하는 머신러닝+딥러닝</t>
        </is>
      </c>
      <c r="B53" s="22" t="inlineStr">
        <is>
          <t>박해선</t>
        </is>
      </c>
      <c r="C53" s="22" t="inlineStr">
        <is>
          <t>한빛미디어</t>
        </is>
      </c>
      <c r="D53" s="22" t="inlineStr">
        <is>
          <t>2025년 04월</t>
        </is>
      </c>
      <c r="E53" s="28" t="n">
        <v>32000</v>
      </c>
      <c r="F53" s="28" t="n">
        <v>28800</v>
      </c>
      <c r="G53" s="29" t="n">
        <v>147</v>
      </c>
      <c r="H53" s="29" t="n">
        <v>18369</v>
      </c>
      <c r="I53" s="21" t="inlineStr">
        <is>
          <t>2025</t>
        </is>
      </c>
      <c r="J53" s="21" t="inlineStr">
        <is>
          <t xml:space="preserve"> 0</t>
        </is>
      </c>
      <c r="K53" s="30">
        <f>(E53-F53)/IF(E53&gt;0,E53,1)</f>
        <v/>
      </c>
    </row>
    <row r="54">
      <c r="A54" s="22" t="inlineStr">
        <is>
          <t>딸깍! 바이브 코딩 by 안티그래비티</t>
        </is>
      </c>
      <c r="B54" s="22" t="inlineStr">
        <is>
          <t>반병현</t>
        </is>
      </c>
      <c r="C54" s="22" t="inlineStr">
        <is>
          <t>생능북스</t>
        </is>
      </c>
      <c r="D54" s="22" t="inlineStr">
        <is>
          <t>2026년 04월</t>
        </is>
      </c>
      <c r="E54" s="28" t="n">
        <v>25000</v>
      </c>
      <c r="F54" s="28" t="n">
        <v>22500</v>
      </c>
      <c r="G54" s="29" t="n">
        <v>30</v>
      </c>
      <c r="H54" s="29" t="n">
        <v>4086</v>
      </c>
      <c r="I54" s="21" t="inlineStr">
        <is>
          <t>2026</t>
        </is>
      </c>
      <c r="J54" s="21" t="inlineStr">
        <is>
          <t xml:space="preserve"> 0</t>
        </is>
      </c>
      <c r="K54" s="30">
        <f>(E54-F54)/IF(E54&gt;0,E54,1)</f>
        <v/>
      </c>
    </row>
    <row r="55">
      <c r="A55" s="22" t="inlineStr">
        <is>
          <t>요즘 바이브 코딩 클로드 코드 완벽 가이드</t>
        </is>
      </c>
      <c r="B55" s="22" t="inlineStr">
        <is>
          <t>최지호</t>
        </is>
      </c>
      <c r="C55" s="22" t="inlineStr">
        <is>
          <t>골든래빗</t>
        </is>
      </c>
      <c r="D55" s="22" t="inlineStr">
        <is>
          <t>2025년 09월</t>
        </is>
      </c>
      <c r="E55" s="28" t="n">
        <v>24000</v>
      </c>
      <c r="F55" s="28" t="n">
        <v>21600</v>
      </c>
      <c r="G55" s="29" t="n">
        <v>19</v>
      </c>
      <c r="H55" s="29" t="n">
        <v>28527</v>
      </c>
      <c r="I55" s="21" t="inlineStr">
        <is>
          <t>2025</t>
        </is>
      </c>
      <c r="J55" s="21" t="inlineStr">
        <is>
          <t xml:space="preserve"> 0</t>
        </is>
      </c>
      <c r="K55" s="30">
        <f>(E55-F55)/IF(E55&gt;0,E55,1)</f>
        <v/>
      </c>
    </row>
    <row r="56">
      <c r="A56" s="22" t="inlineStr">
        <is>
          <t>AI 자율학습 제미나이로 일 잘하는 법</t>
        </is>
      </c>
      <c r="B56" s="22" t="inlineStr">
        <is>
          <t>성구(강성규)</t>
        </is>
      </c>
      <c r="C56" s="22" t="inlineStr">
        <is>
          <t>길벗</t>
        </is>
      </c>
      <c r="D56" s="22" t="inlineStr">
        <is>
          <t>2026년 04월</t>
        </is>
      </c>
      <c r="E56" s="28" t="n">
        <v>26000</v>
      </c>
      <c r="F56" s="28" t="n">
        <v>23400</v>
      </c>
      <c r="G56" s="29" t="n">
        <v>44</v>
      </c>
      <c r="H56" s="29" t="n">
        <v>3900</v>
      </c>
      <c r="I56" s="21" t="inlineStr">
        <is>
          <t>2026</t>
        </is>
      </c>
      <c r="J56" s="21" t="inlineStr">
        <is>
          <t xml:space="preserve"> 0</t>
        </is>
      </c>
      <c r="K56" s="30">
        <f>(E56-F56)/IF(E56&gt;0,E56,1)</f>
        <v/>
      </c>
    </row>
    <row r="57">
      <c r="A57" s="22" t="inlineStr">
        <is>
          <t>생존을 위한 최소한의 AI 교양</t>
        </is>
      </c>
      <c r="B57" s="22" t="inlineStr">
        <is>
          <t>조남호</t>
        </is>
      </c>
      <c r="C57" s="22" t="inlineStr">
        <is>
          <t>골든래빗</t>
        </is>
      </c>
      <c r="D57" s="22" t="inlineStr">
        <is>
          <t>2026년 06월</t>
        </is>
      </c>
      <c r="E57" s="28" t="n">
        <v>25000</v>
      </c>
      <c r="F57" s="28" t="n">
        <v>22500</v>
      </c>
      <c r="G57" s="29" t="n">
        <v>22</v>
      </c>
      <c r="H57" s="29" t="n">
        <v>1344</v>
      </c>
      <c r="I57" s="21" t="inlineStr">
        <is>
          <t>2026</t>
        </is>
      </c>
      <c r="J57" s="21" t="inlineStr">
        <is>
          <t xml:space="preserve"> 0</t>
        </is>
      </c>
      <c r="K57" s="30">
        <f>(E57-F57)/IF(E57&gt;0,E57,1)</f>
        <v/>
      </c>
    </row>
    <row r="58">
      <c r="A58" s="22" t="inlineStr">
        <is>
          <t>수업과 업무에 바로 적용하는 생성형 AI 활용 58제</t>
        </is>
      </c>
      <c r="B58" s="22" t="inlineStr">
        <is>
          <t>임세범</t>
        </is>
      </c>
      <c r="C58" s="22" t="inlineStr">
        <is>
          <t>앤써북</t>
        </is>
      </c>
      <c r="D58" s="22" t="inlineStr">
        <is>
          <t>2026년 04월</t>
        </is>
      </c>
      <c r="E58" s="28" t="n">
        <v>18800</v>
      </c>
      <c r="F58" s="28" t="n">
        <v>16920</v>
      </c>
      <c r="G58" s="29" t="n">
        <v>7</v>
      </c>
      <c r="H58" s="29" t="n">
        <v>4023</v>
      </c>
      <c r="I58" s="21" t="inlineStr">
        <is>
          <t>2026</t>
        </is>
      </c>
      <c r="J58" s="21" t="inlineStr">
        <is>
          <t xml:space="preserve"> 0</t>
        </is>
      </c>
      <c r="K58" s="30">
        <f>(E58-F58)/IF(E58&gt;0,E58,1)</f>
        <v/>
      </c>
    </row>
    <row r="59">
      <c r="A59" s="22" t="inlineStr">
        <is>
          <t>요즘 바이브 코딩 하네스 with 클로드 코드</t>
        </is>
      </c>
      <c r="B59" s="22" t="inlineStr">
        <is>
          <t>조성진</t>
        </is>
      </c>
      <c r="C59" s="22" t="inlineStr">
        <is>
          <t>골든래빗</t>
        </is>
      </c>
      <c r="D59" s="22" t="inlineStr">
        <is>
          <t>2026년 06월</t>
        </is>
      </c>
      <c r="E59" s="28" t="n">
        <v>30000</v>
      </c>
      <c r="F59" s="28" t="n">
        <v>27000</v>
      </c>
      <c r="G59" s="29" t="n">
        <v>0</v>
      </c>
      <c r="H59" s="29" t="n">
        <v>1254</v>
      </c>
      <c r="I59" s="21" t="inlineStr">
        <is>
          <t>2026</t>
        </is>
      </c>
      <c r="J59" s="21" t="inlineStr">
        <is>
          <t xml:space="preserve"> 0</t>
        </is>
      </c>
      <c r="K59" s="30">
        <f>(E59-F59)/IF(E59&gt;0,E59,1)</f>
        <v/>
      </c>
    </row>
    <row r="60">
      <c r="A60" s="22" t="inlineStr">
        <is>
          <t>하이러닝으로 끝내는 AI 디지털 수업 50제</t>
        </is>
      </c>
      <c r="B60" s="22" t="inlineStr">
        <is>
          <t>유지현, 조윤호, 고윤경, 진연자, 곽지현, 정보 더 보기/감추기, 유지현, 조윤호, 고윤경, 진연자, 곽지현, 최혜진, 최정은, 조희정, 조연영, 이성찬, 허윤영, 정승연</t>
        </is>
      </c>
      <c r="C60" s="22" t="inlineStr">
        <is>
          <t>한빛미디어</t>
        </is>
      </c>
      <c r="D60" s="22" t="inlineStr">
        <is>
          <t>2026년 04월</t>
        </is>
      </c>
      <c r="E60" s="28" t="n">
        <v>24000</v>
      </c>
      <c r="F60" s="28" t="n">
        <v>21600</v>
      </c>
      <c r="G60" s="29" t="n">
        <v>102</v>
      </c>
      <c r="H60" s="29" t="n">
        <v>3906</v>
      </c>
      <c r="I60" s="21" t="inlineStr">
        <is>
          <t>2026</t>
        </is>
      </c>
      <c r="J60" s="21" t="inlineStr">
        <is>
          <t xml:space="preserve"> 0</t>
        </is>
      </c>
      <c r="K60" s="30">
        <f>(E60-F60)/IF(E60&gt;0,E60,1)</f>
        <v/>
      </c>
    </row>
    <row r="61">
      <c r="A61" s="22" t="inlineStr">
        <is>
          <t>AI 시대 서·논술형 평가 설계 바이블</t>
        </is>
      </c>
      <c r="B61" s="22" t="inlineStr">
        <is>
          <t>조현준, 이근숙, 권좌실, 이슬기, 엄주연, 정보 더 보기/감추기, 조현준, 이근숙, 권좌실, 이슬기, 엄주연, 오덕수</t>
        </is>
      </c>
      <c r="C61" s="22" t="inlineStr">
        <is>
          <t>에듀니티교육연구소(에듀니티)</t>
        </is>
      </c>
      <c r="D61" s="22" t="inlineStr">
        <is>
          <t>2026년 03월</t>
        </is>
      </c>
      <c r="E61" s="28" t="n">
        <v>22000</v>
      </c>
      <c r="F61" s="28" t="n">
        <v>19800</v>
      </c>
      <c r="G61" s="29" t="n">
        <v>9</v>
      </c>
      <c r="H61" s="29" t="n">
        <v>5172</v>
      </c>
      <c r="I61" s="21" t="inlineStr">
        <is>
          <t>2026</t>
        </is>
      </c>
      <c r="J61" s="21" t="inlineStr">
        <is>
          <t xml:space="preserve"> 0</t>
        </is>
      </c>
      <c r="K61" s="30">
        <f>(E61-F61)/IF(E61&gt;0,E61,1)</f>
        <v/>
      </c>
    </row>
    <row r="62">
      <c r="A62" s="22" t="inlineStr">
        <is>
          <t>유튜브 AI 비서 고용하기 제미나이 X 노트북LM X 구글 스프레드시트</t>
        </is>
      </c>
      <c r="B62" s="22" t="inlineStr">
        <is>
          <t>조현정</t>
        </is>
      </c>
      <c r="C62" s="22" t="inlineStr">
        <is>
          <t>골든래빗</t>
        </is>
      </c>
      <c r="D62" s="22" t="inlineStr">
        <is>
          <t>2026년 06월</t>
        </is>
      </c>
      <c r="E62" s="28" t="n">
        <v>24000</v>
      </c>
      <c r="F62" s="28" t="n">
        <v>21600</v>
      </c>
      <c r="G62" s="29" t="n">
        <v>0</v>
      </c>
      <c r="H62" s="29" t="n">
        <v>1833</v>
      </c>
      <c r="I62" s="21" t="inlineStr">
        <is>
          <t>2026</t>
        </is>
      </c>
      <c r="J62" s="21" t="inlineStr">
        <is>
          <t xml:space="preserve"> 0</t>
        </is>
      </c>
      <c r="K62" s="30">
        <f>(E62-F62)/IF(E62&gt;0,E62,1)</f>
        <v/>
      </c>
    </row>
    <row r="63">
      <c r="A63" s="22" t="inlineStr">
        <is>
          <t>된다! AI 상위 노출</t>
        </is>
      </c>
      <c r="B63" s="22" t="inlineStr">
        <is>
          <t>이중대</t>
        </is>
      </c>
      <c r="C63" s="22" t="inlineStr">
        <is>
          <t>이지스퍼블리싱</t>
        </is>
      </c>
      <c r="D63" s="22" t="inlineStr">
        <is>
          <t>2026년 03월</t>
        </is>
      </c>
      <c r="E63" s="28" t="n">
        <v>19000</v>
      </c>
      <c r="F63" s="28" t="n">
        <v>17100</v>
      </c>
      <c r="G63" s="29" t="n">
        <v>28</v>
      </c>
      <c r="H63" s="29" t="n">
        <v>4236</v>
      </c>
      <c r="I63" s="21" t="inlineStr">
        <is>
          <t>2026</t>
        </is>
      </c>
      <c r="J63" s="21" t="inlineStr">
        <is>
          <t xml:space="preserve"> 0</t>
        </is>
      </c>
      <c r="K63" s="30">
        <f>(E63-F63)/IF(E63&gt;0,E63,1)</f>
        <v/>
      </c>
    </row>
    <row r="64">
      <c r="A64" s="22" t="inlineStr">
        <is>
          <t>오픈클로</t>
        </is>
      </c>
      <c r="B64" s="22" t="inlineStr">
        <is>
          <t>오창근</t>
        </is>
      </c>
      <c r="C64" s="22" t="inlineStr">
        <is>
          <t>생능북스</t>
        </is>
      </c>
      <c r="D64" s="22" t="inlineStr">
        <is>
          <t>2026년 05월</t>
        </is>
      </c>
      <c r="E64" s="28" t="n">
        <v>22000</v>
      </c>
      <c r="F64" s="28" t="n">
        <v>19800</v>
      </c>
      <c r="G64" s="29" t="n">
        <v>10</v>
      </c>
      <c r="H64" s="29" t="n">
        <v>1596</v>
      </c>
      <c r="I64" s="21" t="inlineStr">
        <is>
          <t>2026</t>
        </is>
      </c>
      <c r="J64" s="21" t="inlineStr">
        <is>
          <t xml:space="preserve"> 0</t>
        </is>
      </c>
      <c r="K64" s="30">
        <f>(E64-F64)/IF(E64&gt;0,E64,1)</f>
        <v/>
      </c>
    </row>
    <row r="65">
      <c r="A65" s="22" t="inlineStr">
        <is>
          <t>모던 데이터 아키텍처 설계와 구현</t>
        </is>
      </c>
      <c r="B65" s="22" t="inlineStr">
        <is>
          <t>피트하인 스트렝홀트, 김영기, 김현진</t>
        </is>
      </c>
      <c r="C65" s="22" t="inlineStr">
        <is>
          <t>책만</t>
        </is>
      </c>
      <c r="D65" s="22" t="inlineStr">
        <is>
          <t>2026년 05월</t>
        </is>
      </c>
      <c r="E65" s="28" t="n">
        <v>33000</v>
      </c>
      <c r="F65" s="28" t="n">
        <v>29700</v>
      </c>
      <c r="G65" s="29" t="n">
        <v>1</v>
      </c>
      <c r="H65" s="29" t="n">
        <v>1743</v>
      </c>
      <c r="I65" s="21" t="inlineStr">
        <is>
          <t>2026</t>
        </is>
      </c>
      <c r="J65" s="21" t="inlineStr">
        <is>
          <t xml:space="preserve"> 0</t>
        </is>
      </c>
      <c r="K65" s="30">
        <f>(E65-F65)/IF(E65&gt;0,E65,1)</f>
        <v/>
      </c>
    </row>
    <row r="66">
      <c r="A66" s="22" t="inlineStr">
        <is>
          <t>AI 엔지니어링</t>
        </is>
      </c>
      <c r="B66" s="22" t="inlineStr">
        <is>
          <t>칩 후옌, 변성윤</t>
        </is>
      </c>
      <c r="C66" s="22" t="inlineStr">
        <is>
          <t>한빛미디어</t>
        </is>
      </c>
      <c r="D66" s="22" t="inlineStr">
        <is>
          <t>2025년 09월</t>
        </is>
      </c>
      <c r="E66" s="28" t="n">
        <v>40000</v>
      </c>
      <c r="F66" s="28" t="n">
        <v>36000</v>
      </c>
      <c r="G66" s="29" t="n">
        <v>17</v>
      </c>
      <c r="H66" s="29" t="n">
        <v>14325</v>
      </c>
      <c r="I66" s="21" t="inlineStr">
        <is>
          <t>2025</t>
        </is>
      </c>
      <c r="J66" s="21" t="inlineStr">
        <is>
          <t xml:space="preserve"> 0</t>
        </is>
      </c>
      <c r="K66" s="30">
        <f>(E66-F66)/IF(E66&gt;0,E66,1)</f>
        <v/>
      </c>
    </row>
    <row r="67">
      <c r="A67" s="22" t="inlineStr">
        <is>
          <t>앗싸 나도 되네! 오늘부터 바로 써먹는 AI 보험영업 활용법</t>
        </is>
      </c>
      <c r="B67" s="22" t="inlineStr">
        <is>
          <t>조대수</t>
        </is>
      </c>
      <c r="C67" s="22" t="inlineStr">
        <is>
          <t>재노북스</t>
        </is>
      </c>
      <c r="D67" s="22" t="inlineStr">
        <is>
          <t>2026년 03월</t>
        </is>
      </c>
      <c r="E67" s="28" t="n">
        <v>28000</v>
      </c>
      <c r="F67" s="28" t="n">
        <v>25200</v>
      </c>
      <c r="G67" s="29" t="n">
        <v>1</v>
      </c>
      <c r="H67" s="29" t="n">
        <v>2553</v>
      </c>
      <c r="I67" s="21" t="inlineStr">
        <is>
          <t>2026</t>
        </is>
      </c>
      <c r="J67" s="21" t="inlineStr">
        <is>
          <t xml:space="preserve"> 0</t>
        </is>
      </c>
      <c r="K67" s="30">
        <f>(E67-F67)/IF(E67&gt;0,E67,1)</f>
        <v/>
      </c>
    </row>
    <row r="68">
      <c r="A68" s="22" t="inlineStr">
        <is>
          <t>AI 자율학습 클로드 코드·코덱스 CLI·제미나이 CLI 완전 활용법</t>
        </is>
      </c>
      <c r="B68" s="22" t="inlineStr">
        <is>
          <t>Dave Lee</t>
        </is>
      </c>
      <c r="C68" s="22" t="inlineStr">
        <is>
          <t>길벗</t>
        </is>
      </c>
      <c r="D68" s="22" t="inlineStr">
        <is>
          <t>2026년 02월</t>
        </is>
      </c>
      <c r="E68" s="28" t="n">
        <v>32000</v>
      </c>
      <c r="F68" s="28" t="n">
        <v>28800</v>
      </c>
      <c r="G68" s="29" t="n">
        <v>25</v>
      </c>
      <c r="H68" s="29" t="n">
        <v>6822</v>
      </c>
      <c r="I68" s="21" t="inlineStr">
        <is>
          <t>2026</t>
        </is>
      </c>
      <c r="J68" s="21" t="inlineStr">
        <is>
          <t xml:space="preserve"> 0</t>
        </is>
      </c>
      <c r="K68" s="30">
        <f>(E68-F68)/IF(E68&gt;0,E68,1)</f>
        <v/>
      </c>
    </row>
    <row r="69">
      <c r="A69" s="22" t="inlineStr">
        <is>
          <t>누구나 아는 나만 모르는 챗GPT(개정판) : 세상에서 가장 쉬운 챗GPT &amp; AI 입문서</t>
        </is>
      </c>
      <c r="B69" s="22" t="inlineStr">
        <is>
          <t>이성원</t>
        </is>
      </c>
      <c r="C69" s="22" t="inlineStr">
        <is>
          <t>한빛미디어</t>
        </is>
      </c>
      <c r="D69" s="22" t="inlineStr">
        <is>
          <t>2026년 02월</t>
        </is>
      </c>
      <c r="E69" s="28" t="n">
        <v>19000</v>
      </c>
      <c r="F69" s="28" t="n">
        <v>17100</v>
      </c>
      <c r="G69" s="29" t="n">
        <v>33</v>
      </c>
      <c r="H69" s="29" t="n">
        <v>4476</v>
      </c>
      <c r="I69" s="21" t="inlineStr">
        <is>
          <t>2026</t>
        </is>
      </c>
      <c r="J69" s="21" t="inlineStr">
        <is>
          <t xml:space="preserve"> 0</t>
        </is>
      </c>
      <c r="K69" s="30">
        <f>(E69-F69)/IF(E69&gt;0,E69,1)</f>
        <v/>
      </c>
    </row>
    <row r="70">
      <c r="A70" s="22" t="inlineStr">
        <is>
          <t>베테랑 AI 전문가가 만든 가장 쉬운 그록 AI 활용! Grok(그록)으로 무엇이든 만들 수 있다 (AI 비서 · 영상 만들기, 유튜브 수익화)</t>
        </is>
      </c>
      <c r="B70" s="22" t="inlineStr">
        <is>
          <t>이현, 이민정, 이승현, 이나윤, 김성희</t>
        </is>
      </c>
      <c r="C70" s="22" t="inlineStr">
        <is>
          <t>광문각출판미디어</t>
        </is>
      </c>
      <c r="D70" s="22" t="inlineStr">
        <is>
          <t>2026년 04월</t>
        </is>
      </c>
      <c r="E70" s="28" t="n">
        <v>19000</v>
      </c>
      <c r="F70" s="28" t="n">
        <v>19000</v>
      </c>
      <c r="G70" s="29" t="n">
        <v>49</v>
      </c>
      <c r="H70" s="29" t="n">
        <v>2232</v>
      </c>
      <c r="I70" s="21" t="inlineStr">
        <is>
          <t>2026</t>
        </is>
      </c>
      <c r="J70" s="21" t="inlineStr">
        <is>
          <t xml:space="preserve"> 0</t>
        </is>
      </c>
      <c r="K70" s="30">
        <f>(E70-F70)/IF(E70&gt;0,E70,1)</f>
        <v/>
      </c>
    </row>
    <row r="71">
      <c r="A71" s="22" t="inlineStr">
        <is>
          <t>트랜스포머 아키텍처로 배우는 AI 에이전트 with 랭체인 &amp; 랭그래프</t>
        </is>
      </c>
      <c r="B71" s="22" t="inlineStr">
        <is>
          <t>장철원</t>
        </is>
      </c>
      <c r="C71" s="22" t="inlineStr">
        <is>
          <t>한빛미디어</t>
        </is>
      </c>
      <c r="D71" s="22" t="inlineStr">
        <is>
          <t>2026년 05월</t>
        </is>
      </c>
      <c r="E71" s="28" t="n">
        <v>39000</v>
      </c>
      <c r="F71" s="28" t="n">
        <v>35100</v>
      </c>
      <c r="G71" s="29" t="n">
        <v>0</v>
      </c>
      <c r="H71" s="29" t="n">
        <v>957</v>
      </c>
      <c r="I71" s="21" t="inlineStr">
        <is>
          <t>2026</t>
        </is>
      </c>
      <c r="J71" s="21" t="inlineStr">
        <is>
          <t xml:space="preserve"> 0</t>
        </is>
      </c>
      <c r="K71" s="30">
        <f>(E71-F71)/IF(E71&gt;0,E71,1)</f>
        <v/>
      </c>
    </row>
    <row r="72">
      <c r="A72" s="22" t="inlineStr">
        <is>
          <t>클로드 코워크</t>
        </is>
      </c>
      <c r="B72" s="22" t="inlineStr">
        <is>
          <t>신승희</t>
        </is>
      </c>
      <c r="C72" s="22" t="inlineStr">
        <is>
          <t>생능북스</t>
        </is>
      </c>
      <c r="D72" s="22" t="inlineStr">
        <is>
          <t>2026년 06월</t>
        </is>
      </c>
      <c r="E72" s="28" t="n">
        <v>24000</v>
      </c>
      <c r="F72" s="28" t="n">
        <v>21600</v>
      </c>
      <c r="G72" s="29" t="n">
        <v>1</v>
      </c>
      <c r="H72" s="29" t="n">
        <v>780</v>
      </c>
      <c r="I72" s="21" t="inlineStr">
        <is>
          <t>2026</t>
        </is>
      </c>
      <c r="J72" s="21" t="inlineStr">
        <is>
          <t xml:space="preserve"> 0</t>
        </is>
      </c>
      <c r="K72" s="30">
        <f>(E72-F72)/IF(E72&gt;0,E72,1)</f>
        <v/>
      </c>
    </row>
    <row r="73">
      <c r="A73" s="22" t="inlineStr">
        <is>
          <t>누구나 코딩하는 시대, 1일 10분 바이브 코딩</t>
        </is>
      </c>
      <c r="B73" s="22" t="inlineStr">
        <is>
          <t>김영욱</t>
        </is>
      </c>
      <c r="C73" s="22" t="inlineStr">
        <is>
          <t>한빛미디어</t>
        </is>
      </c>
      <c r="D73" s="22" t="inlineStr">
        <is>
          <t>2026년 04월</t>
        </is>
      </c>
      <c r="E73" s="28" t="n">
        <v>22000</v>
      </c>
      <c r="F73" s="28" t="n">
        <v>19800</v>
      </c>
      <c r="G73" s="29" t="n">
        <v>15</v>
      </c>
      <c r="H73" s="29" t="n">
        <v>2499</v>
      </c>
      <c r="I73" s="21" t="inlineStr">
        <is>
          <t>2026</t>
        </is>
      </c>
      <c r="J73" s="21" t="inlineStr">
        <is>
          <t xml:space="preserve"> 0</t>
        </is>
      </c>
      <c r="K73" s="30">
        <f>(E73-F73)/IF(E73&gt;0,E73,1)</f>
        <v/>
      </c>
    </row>
    <row r="74">
      <c r="A74" s="22" t="inlineStr">
        <is>
          <t>Do it! LLM을 활용한 AI 에이전트 개발 입문</t>
        </is>
      </c>
      <c r="B74" s="22" t="inlineStr">
        <is>
          <t>이성용</t>
        </is>
      </c>
      <c r="C74" s="22" t="inlineStr">
        <is>
          <t>이지스퍼블리싱</t>
        </is>
      </c>
      <c r="D74" s="22" t="inlineStr">
        <is>
          <t>2025년 05월</t>
        </is>
      </c>
      <c r="E74" s="28" t="n">
        <v>35000</v>
      </c>
      <c r="F74" s="28" t="n">
        <v>31500</v>
      </c>
      <c r="G74" s="29" t="n">
        <v>22</v>
      </c>
      <c r="H74" s="29" t="n">
        <v>17469</v>
      </c>
      <c r="I74" s="21" t="inlineStr">
        <is>
          <t>2025</t>
        </is>
      </c>
      <c r="J74" s="21" t="inlineStr">
        <is>
          <t xml:space="preserve"> 0</t>
        </is>
      </c>
      <c r="K74" s="30">
        <f>(E74-F74)/IF(E74&gt;0,E74,1)</f>
        <v/>
      </c>
    </row>
    <row r="75">
      <c r="A75" s="22" t="inlineStr">
        <is>
          <t>AI 대세전환 안티그래비티 × 바이브 코딩 압도적 업무 역량</t>
        </is>
      </c>
      <c r="B75" s="22" t="inlineStr">
        <is>
          <t>정용범, 손상우, 박성환</t>
        </is>
      </c>
      <c r="C75" s="22" t="inlineStr">
        <is>
          <t>프리렉</t>
        </is>
      </c>
      <c r="D75" s="22" t="inlineStr">
        <is>
          <t>2026년 05월</t>
        </is>
      </c>
      <c r="E75" s="28" t="n">
        <v>30000</v>
      </c>
      <c r="F75" s="28" t="n">
        <v>27000</v>
      </c>
      <c r="G75" s="29" t="n">
        <v>21</v>
      </c>
      <c r="H75" s="29" t="n">
        <v>1548</v>
      </c>
      <c r="I75" s="21" t="inlineStr">
        <is>
          <t>2026</t>
        </is>
      </c>
      <c r="J75" s="21" t="inlineStr">
        <is>
          <t xml:space="preserve"> 0</t>
        </is>
      </c>
      <c r="K75" s="30">
        <f>(E75-F75)/IF(E75&gt;0,E75,1)</f>
        <v/>
      </c>
    </row>
    <row r="76">
      <c r="A76" s="22" t="inlineStr">
        <is>
          <t>하루 30분, 나는 제미나이로 돈을 번다</t>
        </is>
      </c>
      <c r="B76" s="22" t="inlineStr">
        <is>
          <t>김민규</t>
        </is>
      </c>
      <c r="C76" s="22" t="inlineStr">
        <is>
          <t>한빛미디어</t>
        </is>
      </c>
      <c r="D76" s="22" t="inlineStr">
        <is>
          <t>2026년 03월</t>
        </is>
      </c>
      <c r="E76" s="28" t="n">
        <v>19000</v>
      </c>
      <c r="F76" s="28" t="n">
        <v>17100</v>
      </c>
      <c r="G76" s="29" t="n">
        <v>33</v>
      </c>
      <c r="H76" s="29" t="n">
        <v>3030</v>
      </c>
      <c r="I76" s="21" t="inlineStr">
        <is>
          <t>2026</t>
        </is>
      </c>
      <c r="J76" s="21" t="inlineStr">
        <is>
          <t xml:space="preserve"> 0</t>
        </is>
      </c>
      <c r="K76" s="30">
        <f>(E76-F76)/IF(E76&gt;0,E76,1)</f>
        <v/>
      </c>
    </row>
    <row r="77">
      <c r="A77" s="22" t="inlineStr">
        <is>
          <t>Do it! 바이브 코딩 + 안티그래비티</t>
        </is>
      </c>
      <c r="B77" s="22" t="inlineStr">
        <is>
          <t>조준수</t>
        </is>
      </c>
      <c r="C77" s="22" t="inlineStr">
        <is>
          <t>이지스퍼블리싱</t>
        </is>
      </c>
      <c r="D77" s="22" t="inlineStr">
        <is>
          <t>2026년 05월</t>
        </is>
      </c>
      <c r="E77" s="28" t="n">
        <v>24000</v>
      </c>
      <c r="F77" s="28" t="n">
        <v>21600</v>
      </c>
      <c r="G77" s="29" t="n">
        <v>10</v>
      </c>
      <c r="H77" s="29" t="n">
        <v>1599</v>
      </c>
      <c r="I77" s="21" t="inlineStr">
        <is>
          <t>2026</t>
        </is>
      </c>
      <c r="J77" s="21" t="inlineStr">
        <is>
          <t xml:space="preserve"> 0</t>
        </is>
      </c>
      <c r="K77" s="30">
        <f>(E77-F77)/IF(E77&gt;0,E77,1)</f>
        <v/>
      </c>
    </row>
    <row r="78">
      <c r="A78" s="22" t="inlineStr">
        <is>
          <t>교사를 위한 패들렛 Padlet</t>
        </is>
      </c>
      <c r="B78" s="22" t="inlineStr">
        <is>
          <t>안익재</t>
        </is>
      </c>
      <c r="C78" s="22" t="inlineStr">
        <is>
          <t>앤써북</t>
        </is>
      </c>
      <c r="D78" s="22" t="inlineStr">
        <is>
          <t>2025년 03월</t>
        </is>
      </c>
      <c r="E78" s="28" t="n">
        <v>16800</v>
      </c>
      <c r="F78" s="28" t="n">
        <v>15120</v>
      </c>
      <c r="G78" s="29" t="n">
        <v>47</v>
      </c>
      <c r="H78" s="29" t="n">
        <v>12774</v>
      </c>
      <c r="I78" s="21" t="inlineStr">
        <is>
          <t>2025</t>
        </is>
      </c>
      <c r="J78" s="21" t="inlineStr">
        <is>
          <t xml:space="preserve"> 0</t>
        </is>
      </c>
      <c r="K78" s="30">
        <f>(E78-F78)/IF(E78&gt;0,E78,1)</f>
        <v/>
      </c>
    </row>
    <row r="79">
      <c r="A79" s="22" t="inlineStr">
        <is>
          <t>된다! 제미나이, 클로드, 챗GPT AI 챗봇 만들기</t>
        </is>
      </c>
      <c r="B79" s="22" t="inlineStr">
        <is>
          <t>이재윤, 정해준</t>
        </is>
      </c>
      <c r="C79" s="22" t="inlineStr">
        <is>
          <t>이지스퍼블리싱</t>
        </is>
      </c>
      <c r="D79" s="22" t="inlineStr">
        <is>
          <t>2026년 03월</t>
        </is>
      </c>
      <c r="E79" s="28" t="n">
        <v>21000</v>
      </c>
      <c r="F79" s="28" t="n">
        <v>18900</v>
      </c>
      <c r="G79" s="29" t="n">
        <v>15</v>
      </c>
      <c r="H79" s="29" t="n">
        <v>4320</v>
      </c>
      <c r="I79" s="21" t="inlineStr">
        <is>
          <t>2026</t>
        </is>
      </c>
      <c r="J79" s="21" t="inlineStr">
        <is>
          <t xml:space="preserve"> 0</t>
        </is>
      </c>
      <c r="K79" s="30">
        <f>(E79-F79)/IF(E79&gt;0,E79,1)</f>
        <v/>
      </c>
    </row>
    <row r="80">
      <c r="A80" s="22" t="inlineStr">
        <is>
          <t>AI 게임 개발 with 코덱스</t>
        </is>
      </c>
      <c r="B80" s="22" t="inlineStr">
        <is>
          <t>정윤지(유리링)</t>
        </is>
      </c>
      <c r="C80" s="22" t="inlineStr">
        <is>
          <t>한빛미디어</t>
        </is>
      </c>
      <c r="D80" s="22" t="inlineStr">
        <is>
          <t>2026년 02월</t>
        </is>
      </c>
      <c r="E80" s="28" t="n">
        <v>32000</v>
      </c>
      <c r="F80" s="28" t="n">
        <v>28800</v>
      </c>
      <c r="G80" s="29" t="n">
        <v>25</v>
      </c>
      <c r="H80" s="29" t="n">
        <v>2820</v>
      </c>
      <c r="I80" s="21" t="inlineStr">
        <is>
          <t>2026</t>
        </is>
      </c>
      <c r="J80" s="21" t="inlineStr">
        <is>
          <t xml:space="preserve"> 0</t>
        </is>
      </c>
      <c r="K80" s="30">
        <f>(E80-F80)/IF(E80&gt;0,E80,1)</f>
        <v/>
      </c>
    </row>
    <row r="81">
      <c r="A81" s="22" t="inlineStr">
        <is>
          <t>인공지능이 답할 때 교육은 무엇을 묻는가</t>
        </is>
      </c>
      <c r="B81" s="22" t="inlineStr">
        <is>
          <t>함영기</t>
        </is>
      </c>
      <c r="C81" s="22" t="inlineStr">
        <is>
          <t>에듀니티교육연구소(에듀니티)</t>
        </is>
      </c>
      <c r="D81" s="22" t="inlineStr">
        <is>
          <t>2026년 01월</t>
        </is>
      </c>
      <c r="E81" s="28" t="n">
        <v>20000</v>
      </c>
      <c r="F81" s="28" t="n">
        <v>18000</v>
      </c>
      <c r="G81" s="29" t="n">
        <v>8</v>
      </c>
      <c r="H81" s="29" t="n">
        <v>5394</v>
      </c>
      <c r="I81" s="21" t="inlineStr">
        <is>
          <t>2026</t>
        </is>
      </c>
      <c r="J81" s="21" t="inlineStr">
        <is>
          <t xml:space="preserve"> 0</t>
        </is>
      </c>
      <c r="K81" s="30">
        <f>(E81-F81)/IF(E81&gt;0,E81,1)</f>
        <v/>
      </c>
    </row>
    <row r="82">
      <c r="A82" s="22" t="inlineStr">
        <is>
          <t>이게 되네? AI 쇼츠 만들기 미친 자동화 22제</t>
        </is>
      </c>
      <c r="B82" s="22" t="inlineStr">
        <is>
          <t>천은영</t>
        </is>
      </c>
      <c r="C82" s="22" t="inlineStr">
        <is>
          <t>골든래빗</t>
        </is>
      </c>
      <c r="D82" s="22" t="inlineStr">
        <is>
          <t>2026년 01월</t>
        </is>
      </c>
      <c r="E82" s="28" t="n">
        <v>26000</v>
      </c>
      <c r="F82" s="28" t="n">
        <v>23400</v>
      </c>
      <c r="G82" s="29" t="n">
        <v>10</v>
      </c>
      <c r="H82" s="29" t="n">
        <v>7728</v>
      </c>
      <c r="I82" s="21" t="inlineStr">
        <is>
          <t>2026</t>
        </is>
      </c>
      <c r="J82" s="21" t="inlineStr">
        <is>
          <t xml:space="preserve"> 0</t>
        </is>
      </c>
      <c r="K82" s="30">
        <f>(E82-F82)/IF(E82&gt;0,E82,1)</f>
        <v/>
      </c>
    </row>
    <row r="83">
      <c r="A83" s="22" t="inlineStr">
        <is>
          <t>그림으로 배우는 생성형 AI</t>
        </is>
      </c>
      <c r="B83" s="22" t="inlineStr">
        <is>
          <t>프리양카 베르가디아, 발리아파 락슈마난, 류광</t>
        </is>
      </c>
      <c r="C83" s="22" t="inlineStr">
        <is>
          <t>한빛미디어</t>
        </is>
      </c>
      <c r="D83" s="22" t="inlineStr">
        <is>
          <t>2026년 04월</t>
        </is>
      </c>
      <c r="E83" s="28" t="n">
        <v>33000</v>
      </c>
      <c r="F83" s="28" t="n">
        <v>29700</v>
      </c>
      <c r="G83" s="29" t="n">
        <v>9</v>
      </c>
      <c r="H83" s="29" t="n">
        <v>1608</v>
      </c>
      <c r="I83" s="21" t="inlineStr">
        <is>
          <t>2026</t>
        </is>
      </c>
      <c r="J83" s="21" t="inlineStr">
        <is>
          <t xml:space="preserve"> 0</t>
        </is>
      </c>
      <c r="K83" s="30">
        <f>(E83-F83)/IF(E83&gt;0,E83,1)</f>
        <v/>
      </c>
    </row>
    <row r="84">
      <c r="A84" s="22" t="inlineStr">
        <is>
          <t>요즘 교사를 위한 AI 디지털 수업 설계 가이드 with 2022 개정 교육과정</t>
        </is>
      </c>
      <c r="B84" s="22" t="inlineStr">
        <is>
          <t>김진관, 김상섭, 이대형, 이상선, 윤신영</t>
        </is>
      </c>
      <c r="C84" s="22" t="inlineStr">
        <is>
          <t>한빛미디어</t>
        </is>
      </c>
      <c r="D84" s="22" t="inlineStr">
        <is>
          <t>2025년 08월</t>
        </is>
      </c>
      <c r="E84" s="28" t="n">
        <v>22000</v>
      </c>
      <c r="F84" s="28" t="n">
        <v>19800</v>
      </c>
      <c r="G84" s="29" t="n">
        <v>34</v>
      </c>
      <c r="H84" s="29" t="n">
        <v>10404</v>
      </c>
      <c r="I84" s="21" t="inlineStr">
        <is>
          <t>2025</t>
        </is>
      </c>
      <c r="J84" s="21" t="inlineStr">
        <is>
          <t xml:space="preserve"> 0</t>
        </is>
      </c>
      <c r="K84" s="30">
        <f>(E84-F84)/IF(E84&gt;0,E84,1)</f>
        <v/>
      </c>
    </row>
    <row r="85">
      <c r="A85" s="22" t="inlineStr">
        <is>
          <t>맛있는 디자인 피그마 with AI</t>
        </is>
      </c>
      <c r="B85" s="22" t="inlineStr">
        <is>
          <t>이영주</t>
        </is>
      </c>
      <c r="C85" s="22" t="inlineStr">
        <is>
          <t>한빛미디어</t>
        </is>
      </c>
      <c r="D85" s="22" t="inlineStr">
        <is>
          <t>2026년 02월</t>
        </is>
      </c>
      <c r="E85" s="28" t="n">
        <v>28000</v>
      </c>
      <c r="F85" s="28" t="n">
        <v>25200</v>
      </c>
      <c r="G85" s="29" t="n">
        <v>124</v>
      </c>
      <c r="H85" s="29" t="n">
        <v>2010</v>
      </c>
      <c r="I85" s="21" t="inlineStr">
        <is>
          <t>2026</t>
        </is>
      </c>
      <c r="J85" s="21" t="inlineStr">
        <is>
          <t xml:space="preserve"> 0</t>
        </is>
      </c>
      <c r="K85" s="30">
        <f>(E85-F85)/IF(E85&gt;0,E85,1)</f>
        <v/>
      </c>
    </row>
    <row r="86">
      <c r="A86" s="22" t="inlineStr">
        <is>
          <t>AI가 다 하고 내가 돈 버는 앱 만들기</t>
        </is>
      </c>
      <c r="B86" s="22" t="inlineStr">
        <is>
          <t>서희찬</t>
        </is>
      </c>
      <c r="C86" s="22" t="inlineStr">
        <is>
          <t>길벗</t>
        </is>
      </c>
      <c r="D86" s="22" t="inlineStr">
        <is>
          <t>2026년 05월</t>
        </is>
      </c>
      <c r="E86" s="28" t="n">
        <v>28000</v>
      </c>
      <c r="F86" s="28" t="n">
        <v>25200</v>
      </c>
      <c r="G86" s="29" t="n">
        <v>5</v>
      </c>
      <c r="H86" s="29" t="n">
        <v>1194</v>
      </c>
      <c r="I86" s="21" t="inlineStr">
        <is>
          <t>2026</t>
        </is>
      </c>
      <c r="J86" s="21" t="inlineStr">
        <is>
          <t xml:space="preserve"> 0</t>
        </is>
      </c>
      <c r="K86" s="30">
        <f>(E86-F86)/IF(E86&gt;0,E86,1)</f>
        <v/>
      </c>
    </row>
    <row r="87">
      <c r="A87" s="22" t="inlineStr">
        <is>
          <t>밑바닥부터 시작하는 딥러닝 1</t>
        </is>
      </c>
      <c r="B87" s="22" t="inlineStr">
        <is>
          <t>사이토 고키, 개앞맵시</t>
        </is>
      </c>
      <c r="C87" s="22" t="inlineStr">
        <is>
          <t>한빛미디어</t>
        </is>
      </c>
      <c r="D87" s="22" t="inlineStr">
        <is>
          <t>2025년 01월</t>
        </is>
      </c>
      <c r="E87" s="28" t="n">
        <v>26000</v>
      </c>
      <c r="F87" s="28" t="n">
        <v>23400</v>
      </c>
      <c r="G87" s="29" t="n">
        <v>138</v>
      </c>
      <c r="H87" s="29" t="n">
        <v>9099</v>
      </c>
      <c r="I87" s="21" t="inlineStr">
        <is>
          <t>2025</t>
        </is>
      </c>
      <c r="J87" s="21" t="inlineStr">
        <is>
          <t xml:space="preserve"> 0</t>
        </is>
      </c>
      <c r="K87" s="30">
        <f>(E87-F87)/IF(E87&gt;0,E87,1)</f>
        <v/>
      </c>
    </row>
    <row r="88">
      <c r="A88" s="22" t="inlineStr">
        <is>
          <t>크리에이터 김연지의 돈 되는 AI 콘텐츠 설계</t>
        </is>
      </c>
      <c r="B88" s="22" t="inlineStr">
        <is>
          <t>김연지</t>
        </is>
      </c>
      <c r="C88" s="22" t="inlineStr">
        <is>
          <t>한빛비즈</t>
        </is>
      </c>
      <c r="D88" s="22" t="inlineStr">
        <is>
          <t>2026년 05월</t>
        </is>
      </c>
      <c r="E88" s="28" t="n">
        <v>20000</v>
      </c>
      <c r="F88" s="28" t="n">
        <v>18000</v>
      </c>
      <c r="G88" s="29" t="n">
        <v>5</v>
      </c>
      <c r="H88" s="29" t="n">
        <v>1782</v>
      </c>
      <c r="I88" s="21" t="inlineStr">
        <is>
          <t>2026</t>
        </is>
      </c>
      <c r="J88" s="21" t="inlineStr">
        <is>
          <t xml:space="preserve"> 0</t>
        </is>
      </c>
      <c r="K88" s="30">
        <f>(E88-F88)/IF(E88&gt;0,E88,1)</f>
        <v/>
      </c>
    </row>
    <row r="89">
      <c r="A89" s="22" t="inlineStr">
        <is>
          <t>캔바로 만든 디자인, 돈이 됩니다</t>
        </is>
      </c>
      <c r="B89" s="22" t="inlineStr">
        <is>
          <t>리몬(안형선)</t>
        </is>
      </c>
      <c r="C89" s="22" t="inlineStr">
        <is>
          <t>길벗</t>
        </is>
      </c>
      <c r="D89" s="22" t="inlineStr">
        <is>
          <t>2026년 06월</t>
        </is>
      </c>
      <c r="E89" s="28" t="n">
        <v>22000</v>
      </c>
      <c r="F89" s="28" t="n">
        <v>19800</v>
      </c>
      <c r="G89" s="29" t="n">
        <v>7</v>
      </c>
      <c r="H89" s="29" t="n">
        <v>1530</v>
      </c>
      <c r="I89" s="21" t="inlineStr">
        <is>
          <t>2026</t>
        </is>
      </c>
      <c r="J89" s="21" t="inlineStr">
        <is>
          <t xml:space="preserve"> 0</t>
        </is>
      </c>
      <c r="K89" s="30">
        <f>(E89-F89)/IF(E89&gt;0,E89,1)</f>
        <v/>
      </c>
    </row>
    <row r="90">
      <c r="A90" s="22" t="inlineStr">
        <is>
          <t>피지컬 AI가 온다</t>
        </is>
      </c>
      <c r="B90" s="22" t="inlineStr">
        <is>
          <t>권군오</t>
        </is>
      </c>
      <c r="C90" s="22" t="inlineStr">
        <is>
          <t>글로벌콘텐츠</t>
        </is>
      </c>
      <c r="D90" s="22" t="inlineStr">
        <is>
          <t>2026년 03월</t>
        </is>
      </c>
      <c r="E90" s="28" t="n">
        <v>25000</v>
      </c>
      <c r="F90" s="28" t="n">
        <v>22500</v>
      </c>
      <c r="G90" s="29" t="n">
        <v>11</v>
      </c>
      <c r="H90" s="29" t="n">
        <v>1074</v>
      </c>
      <c r="I90" s="21" t="inlineStr">
        <is>
          <t>2026</t>
        </is>
      </c>
      <c r="J90" s="21" t="inlineStr">
        <is>
          <t xml:space="preserve"> 0</t>
        </is>
      </c>
      <c r="K90" s="30">
        <f>(E90-F90)/IF(E90&gt;0,E90,1)</f>
        <v/>
      </c>
    </row>
    <row r="91">
      <c r="A91" s="22" t="inlineStr">
        <is>
          <t>챗GPT·퍼플렉시티·클로드·코파일럿·제미나이 다 잘함</t>
        </is>
      </c>
      <c r="B91" s="22" t="inlineStr">
        <is>
          <t>이호정</t>
        </is>
      </c>
      <c r="C91" s="22" t="inlineStr">
        <is>
          <t>리코멘드</t>
        </is>
      </c>
      <c r="D91" s="22" t="inlineStr">
        <is>
          <t>2025년 11월</t>
        </is>
      </c>
      <c r="E91" s="28" t="n">
        <v>28000</v>
      </c>
      <c r="F91" s="28" t="n">
        <v>25200</v>
      </c>
      <c r="G91" s="29" t="n">
        <v>4</v>
      </c>
      <c r="H91" s="29" t="n">
        <v>9042</v>
      </c>
      <c r="I91" s="21" t="inlineStr">
        <is>
          <t>2025</t>
        </is>
      </c>
      <c r="J91" s="21" t="inlineStr">
        <is>
          <t xml:space="preserve"> 1</t>
        </is>
      </c>
      <c r="K91" s="30">
        <f>(E91-F91)/IF(E91&gt;0,E91,1)</f>
        <v/>
      </c>
    </row>
    <row r="92">
      <c r="A92" s="22" t="inlineStr">
        <is>
          <t>대체불가 AI 영상 제작 완전정복</t>
        </is>
      </c>
      <c r="B92" s="22" t="inlineStr">
        <is>
          <t>이용태</t>
        </is>
      </c>
      <c r="C92" s="22" t="inlineStr">
        <is>
          <t>책바세</t>
        </is>
      </c>
      <c r="D92" s="22" t="inlineStr">
        <is>
          <t>2025년 12월</t>
        </is>
      </c>
      <c r="E92" s="28" t="n">
        <v>29000</v>
      </c>
      <c r="F92" s="28" t="n">
        <v>26100</v>
      </c>
      <c r="G92" s="29" t="n">
        <v>14</v>
      </c>
      <c r="H92" s="29" t="n">
        <v>8940</v>
      </c>
      <c r="I92" s="21" t="inlineStr">
        <is>
          <t>2025</t>
        </is>
      </c>
      <c r="J92" s="21" t="inlineStr">
        <is>
          <t xml:space="preserve"> 1</t>
        </is>
      </c>
      <c r="K92" s="30">
        <f>(E92-F92)/IF(E92&gt;0,E92,1)</f>
        <v/>
      </c>
    </row>
    <row r="93">
      <c r="A93" s="22" t="inlineStr">
        <is>
          <t>퇴근을 앞당기는 AI 업무 활용 루틴</t>
        </is>
      </c>
      <c r="B93" s="22" t="inlineStr">
        <is>
          <t>오언주</t>
        </is>
      </c>
      <c r="C93" s="22" t="inlineStr">
        <is>
          <t>시대인</t>
        </is>
      </c>
      <c r="D93" s="22" t="inlineStr">
        <is>
          <t>2026년 06월</t>
        </is>
      </c>
      <c r="E93" s="28" t="n">
        <v>19000</v>
      </c>
      <c r="F93" s="28" t="n">
        <v>17100</v>
      </c>
      <c r="G93" s="29" t="n">
        <v>1</v>
      </c>
      <c r="H93" s="29" t="n">
        <v>900</v>
      </c>
      <c r="I93" s="21" t="inlineStr">
        <is>
          <t>2026</t>
        </is>
      </c>
      <c r="J93" s="21" t="inlineStr">
        <is>
          <t xml:space="preserve"> 0</t>
        </is>
      </c>
      <c r="K93" s="30">
        <f>(E93-F93)/IF(E93&gt;0,E93,1)</f>
        <v/>
      </c>
    </row>
    <row r="94">
      <c r="A94" s="22" t="inlineStr">
        <is>
          <t>LLM을 위한 프롬프트 엔지니어링</t>
        </is>
      </c>
      <c r="B94" s="22" t="inlineStr">
        <is>
          <t>존 베리먼, 앨버트 지글러, 김정인</t>
        </is>
      </c>
      <c r="C94" s="22" t="inlineStr">
        <is>
          <t>제이펍</t>
        </is>
      </c>
      <c r="D94" s="22" t="inlineStr">
        <is>
          <t>2026년 01월</t>
        </is>
      </c>
      <c r="E94" s="28" t="n">
        <v>28000</v>
      </c>
      <c r="F94" s="28" t="n">
        <v>25200</v>
      </c>
      <c r="G94" s="29" t="n">
        <v>7</v>
      </c>
      <c r="H94" s="29" t="n">
        <v>2784</v>
      </c>
      <c r="I94" s="21" t="inlineStr">
        <is>
          <t>2026</t>
        </is>
      </c>
      <c r="J94" s="21" t="inlineStr">
        <is>
          <t xml:space="preserve"> 0</t>
        </is>
      </c>
      <c r="K94" s="30">
        <f>(E94-F94)/IF(E94&gt;0,E94,1)</f>
        <v/>
      </c>
    </row>
    <row r="95">
      <c r="A95" s="22" t="inlineStr">
        <is>
          <t>이게 되네? 클로드 MCP 커넥터 미친 활용법 31제</t>
        </is>
      </c>
      <c r="B95" s="22" t="inlineStr">
        <is>
          <t>박현규, 김성경</t>
        </is>
      </c>
      <c r="C95" s="22" t="inlineStr">
        <is>
          <t>골든래빗</t>
        </is>
      </c>
      <c r="D95" s="22" t="inlineStr">
        <is>
          <t>2026년 06월</t>
        </is>
      </c>
      <c r="E95" s="28" t="n">
        <v>24000</v>
      </c>
      <c r="F95" s="28" t="n">
        <v>21600</v>
      </c>
      <c r="G95" s="29" t="n">
        <v>0</v>
      </c>
      <c r="H95" s="29" t="n">
        <v>834</v>
      </c>
      <c r="I95" s="21" t="inlineStr">
        <is>
          <t>2026</t>
        </is>
      </c>
      <c r="J95" s="21" t="inlineStr">
        <is>
          <t xml:space="preserve"> 0</t>
        </is>
      </c>
      <c r="K95" s="30">
        <f>(E95-F95)/IF(E95&gt;0,E95,1)</f>
        <v/>
      </c>
    </row>
    <row r="96">
      <c r="A96" s="22" t="inlineStr">
        <is>
          <t>요즘 예체능 수업을 위한 에듀테크 활용법 223제</t>
        </is>
      </c>
      <c r="B96" s="22" t="inlineStr">
        <is>
          <t>박래혁</t>
        </is>
      </c>
      <c r="C96" s="22" t="inlineStr">
        <is>
          <t>앤써북</t>
        </is>
      </c>
      <c r="D96" s="22" t="inlineStr">
        <is>
          <t>2026년 05월</t>
        </is>
      </c>
      <c r="E96" s="28" t="n">
        <v>23300</v>
      </c>
      <c r="F96" s="28" t="n">
        <v>20970</v>
      </c>
      <c r="G96" s="29" t="n">
        <v>29</v>
      </c>
      <c r="H96" s="29" t="n">
        <v>1839</v>
      </c>
      <c r="I96" s="21" t="inlineStr">
        <is>
          <t>2026</t>
        </is>
      </c>
      <c r="J96" s="21" t="inlineStr">
        <is>
          <t xml:space="preserve"> 0</t>
        </is>
      </c>
      <c r="K96" s="30">
        <f>(E96-F96)/IF(E96&gt;0,E96,1)</f>
        <v/>
      </c>
    </row>
    <row r="97">
      <c r="A97" s="22" t="inlineStr">
        <is>
          <t>된다! 하루 만에 준비하는 AI 학교 수업 활용법</t>
        </is>
      </c>
      <c r="B97" s="22" t="inlineStr">
        <is>
          <t>정인걸, 김경수</t>
        </is>
      </c>
      <c r="C97" s="22" t="inlineStr">
        <is>
          <t>이지스퍼블리싱</t>
        </is>
      </c>
      <c r="D97" s="22" t="inlineStr">
        <is>
          <t>2025년 03월</t>
        </is>
      </c>
      <c r="E97" s="28" t="n">
        <v>19800</v>
      </c>
      <c r="F97" s="28" t="n">
        <v>17820</v>
      </c>
      <c r="G97" s="29" t="n">
        <v>39</v>
      </c>
      <c r="H97" s="29" t="n">
        <v>16953</v>
      </c>
      <c r="I97" s="21" t="inlineStr">
        <is>
          <t>2025</t>
        </is>
      </c>
      <c r="J97" s="21" t="inlineStr">
        <is>
          <t xml:space="preserve"> 0</t>
        </is>
      </c>
      <c r="K97" s="30">
        <f>(E97-F97)/IF(E97&gt;0,E97,1)</f>
        <v/>
      </c>
    </row>
    <row r="98">
      <c r="A98" s="22" t="inlineStr">
        <is>
          <t>요즘 교사를 위한 구글 AI 3대장_제미나이, 노트북LM, AI 스튜디오</t>
        </is>
      </c>
      <c r="B98" s="22" t="inlineStr">
        <is>
          <t>송명신, 최연준, 최수진, 양서현</t>
        </is>
      </c>
      <c r="C98" s="22" t="inlineStr">
        <is>
          <t>앤써북</t>
        </is>
      </c>
      <c r="D98" s="22" t="inlineStr">
        <is>
          <t>2026년 06월</t>
        </is>
      </c>
      <c r="E98" s="28" t="n">
        <v>17700</v>
      </c>
      <c r="F98" s="28" t="n">
        <v>15930</v>
      </c>
      <c r="G98" s="29" t="n">
        <v>3</v>
      </c>
      <c r="H98" s="29" t="n">
        <v>360</v>
      </c>
      <c r="I98" s="21" t="inlineStr">
        <is>
          <t>2026</t>
        </is>
      </c>
      <c r="J98" s="21" t="inlineStr">
        <is>
          <t xml:space="preserve"> 0</t>
        </is>
      </c>
      <c r="K98" s="30">
        <f>(E98-F98)/IF(E98&gt;0,E98,1)</f>
        <v/>
      </c>
    </row>
    <row r="99">
      <c r="A99" s="22" t="inlineStr">
        <is>
          <t>리더는 AI에게 질문하지 않는다</t>
        </is>
      </c>
      <c r="B99" s="22" t="inlineStr">
        <is>
          <t>김희연</t>
        </is>
      </c>
      <c r="C99" s="22" t="inlineStr">
        <is>
          <t>북피움</t>
        </is>
      </c>
      <c r="D99" s="22" t="inlineStr">
        <is>
          <t>2026년 01월</t>
        </is>
      </c>
      <c r="E99" s="28" t="n">
        <v>23000</v>
      </c>
      <c r="F99" s="28" t="n">
        <v>20700</v>
      </c>
      <c r="G99" s="29" t="n">
        <v>0</v>
      </c>
      <c r="H99" s="29" t="n">
        <v>3435</v>
      </c>
      <c r="I99" s="21" t="inlineStr">
        <is>
          <t>2026</t>
        </is>
      </c>
      <c r="J99" s="21" t="inlineStr">
        <is>
          <t xml:space="preserve"> 0</t>
        </is>
      </c>
      <c r="K99" s="30">
        <f>(E99-F99)/IF(E99&gt;0,E99,1)</f>
        <v/>
      </c>
    </row>
    <row r="100">
      <c r="A100" s="22" t="inlineStr">
        <is>
          <t>그림으로 이해하는 AWS 구조와 기술</t>
        </is>
      </c>
      <c r="B100" s="22" t="inlineStr">
        <is>
          <t>오가사와라 시게타카, 박광수</t>
        </is>
      </c>
      <c r="C100" s="22" t="inlineStr">
        <is>
          <t>길벗</t>
        </is>
      </c>
      <c r="D100" s="22" t="inlineStr">
        <is>
          <t>2026년 04월</t>
        </is>
      </c>
      <c r="E100" s="28" t="n">
        <v>26000</v>
      </c>
      <c r="F100" s="28" t="n">
        <v>23400</v>
      </c>
      <c r="G100" s="29" t="n">
        <v>44</v>
      </c>
      <c r="H100" s="29" t="n">
        <v>1455</v>
      </c>
      <c r="I100" s="21" t="inlineStr">
        <is>
          <t>2026</t>
        </is>
      </c>
      <c r="J100" s="21" t="inlineStr">
        <is>
          <t xml:space="preserve"> 0</t>
        </is>
      </c>
      <c r="K100" s="30">
        <f>(E100-F100)/IF(E100&gt;0,E100,1)</f>
        <v/>
      </c>
    </row>
    <row r="101">
      <c r="A101" s="22" t="inlineStr">
        <is>
          <t>2022 개정 교육과정 평가, AI로 날개를 달다 (개념기반 교육과정)</t>
        </is>
      </c>
      <c r="B101" s="22" t="inlineStr">
        <is>
          <t>지미정, 오한나, 노명호, 권의선, 김영수, 정보 더 보기/감추기, 지미정, 오한나, 노명호, 권의선, 김영수, 이진원, 장희영, 소민영, 조보현</t>
        </is>
      </c>
      <c r="C101" s="22" t="inlineStr">
        <is>
          <t>앤써북</t>
        </is>
      </c>
      <c r="D101" s="22" t="inlineStr">
        <is>
          <t>2024년 09월</t>
        </is>
      </c>
      <c r="E101" s="28" t="n">
        <v>21000</v>
      </c>
      <c r="F101" s="28" t="n">
        <v>18900</v>
      </c>
      <c r="G101" s="29" t="n">
        <v>19</v>
      </c>
      <c r="H101" s="29" t="n">
        <v>11121</v>
      </c>
      <c r="I101" s="21" t="inlineStr">
        <is>
          <t>2024</t>
        </is>
      </c>
      <c r="J101" s="21" t="inlineStr">
        <is>
          <t xml:space="preserve"> 0</t>
        </is>
      </c>
      <c r="K101" s="30">
        <f>(E101-F101)/IF(E101&gt;0,E101,1)</f>
        <v/>
      </c>
    </row>
    <row r="102">
      <c r="A102" s="22" t="inlineStr">
        <is>
          <t>AI 에이전트 생태계</t>
        </is>
      </c>
      <c r="B102" s="22" t="inlineStr">
        <is>
          <t>조쉬</t>
        </is>
      </c>
      <c r="C102" s="22" t="inlineStr">
        <is>
          <t>로드북</t>
        </is>
      </c>
      <c r="D102" s="22" t="inlineStr">
        <is>
          <t>2025년 08월</t>
        </is>
      </c>
      <c r="E102" s="28" t="n">
        <v>27000</v>
      </c>
      <c r="F102" s="28" t="n">
        <v>24300</v>
      </c>
      <c r="G102" s="29" t="n">
        <v>15</v>
      </c>
      <c r="H102" s="29" t="n">
        <v>17076</v>
      </c>
      <c r="I102" s="21" t="inlineStr">
        <is>
          <t>2025</t>
        </is>
      </c>
      <c r="J102" s="21" t="inlineStr">
        <is>
          <t xml:space="preserve"> 0</t>
        </is>
      </c>
      <c r="K102" s="30">
        <f>(E102-F102)/IF(E102&gt;0,E102,1)</f>
        <v/>
      </c>
    </row>
    <row r="103">
      <c r="A103" s="22" t="inlineStr">
        <is>
          <t>된다! AI 디자인 2026</t>
        </is>
      </c>
      <c r="B103" s="22" t="inlineStr">
        <is>
          <t>김희재</t>
        </is>
      </c>
      <c r="C103" s="22" t="inlineStr">
        <is>
          <t>이지스퍼블리싱</t>
        </is>
      </c>
      <c r="D103" s="22" t="inlineStr">
        <is>
          <t>2026년 04월</t>
        </is>
      </c>
      <c r="E103" s="28" t="n">
        <v>29800</v>
      </c>
      <c r="F103" s="28" t="n">
        <v>26820</v>
      </c>
      <c r="G103" s="29" t="n">
        <v>11</v>
      </c>
      <c r="H103" s="29" t="n">
        <v>1632</v>
      </c>
      <c r="I103" s="21" t="inlineStr">
        <is>
          <t>2026</t>
        </is>
      </c>
      <c r="J103" s="21" t="inlineStr">
        <is>
          <t xml:space="preserve"> 0</t>
        </is>
      </c>
      <c r="K103" s="30">
        <f>(E103-F103)/IF(E103&gt;0,E103,1)</f>
        <v/>
      </c>
    </row>
    <row r="104">
      <c r="A104" s="22" t="inlineStr">
        <is>
          <t>RAG 마스터 : 랭체인으로 완성하는 LLM 서비스</t>
        </is>
      </c>
      <c r="B104" s="22" t="inlineStr">
        <is>
          <t>브라이스 유, 조경아, 박수진, 김재웅</t>
        </is>
      </c>
      <c r="C104" s="22" t="inlineStr">
        <is>
          <t>프리렉</t>
        </is>
      </c>
      <c r="D104" s="22" t="inlineStr">
        <is>
          <t>2025년 04월</t>
        </is>
      </c>
      <c r="E104" s="28" t="n">
        <v>32000</v>
      </c>
      <c r="F104" s="28" t="n">
        <v>28800</v>
      </c>
      <c r="G104" s="29" t="n">
        <v>5</v>
      </c>
      <c r="H104" s="29" t="n">
        <v>2940</v>
      </c>
      <c r="I104" s="21" t="inlineStr">
        <is>
          <t>2025</t>
        </is>
      </c>
      <c r="J104" s="21" t="inlineStr">
        <is>
          <t xml:space="preserve"> 0</t>
        </is>
      </c>
      <c r="K104" s="30">
        <f>(E104-F104)/IF(E104&gt;0,E104,1)</f>
        <v/>
      </c>
    </row>
    <row r="105">
      <c r="A105" s="22" t="inlineStr">
        <is>
          <t>AI 지도책</t>
        </is>
      </c>
      <c r="B105" s="22" t="inlineStr">
        <is>
          <t>케이트 크로퍼드, 노승영</t>
        </is>
      </c>
      <c r="C105" s="22" t="inlineStr">
        <is>
          <t>소소의책</t>
        </is>
      </c>
      <c r="D105" s="22" t="inlineStr">
        <is>
          <t>2022년 11월</t>
        </is>
      </c>
      <c r="E105" s="28" t="n">
        <v>21000</v>
      </c>
      <c r="F105" s="28" t="n">
        <v>18900</v>
      </c>
      <c r="G105" s="29" t="n">
        <v>63</v>
      </c>
      <c r="H105" s="29" t="n">
        <v>2130</v>
      </c>
      <c r="I105" s="21" t="inlineStr">
        <is>
          <t>2022</t>
        </is>
      </c>
      <c r="J105" s="21" t="inlineStr">
        <is>
          <t xml:space="preserve"> 1</t>
        </is>
      </c>
      <c r="K105" s="30">
        <f>(E105-F105)/IF(E105&gt;0,E105,1)</f>
        <v/>
      </c>
    </row>
    <row r="106">
      <c r="A106" s="22" t="inlineStr">
        <is>
          <t>요즘 바이브 코딩 커서 AI 30가지 프로그램 만들기</t>
        </is>
      </c>
      <c r="B106" s="22" t="inlineStr">
        <is>
          <t>박현규</t>
        </is>
      </c>
      <c r="C106" s="22" t="inlineStr">
        <is>
          <t>골든래빗</t>
        </is>
      </c>
      <c r="D106" s="22" t="inlineStr">
        <is>
          <t>2025년 09월</t>
        </is>
      </c>
      <c r="E106" s="28" t="n">
        <v>24000</v>
      </c>
      <c r="F106" s="28" t="n">
        <v>21600</v>
      </c>
      <c r="G106" s="29" t="n">
        <v>85</v>
      </c>
      <c r="H106" s="29" t="n">
        <v>14928</v>
      </c>
      <c r="I106" s="21" t="inlineStr">
        <is>
          <t>2025</t>
        </is>
      </c>
      <c r="J106" s="21" t="inlineStr">
        <is>
          <t xml:space="preserve"> 0</t>
        </is>
      </c>
      <c r="K106" s="30">
        <f>(E106-F106)/IF(E106&gt;0,E106,1)</f>
        <v/>
      </c>
    </row>
    <row r="107">
      <c r="A107" s="22" t="inlineStr">
        <is>
          <t>일머리를 설계하는 AI 워크플로 with n8n</t>
        </is>
      </c>
      <c r="B107" s="22" t="inlineStr">
        <is>
          <t>이왕석</t>
        </is>
      </c>
      <c r="C107" s="22" t="inlineStr">
        <is>
          <t>한빛미디어</t>
        </is>
      </c>
      <c r="D107" s="22" t="inlineStr">
        <is>
          <t>2026년 03월</t>
        </is>
      </c>
      <c r="E107" s="28" t="n">
        <v>28000</v>
      </c>
      <c r="F107" s="28" t="n">
        <v>25200</v>
      </c>
      <c r="G107" s="29" t="n">
        <v>112</v>
      </c>
      <c r="H107" s="29" t="n">
        <v>1908</v>
      </c>
      <c r="I107" s="21" t="inlineStr">
        <is>
          <t>2026</t>
        </is>
      </c>
      <c r="J107" s="21" t="inlineStr">
        <is>
          <t xml:space="preserve"> 0</t>
        </is>
      </c>
      <c r="K107" s="30">
        <f>(E107-F107)/IF(E107&gt;0,E107,1)</f>
        <v/>
      </c>
    </row>
    <row r="108">
      <c r="A108" s="22" t="inlineStr">
        <is>
          <t>최고의 n8n AI 자동화 강의</t>
        </is>
      </c>
      <c r="B108" s="22" t="inlineStr">
        <is>
          <t>박정기</t>
        </is>
      </c>
      <c r="C108" s="22" t="inlineStr">
        <is>
          <t>리코멘드</t>
        </is>
      </c>
      <c r="D108" s="22" t="inlineStr">
        <is>
          <t>2026년 05월</t>
        </is>
      </c>
      <c r="E108" s="28" t="n">
        <v>22000</v>
      </c>
      <c r="F108" s="28" t="n">
        <v>19800</v>
      </c>
      <c r="G108" s="29" t="n">
        <v>12</v>
      </c>
      <c r="H108" s="29" t="n">
        <v>1425</v>
      </c>
      <c r="I108" s="21" t="inlineStr">
        <is>
          <t>2026</t>
        </is>
      </c>
      <c r="J108" s="21" t="inlineStr">
        <is>
          <t xml:space="preserve"> 0</t>
        </is>
      </c>
      <c r="K108" s="30">
        <f>(E108-F108)/IF(E108&gt;0,E108,1)</f>
        <v/>
      </c>
    </row>
    <row r="109">
      <c r="A109" s="22" t="inlineStr">
        <is>
          <t>밑바닥부터 만들면서 배우는 LLM</t>
        </is>
      </c>
      <c r="B109" s="22" t="inlineStr">
        <is>
          <t>세바스찬 라시카, 박해선</t>
        </is>
      </c>
      <c r="C109" s="22" t="inlineStr">
        <is>
          <t>길벗</t>
        </is>
      </c>
      <c r="D109" s="22" t="inlineStr">
        <is>
          <t>2025년 09월</t>
        </is>
      </c>
      <c r="E109" s="28" t="n">
        <v>40000</v>
      </c>
      <c r="F109" s="28" t="n">
        <v>36000</v>
      </c>
      <c r="G109" s="29" t="n">
        <v>27</v>
      </c>
      <c r="H109" s="29" t="n">
        <v>11604</v>
      </c>
      <c r="I109" s="21" t="inlineStr">
        <is>
          <t>2025</t>
        </is>
      </c>
      <c r="J109" s="21" t="inlineStr">
        <is>
          <t xml:space="preserve"> 0</t>
        </is>
      </c>
      <c r="K109" s="30">
        <f>(E109-F109)/IF(E109&gt;0,E109,1)</f>
        <v/>
      </c>
    </row>
    <row r="110">
      <c r="A110" s="22" t="inlineStr">
        <is>
          <t>인공지능 구조 원리 교과서</t>
        </is>
      </c>
      <c r="B110" s="22" t="inlineStr">
        <is>
          <t>송경빈, 남지우</t>
        </is>
      </c>
      <c r="C110" s="22" t="inlineStr">
        <is>
          <t>보누스</t>
        </is>
      </c>
      <c r="D110" s="22" t="inlineStr">
        <is>
          <t>2024년 03월</t>
        </is>
      </c>
      <c r="E110" s="28" t="n">
        <v>19800</v>
      </c>
      <c r="F110" s="28" t="n">
        <v>17820</v>
      </c>
      <c r="G110" s="29" t="n">
        <v>25</v>
      </c>
      <c r="H110" s="29" t="n">
        <v>1380</v>
      </c>
      <c r="I110" s="21" t="inlineStr">
        <is>
          <t>2024</t>
        </is>
      </c>
      <c r="J110" s="21" t="inlineStr">
        <is>
          <t xml:space="preserve"> 0</t>
        </is>
      </c>
      <c r="K110" s="30">
        <f>(E110-F110)/IF(E110&gt;0,E110,1)</f>
        <v/>
      </c>
    </row>
    <row r="111">
      <c r="A111" s="22" t="inlineStr">
        <is>
          <t>처음 만나는 AI 에이전트 with 랭체인 &amp; MCP</t>
        </is>
      </c>
      <c r="B111" s="22" t="inlineStr">
        <is>
          <t>김재엽, 이민준</t>
        </is>
      </c>
      <c r="C111" s="22" t="inlineStr">
        <is>
          <t>제이펍</t>
        </is>
      </c>
      <c r="D111" s="22" t="inlineStr">
        <is>
          <t>2026년 05월</t>
        </is>
      </c>
      <c r="E111" s="28" t="n">
        <v>30000</v>
      </c>
      <c r="F111" s="28" t="n">
        <v>27000</v>
      </c>
      <c r="G111" s="29" t="n">
        <v>0</v>
      </c>
      <c r="H111" s="29" t="n">
        <v>1758</v>
      </c>
      <c r="I111" s="21" t="inlineStr">
        <is>
          <t>2026</t>
        </is>
      </c>
      <c r="J111" s="21" t="inlineStr">
        <is>
          <t xml:space="preserve"> 0</t>
        </is>
      </c>
      <c r="K111" s="30">
        <f>(E111-F111)/IF(E111&gt;0,E111,1)</f>
        <v/>
      </c>
    </row>
    <row r="112">
      <c r="A112" s="22" t="inlineStr">
        <is>
          <t>그냥 따라하다 배우는, 나노바나나 100선</t>
        </is>
      </c>
      <c r="B112" s="22" t="inlineStr">
        <is>
          <t>이재용</t>
        </is>
      </c>
      <c r="C112" s="22" t="inlineStr">
        <is>
          <t>비엘북스</t>
        </is>
      </c>
      <c r="D112" s="22" t="inlineStr">
        <is>
          <t>2026년 04월</t>
        </is>
      </c>
      <c r="E112" s="28" t="n">
        <v>22000</v>
      </c>
      <c r="F112" s="28" t="n">
        <v>19800</v>
      </c>
      <c r="G112" s="29" t="n">
        <v>0</v>
      </c>
      <c r="H112" s="29" t="n">
        <v>1110</v>
      </c>
      <c r="I112" s="21" t="inlineStr">
        <is>
          <t>2026</t>
        </is>
      </c>
      <c r="J112" s="21" t="inlineStr">
        <is>
          <t xml:space="preserve"> 0</t>
        </is>
      </c>
      <c r="K112" s="30">
        <f>(E112-F112)/IF(E112&gt;0,E112,1)</f>
        <v/>
      </c>
    </row>
    <row r="113">
      <c r="A113" s="22" t="inlineStr">
        <is>
          <t>AI, 글쓰기, 저작권</t>
        </is>
      </c>
      <c r="B113" s="22" t="inlineStr">
        <is>
          <t>정지우</t>
        </is>
      </c>
      <c r="C113" s="22" t="inlineStr">
        <is>
          <t>마름모</t>
        </is>
      </c>
      <c r="D113" s="22" t="inlineStr">
        <is>
          <t>2026년 05월</t>
        </is>
      </c>
      <c r="E113" s="28" t="n">
        <v>12000</v>
      </c>
      <c r="F113" s="28" t="n">
        <v>10800</v>
      </c>
      <c r="G113" s="29" t="n">
        <v>2</v>
      </c>
      <c r="H113" s="29" t="n">
        <v>1098</v>
      </c>
      <c r="I113" s="21" t="inlineStr">
        <is>
          <t>2026</t>
        </is>
      </c>
      <c r="J113" s="21" t="inlineStr">
        <is>
          <t xml:space="preserve"> 0</t>
        </is>
      </c>
      <c r="K113" s="30">
        <f>(E113-F113)/IF(E113&gt;0,E113,1)</f>
        <v/>
      </c>
    </row>
    <row r="114">
      <c r="A114" s="22" t="inlineStr">
        <is>
          <t>프로 일잘러의 AI 실무 바이블</t>
        </is>
      </c>
      <c r="B114" s="22" t="inlineStr">
        <is>
          <t>양일동, 이안정, 박희현, 나한주, 이나윤, 정보 더 보기/감추기, 양일동, 이안정, 박희현, 나한주, 이나윤, 임채용, 임효경</t>
        </is>
      </c>
      <c r="C114" s="22" t="inlineStr">
        <is>
          <t>교육과학사</t>
        </is>
      </c>
      <c r="D114" s="22" t="inlineStr">
        <is>
          <t>2026년 04월</t>
        </is>
      </c>
      <c r="E114" s="28" t="n">
        <v>34000</v>
      </c>
      <c r="F114" s="28" t="n">
        <v>34000</v>
      </c>
      <c r="G114" s="29" t="n">
        <v>38</v>
      </c>
      <c r="H114" s="29" t="n">
        <v>3930</v>
      </c>
      <c r="I114" s="21" t="inlineStr">
        <is>
          <t>2026</t>
        </is>
      </c>
      <c r="J114" s="21" t="inlineStr">
        <is>
          <t xml:space="preserve"> 0</t>
        </is>
      </c>
      <c r="K114" s="30">
        <f>(E114-F114)/IF(E114&gt;0,E114,1)</f>
        <v/>
      </c>
    </row>
    <row r="115">
      <c r="A115" s="22" t="inlineStr">
        <is>
          <t>요즘 교실 혁신의 공식 AI·에듀테크 활용법 with 2022 개정 교육과정</t>
        </is>
      </c>
      <c r="B115" s="22" t="inlineStr">
        <is>
          <t>진제헌</t>
        </is>
      </c>
      <c r="C115" s="22" t="inlineStr">
        <is>
          <t>앤써북</t>
        </is>
      </c>
      <c r="D115" s="22" t="inlineStr">
        <is>
          <t>2026년 05월</t>
        </is>
      </c>
      <c r="E115" s="28" t="n">
        <v>23300</v>
      </c>
      <c r="F115" s="28" t="n">
        <v>20970</v>
      </c>
      <c r="G115" s="29" t="n">
        <v>6</v>
      </c>
      <c r="H115" s="29" t="n">
        <v>1710</v>
      </c>
      <c r="I115" s="21" t="inlineStr">
        <is>
          <t>2026</t>
        </is>
      </c>
      <c r="J115" s="21" t="inlineStr">
        <is>
          <t xml:space="preserve"> 0</t>
        </is>
      </c>
      <c r="K115" s="30">
        <f>(E115-F115)/IF(E115&gt;0,E115,1)</f>
        <v/>
      </c>
    </row>
    <row r="116">
      <c r="A116" s="22" t="inlineStr">
        <is>
          <t>요즘 바이브 코딩 깃허브 코파일럿 31가지 프로그램 만들기</t>
        </is>
      </c>
      <c r="B116" s="22" t="inlineStr">
        <is>
          <t>박현규</t>
        </is>
      </c>
      <c r="C116" s="22" t="inlineStr">
        <is>
          <t>골든래빗</t>
        </is>
      </c>
      <c r="D116" s="22" t="inlineStr">
        <is>
          <t>2025년 12월</t>
        </is>
      </c>
      <c r="E116" s="28" t="n">
        <v>24000</v>
      </c>
      <c r="F116" s="28" t="n">
        <v>21600</v>
      </c>
      <c r="G116" s="29" t="n">
        <v>4</v>
      </c>
      <c r="H116" s="29" t="n">
        <v>2823</v>
      </c>
      <c r="I116" s="21" t="inlineStr">
        <is>
          <t>2025</t>
        </is>
      </c>
      <c r="J116" s="21" t="inlineStr">
        <is>
          <t xml:space="preserve"> 1</t>
        </is>
      </c>
      <c r="K116" s="30">
        <f>(E116-F116)/IF(E116&gt;0,E116,1)</f>
        <v/>
      </c>
    </row>
    <row r="117">
      <c r="A117" s="22" t="inlineStr">
        <is>
          <t>AI 이해력</t>
        </is>
      </c>
      <c r="B117" s="22" t="inlineStr">
        <is>
          <t>박민경</t>
        </is>
      </c>
      <c r="C117" s="22" t="inlineStr">
        <is>
          <t>로드북</t>
        </is>
      </c>
      <c r="D117" s="22" t="inlineStr">
        <is>
          <t>2026년 05월</t>
        </is>
      </c>
      <c r="E117" s="28" t="n">
        <v>25000</v>
      </c>
      <c r="F117" s="28" t="n">
        <v>22500</v>
      </c>
      <c r="G117" s="29" t="n">
        <v>0</v>
      </c>
      <c r="H117" s="29" t="n">
        <v>876</v>
      </c>
      <c r="I117" s="21" t="inlineStr">
        <is>
          <t>2026</t>
        </is>
      </c>
      <c r="J117" s="21" t="inlineStr">
        <is>
          <t xml:space="preserve"> 0</t>
        </is>
      </c>
      <c r="K117" s="30">
        <f>(E117-F117)/IF(E117&gt;0,E117,1)</f>
        <v/>
      </c>
    </row>
    <row r="118">
      <c r="A118" s="22" t="inlineStr">
        <is>
          <t>슬기로운 교사 생활 구글 클래스룸 수업 활용법</t>
        </is>
      </c>
      <c r="B118" s="22" t="inlineStr">
        <is>
          <t>유수근</t>
        </is>
      </c>
      <c r="C118" s="22" t="inlineStr">
        <is>
          <t>골든래빗</t>
        </is>
      </c>
      <c r="D118" s="22" t="inlineStr">
        <is>
          <t>2026년 03월</t>
        </is>
      </c>
      <c r="E118" s="28" t="n">
        <v>26800</v>
      </c>
      <c r="F118" s="28" t="n">
        <v>24120</v>
      </c>
      <c r="G118" s="29" t="n">
        <v>109</v>
      </c>
      <c r="H118" s="29" t="n">
        <v>1500</v>
      </c>
      <c r="I118" s="21" t="inlineStr">
        <is>
          <t>2026</t>
        </is>
      </c>
      <c r="J118" s="21" t="inlineStr">
        <is>
          <t xml:space="preserve"> 0</t>
        </is>
      </c>
      <c r="K118" s="30">
        <f>(E118-F118)/IF(E118&gt;0,E118,1)</f>
        <v/>
      </c>
    </row>
    <row r="119">
      <c r="A119" s="22" t="inlineStr">
        <is>
          <t>M365 코파일럿 무작정 따라하기</t>
        </is>
      </c>
      <c r="B119" s="22" t="inlineStr">
        <is>
          <t>김시연, 서지영</t>
        </is>
      </c>
      <c r="C119" s="22" t="inlineStr">
        <is>
          <t>길벗</t>
        </is>
      </c>
      <c r="D119" s="22" t="inlineStr">
        <is>
          <t>2025년 04월</t>
        </is>
      </c>
      <c r="E119" s="28" t="n">
        <v>22000</v>
      </c>
      <c r="F119" s="28" t="n">
        <v>19800</v>
      </c>
      <c r="G119" s="29" t="n">
        <v>7</v>
      </c>
      <c r="H119" s="29" t="n">
        <v>3468</v>
      </c>
      <c r="I119" s="21" t="inlineStr">
        <is>
          <t>2025</t>
        </is>
      </c>
      <c r="J119" s="21" t="inlineStr">
        <is>
          <t xml:space="preserve"> 0</t>
        </is>
      </c>
      <c r="K119" s="30">
        <f>(E119-F119)/IF(E119&gt;0,E119,1)</f>
        <v/>
      </c>
    </row>
    <row r="120">
      <c r="A120" s="22" t="inlineStr">
        <is>
          <t>요즘 교사를 위한 체육 수업 에듀테크 활용법 : 요즘 체육 수업, 에듀테크로 설계하고 기록되고 성장으로 남는다!</t>
        </is>
      </c>
      <c r="B120" s="22" t="inlineStr">
        <is>
          <t>임우균, 서지원</t>
        </is>
      </c>
      <c r="C120" s="22" t="inlineStr">
        <is>
          <t>앤써북</t>
        </is>
      </c>
      <c r="D120" s="22" t="inlineStr">
        <is>
          <t>2026년 02월</t>
        </is>
      </c>
      <c r="E120" s="28" t="n">
        <v>16800</v>
      </c>
      <c r="F120" s="28" t="n">
        <v>15120</v>
      </c>
      <c r="G120" s="29" t="n">
        <v>19</v>
      </c>
      <c r="H120" s="29" t="n">
        <v>1926</v>
      </c>
      <c r="I120" s="21" t="inlineStr">
        <is>
          <t>2026</t>
        </is>
      </c>
      <c r="J120" s="21" t="inlineStr">
        <is>
          <t xml:space="preserve"> 0</t>
        </is>
      </c>
      <c r="K120" s="30">
        <f>(E120-F120)/IF(E120&gt;0,E120,1)</f>
        <v/>
      </c>
    </row>
    <row r="121">
      <c r="A121" s="22" t="inlineStr">
        <is>
          <t>LLM을 활용한 실전 AI 애플리케이션 개발</t>
        </is>
      </c>
      <c r="B121" s="22" t="inlineStr">
        <is>
          <t>허정준, 정진호, 박재호</t>
        </is>
      </c>
      <c r="C121" s="22" t="inlineStr">
        <is>
          <t>책만</t>
        </is>
      </c>
      <c r="D121" s="22" t="inlineStr">
        <is>
          <t>2024년 07월</t>
        </is>
      </c>
      <c r="E121" s="28" t="n">
        <v>32000</v>
      </c>
      <c r="F121" s="28" t="n">
        <v>28800</v>
      </c>
      <c r="G121" s="29" t="n">
        <v>31</v>
      </c>
      <c r="H121" s="29" t="n">
        <v>4884</v>
      </c>
      <c r="I121" s="21" t="inlineStr">
        <is>
          <t>2024</t>
        </is>
      </c>
      <c r="J121" s="21" t="inlineStr">
        <is>
          <t xml:space="preserve"> 0</t>
        </is>
      </c>
      <c r="K121" s="30">
        <f>(E121-F121)/IF(E121&gt;0,E121,1)</f>
        <v/>
      </c>
    </row>
    <row r="122">
      <c r="A122" s="22" t="inlineStr">
        <is>
          <t>Do it! 오토캐드 2027 + AI</t>
        </is>
      </c>
      <c r="B122" s="22" t="inlineStr">
        <is>
          <t>박한울</t>
        </is>
      </c>
      <c r="C122" s="22" t="inlineStr">
        <is>
          <t>이지스퍼블리싱</t>
        </is>
      </c>
      <c r="D122" s="22" t="inlineStr">
        <is>
          <t>2026년 06월</t>
        </is>
      </c>
      <c r="E122" s="28" t="n">
        <v>31000</v>
      </c>
      <c r="F122" s="28" t="n">
        <v>27900</v>
      </c>
      <c r="G122" s="29" t="n">
        <v>6</v>
      </c>
      <c r="H122" s="29" t="n">
        <v>360</v>
      </c>
      <c r="I122" s="21" t="inlineStr">
        <is>
          <t>2026</t>
        </is>
      </c>
      <c r="J122" s="21" t="inlineStr">
        <is>
          <t xml:space="preserve"> 0</t>
        </is>
      </c>
      <c r="K122" s="30">
        <f>(E122-F122)/IF(E122&gt;0,E122,1)</f>
        <v/>
      </c>
    </row>
    <row r="123">
      <c r="A123" s="22" t="inlineStr">
        <is>
          <t>인공지능 활용능력 평가 AICE FUTURE 3급</t>
        </is>
      </c>
      <c r="B123" s="22" t="inlineStr">
        <is>
          <t>DIGICO KT</t>
        </is>
      </c>
      <c r="C123" s="22" t="inlineStr">
        <is>
          <t>한국경제매거진</t>
        </is>
      </c>
      <c r="D123" s="22" t="inlineStr">
        <is>
          <t>2022년 11월</t>
        </is>
      </c>
      <c r="E123" s="28" t="n">
        <v>16000</v>
      </c>
      <c r="F123" s="28" t="n">
        <v>16000</v>
      </c>
      <c r="G123" s="29" t="n">
        <v>4</v>
      </c>
      <c r="H123" s="29" t="n">
        <v>2934</v>
      </c>
      <c r="I123" s="21" t="inlineStr">
        <is>
          <t>2022</t>
        </is>
      </c>
      <c r="J123" s="21" t="inlineStr">
        <is>
          <t xml:space="preserve"> 1</t>
        </is>
      </c>
      <c r="K123" s="30">
        <f>(E123-F123)/IF(E123&gt;0,E123,1)</f>
        <v/>
      </c>
    </row>
    <row r="124">
      <c r="A124" s="22" t="inlineStr">
        <is>
          <t>생성형 AI를 위한 프롬프트 엔지니어링</t>
        </is>
      </c>
      <c r="B124" s="22" t="inlineStr">
        <is>
          <t>제임스 피닉스, 마이크 테일러, 정의형, 정한결</t>
        </is>
      </c>
      <c r="C124" s="22" t="inlineStr">
        <is>
          <t>한빛미디어</t>
        </is>
      </c>
      <c r="D124" s="22" t="inlineStr">
        <is>
          <t>2025년 06월</t>
        </is>
      </c>
      <c r="E124" s="28" t="n">
        <v>38000</v>
      </c>
      <c r="F124" s="28" t="n">
        <v>34200</v>
      </c>
      <c r="G124" s="29" t="n">
        <v>9</v>
      </c>
      <c r="H124" s="29" t="n">
        <v>5934</v>
      </c>
      <c r="I124" s="21" t="inlineStr">
        <is>
          <t>2025</t>
        </is>
      </c>
      <c r="J124" s="21" t="inlineStr">
        <is>
          <t xml:space="preserve"> 0</t>
        </is>
      </c>
      <c r="K124" s="30">
        <f>(E124-F124)/IF(E124&gt;0,E124,1)</f>
        <v/>
      </c>
    </row>
    <row r="125">
      <c r="A125" s="22" t="inlineStr">
        <is>
          <t>요즘 당근 AI 개발</t>
        </is>
      </c>
      <c r="B125" s="22" t="inlineStr">
        <is>
          <t>당근 팀</t>
        </is>
      </c>
      <c r="C125" s="22" t="inlineStr">
        <is>
          <t>골든래빗</t>
        </is>
      </c>
      <c r="D125" s="22" t="inlineStr">
        <is>
          <t>2025년 10월</t>
        </is>
      </c>
      <c r="E125" s="28" t="n">
        <v>22000</v>
      </c>
      <c r="F125" s="28" t="n">
        <v>19800</v>
      </c>
      <c r="G125" s="29" t="n">
        <v>91</v>
      </c>
      <c r="H125" s="29" t="n">
        <v>15420</v>
      </c>
      <c r="I125" s="21" t="inlineStr">
        <is>
          <t>2025</t>
        </is>
      </c>
      <c r="J125" s="21" t="inlineStr">
        <is>
          <t xml:space="preserve"> 1</t>
        </is>
      </c>
      <c r="K125" s="30">
        <f>(E125-F125)/IF(E125&gt;0,E125,1)</f>
        <v/>
      </c>
    </row>
    <row r="126">
      <c r="A126" s="22" t="inlineStr">
        <is>
          <t>중국 휴머노이드 로봇</t>
        </is>
      </c>
      <c r="B126" s="22" t="inlineStr">
        <is>
          <t>김종문</t>
        </is>
      </c>
      <c r="C126" s="22" t="inlineStr">
        <is>
          <t>다빈치books</t>
        </is>
      </c>
      <c r="D126" s="22" t="inlineStr">
        <is>
          <t>2026년 05월</t>
        </is>
      </c>
      <c r="E126" s="28" t="n">
        <v>22000</v>
      </c>
      <c r="F126" s="28" t="n">
        <v>19800</v>
      </c>
      <c r="G126" s="29" t="n">
        <v>7</v>
      </c>
      <c r="H126" s="29" t="n">
        <v>1080</v>
      </c>
      <c r="I126" s="21" t="inlineStr">
        <is>
          <t>2026</t>
        </is>
      </c>
      <c r="J126" s="21" t="inlineStr">
        <is>
          <t xml:space="preserve"> 0</t>
        </is>
      </c>
      <c r="K126" s="30">
        <f>(E126-F126)/IF(E126&gt;0,E126,1)</f>
        <v/>
      </c>
    </row>
    <row r="127">
      <c r="A127" s="22" t="inlineStr">
        <is>
          <t>인공지능이 다 해주는 브루 Vrew 영상 편집</t>
        </is>
      </c>
      <c r="B127" s="22" t="inlineStr">
        <is>
          <t>지현이, 브루 개발팀</t>
        </is>
      </c>
      <c r="C127" s="22" t="inlineStr">
        <is>
          <t>시프트</t>
        </is>
      </c>
      <c r="D127" s="22" t="inlineStr">
        <is>
          <t>2024년 10월</t>
        </is>
      </c>
      <c r="E127" s="28" t="n">
        <v>20000</v>
      </c>
      <c r="F127" s="28" t="n">
        <v>18000</v>
      </c>
      <c r="G127" s="29" t="n">
        <v>19</v>
      </c>
      <c r="H127" s="29" t="n">
        <v>7848</v>
      </c>
      <c r="I127" s="21" t="inlineStr">
        <is>
          <t>2024</t>
        </is>
      </c>
      <c r="J127" s="21" t="inlineStr">
        <is>
          <t xml:space="preserve"> 1</t>
        </is>
      </c>
      <c r="K127" s="30">
        <f>(E127-F127)/IF(E127&gt;0,E127,1)</f>
        <v/>
      </c>
    </row>
    <row r="128">
      <c r="A128" s="22" t="inlineStr">
        <is>
          <t>AI 프로젝트 100% 성공을 위한 체크리스트 17</t>
        </is>
      </c>
      <c r="B128" s="22" t="inlineStr">
        <is>
          <t>유진호</t>
        </is>
      </c>
      <c r="C128" s="22" t="inlineStr">
        <is>
          <t>책만</t>
        </is>
      </c>
      <c r="D128" s="22" t="inlineStr">
        <is>
          <t>2026년 01월</t>
        </is>
      </c>
      <c r="E128" s="28" t="n">
        <v>28000</v>
      </c>
      <c r="F128" s="28" t="n">
        <v>25200</v>
      </c>
      <c r="G128" s="29" t="n">
        <v>18</v>
      </c>
      <c r="H128" s="29" t="n">
        <v>3606</v>
      </c>
      <c r="I128" s="21" t="inlineStr">
        <is>
          <t>2026</t>
        </is>
      </c>
      <c r="J128" s="21" t="inlineStr">
        <is>
          <t xml:space="preserve"> 0</t>
        </is>
      </c>
      <c r="K128" s="30">
        <f>(E128-F128)/IF(E128&gt;0,E128,1)</f>
        <v/>
      </c>
    </row>
    <row r="129">
      <c r="A129" s="22" t="inlineStr">
        <is>
          <t>바이브 코딩 with 구글 안티그래비티</t>
        </is>
      </c>
      <c r="B129" s="22" t="inlineStr">
        <is>
          <t>노성환</t>
        </is>
      </c>
      <c r="C129" s="22" t="inlineStr">
        <is>
          <t>영진닷컴</t>
        </is>
      </c>
      <c r="D129" s="22" t="inlineStr">
        <is>
          <t>2026년 04월</t>
        </is>
      </c>
      <c r="E129" s="28" t="n">
        <v>18000</v>
      </c>
      <c r="F129" s="28" t="n">
        <v>16200</v>
      </c>
      <c r="G129" s="29" t="n">
        <v>33</v>
      </c>
      <c r="H129" s="29" t="n">
        <v>984</v>
      </c>
      <c r="I129" s="21" t="inlineStr">
        <is>
          <t>2026</t>
        </is>
      </c>
      <c r="J129" s="21" t="inlineStr">
        <is>
          <t xml:space="preserve"> 0</t>
        </is>
      </c>
      <c r="K129" s="30">
        <f>(E129-F129)/IF(E129&gt;0,E129,1)</f>
        <v/>
      </c>
    </row>
    <row r="130">
      <c r="A130" s="22" t="inlineStr">
        <is>
          <t>30가지 예제로 따라 하며 배우는 ComfyUI 클라우드</t>
        </is>
      </c>
      <c r="B130" s="22" t="inlineStr">
        <is>
          <t>여승호, 신무경</t>
        </is>
      </c>
      <c r="C130" s="22" t="inlineStr">
        <is>
          <t>제이펍</t>
        </is>
      </c>
      <c r="D130" s="22" t="inlineStr">
        <is>
          <t>2026년 03월</t>
        </is>
      </c>
      <c r="E130" s="28" t="n">
        <v>22000</v>
      </c>
      <c r="F130" s="28" t="n">
        <v>19800</v>
      </c>
      <c r="G130" s="29" t="n">
        <v>9</v>
      </c>
      <c r="H130" s="29" t="n">
        <v>1410</v>
      </c>
      <c r="I130" s="21" t="inlineStr">
        <is>
          <t>2026</t>
        </is>
      </c>
      <c r="J130" s="21" t="inlineStr">
        <is>
          <t xml:space="preserve"> 0</t>
        </is>
      </c>
      <c r="K130" s="30">
        <f>(E130-F130)/IF(E130&gt;0,E130,1)</f>
        <v/>
      </c>
    </row>
    <row r="131">
      <c r="A131" s="22" t="inlineStr">
        <is>
          <t>LLMOps 완벽 가이드</t>
        </is>
      </c>
      <c r="B131" s="22" t="inlineStr">
        <is>
          <t>아비 아리안, 박조은, 박주환</t>
        </is>
      </c>
      <c r="C131" s="22" t="inlineStr">
        <is>
          <t>한빛미디어</t>
        </is>
      </c>
      <c r="D131" s="22" t="inlineStr">
        <is>
          <t>2026년 05월</t>
        </is>
      </c>
      <c r="E131" s="28" t="n">
        <v>32000</v>
      </c>
      <c r="F131" s="28" t="n">
        <v>28800</v>
      </c>
      <c r="G131" s="29" t="n">
        <v>2</v>
      </c>
      <c r="H131" s="29" t="n">
        <v>744</v>
      </c>
      <c r="I131" s="21" t="inlineStr">
        <is>
          <t>2026</t>
        </is>
      </c>
      <c r="J131" s="21" t="inlineStr">
        <is>
          <t xml:space="preserve"> 0</t>
        </is>
      </c>
      <c r="K131" s="30">
        <f>(E131-F131)/IF(E131&gt;0,E131,1)</f>
        <v/>
      </c>
    </row>
    <row r="132">
      <c r="A132" s="22" t="inlineStr">
        <is>
          <t>한 걸음 앞선 개발자가 지금 꼭 알아야 할 클로드 코드</t>
        </is>
      </c>
      <c r="B132" s="22" t="inlineStr">
        <is>
          <t>조훈, 정찬훈</t>
        </is>
      </c>
      <c r="C132" s="22" t="inlineStr">
        <is>
          <t>길벗</t>
        </is>
      </c>
      <c r="D132" s="22" t="inlineStr">
        <is>
          <t>2025년 09월</t>
        </is>
      </c>
      <c r="E132" s="28" t="n">
        <v>26000</v>
      </c>
      <c r="F132" s="28" t="n">
        <v>23400</v>
      </c>
      <c r="G132" s="29" t="n">
        <v>19</v>
      </c>
      <c r="H132" s="29" t="n">
        <v>9822</v>
      </c>
      <c r="I132" s="21" t="inlineStr">
        <is>
          <t>2025</t>
        </is>
      </c>
      <c r="J132" s="21" t="inlineStr">
        <is>
          <t xml:space="preserve"> 0</t>
        </is>
      </c>
      <c r="K132" s="30">
        <f>(E132-F132)/IF(E132&gt;0,E132,1)</f>
        <v/>
      </c>
    </row>
    <row r="133">
      <c r="A133" s="22" t="inlineStr">
        <is>
          <t>베테랑 AI 전문교사가 만든 가장 쉬운 패들렛 활용! Padlet(패들렛)으로 무엇이든 만들 수 있다 (교사를 위한 패들렛 수업 활용)</t>
        </is>
      </c>
      <c r="B133" s="22" t="inlineStr">
        <is>
          <t>봉우리, 윤상준, 이호준, 황호연</t>
        </is>
      </c>
      <c r="C133" s="22" t="inlineStr">
        <is>
          <t>광문각출판미디어</t>
        </is>
      </c>
      <c r="D133" s="22" t="inlineStr">
        <is>
          <t>2026년 05월</t>
        </is>
      </c>
      <c r="E133" s="28" t="n">
        <v>17000</v>
      </c>
      <c r="F133" s="28" t="n">
        <v>17000</v>
      </c>
      <c r="G133" s="29" t="n">
        <v>6</v>
      </c>
      <c r="H133" s="29" t="n">
        <v>828</v>
      </c>
      <c r="I133" s="21" t="inlineStr">
        <is>
          <t>2026</t>
        </is>
      </c>
      <c r="J133" s="21" t="inlineStr">
        <is>
          <t xml:space="preserve"> 0</t>
        </is>
      </c>
      <c r="K133" s="30">
        <f>(E133-F133)/IF(E133&gt;0,E133,1)</f>
        <v/>
      </c>
    </row>
    <row r="134">
      <c r="A134" s="22" t="inlineStr">
        <is>
          <t>AI가 일하는 법</t>
        </is>
      </c>
      <c r="B134" s="22" t="inlineStr">
        <is>
          <t>로널드 크노이젤, 한선용</t>
        </is>
      </c>
      <c r="C134" s="22" t="inlineStr">
        <is>
          <t>제이펍</t>
        </is>
      </c>
      <c r="D134" s="22" t="inlineStr">
        <is>
          <t>2026년 05월</t>
        </is>
      </c>
      <c r="E134" s="28" t="n">
        <v>22800</v>
      </c>
      <c r="F134" s="28" t="n">
        <v>20520</v>
      </c>
      <c r="G134" s="29" t="n">
        <v>5</v>
      </c>
      <c r="H134" s="29" t="n">
        <v>474</v>
      </c>
      <c r="I134" s="21" t="inlineStr">
        <is>
          <t>2026</t>
        </is>
      </c>
      <c r="J134" s="21" t="inlineStr">
        <is>
          <t xml:space="preserve"> 0</t>
        </is>
      </c>
      <c r="K134" s="30">
        <f>(E134-F134)/IF(E134&gt;0,E134,1)</f>
        <v/>
      </c>
    </row>
    <row r="135">
      <c r="A135" s="22" t="inlineStr">
        <is>
          <t>기업 AI자동화를 위한 클로드 AI활용</t>
        </is>
      </c>
      <c r="B135" s="22" t="inlineStr">
        <is>
          <t>최재용, 박경희, 신진주, 임기정, 권혁용, 정보 더 보기/감추기, 최재용, 박경희, 신진주, 임기정, 권혁용, 김진수, 최동진, 김진선</t>
        </is>
      </c>
      <c r="C135" s="22" t="inlineStr">
        <is>
          <t>미디어북</t>
        </is>
      </c>
      <c r="D135" s="22" t="inlineStr">
        <is>
          <t>2026년 05월</t>
        </is>
      </c>
      <c r="E135" s="28" t="n">
        <v>20000</v>
      </c>
      <c r="F135" s="28" t="n">
        <v>20000</v>
      </c>
      <c r="G135" s="29" t="n">
        <v>0</v>
      </c>
      <c r="H135" s="29" t="n">
        <v>390</v>
      </c>
      <c r="I135" s="21" t="inlineStr">
        <is>
          <t>2026</t>
        </is>
      </c>
      <c r="J135" s="21" t="inlineStr">
        <is>
          <t xml:space="preserve"> 0</t>
        </is>
      </c>
      <c r="K135" s="30">
        <f>(E135-F135)/IF(E135&gt;0,E135,1)</f>
        <v/>
      </c>
    </row>
    <row r="136">
      <c r="A136" s="22" t="inlineStr">
        <is>
          <t>한 권으로 끝내는 피지컬 AI ROS2 입문+실전(종합편)</t>
        </is>
      </c>
      <c r="B136" s="22" t="inlineStr">
        <is>
          <t>서민우, 전현희, 이현아, 박찬호</t>
        </is>
      </c>
      <c r="C136" s="22" t="inlineStr">
        <is>
          <t>앤써북</t>
        </is>
      </c>
      <c r="D136" s="22" t="inlineStr">
        <is>
          <t>2026년 04월</t>
        </is>
      </c>
      <c r="E136" s="28" t="n">
        <v>25500</v>
      </c>
      <c r="F136" s="28" t="n">
        <v>22950</v>
      </c>
      <c r="G136" s="29" t="n">
        <v>13</v>
      </c>
      <c r="H136" s="29" t="n">
        <v>1680</v>
      </c>
      <c r="I136" s="21" t="inlineStr">
        <is>
          <t>2026</t>
        </is>
      </c>
      <c r="J136" s="21" t="inlineStr">
        <is>
          <t xml:space="preserve"> 0</t>
        </is>
      </c>
      <c r="K136" s="30">
        <f>(E136-F136)/IF(E136&gt;0,E136,1)</f>
        <v/>
      </c>
    </row>
    <row r="137">
      <c r="A137" s="22" t="inlineStr">
        <is>
          <t>AI 로봇 구조 교과서</t>
        </is>
      </c>
      <c r="B137" s="22" t="inlineStr">
        <is>
          <t>유승남</t>
        </is>
      </c>
      <c r="C137" s="22" t="inlineStr">
        <is>
          <t>보누스</t>
        </is>
      </c>
      <c r="D137" s="22" t="inlineStr">
        <is>
          <t>2026년 01월</t>
        </is>
      </c>
      <c r="E137" s="28" t="n">
        <v>23000</v>
      </c>
      <c r="F137" s="28" t="n">
        <v>20700</v>
      </c>
      <c r="G137" s="29" t="n">
        <v>15</v>
      </c>
      <c r="H137" s="29" t="n">
        <v>1668</v>
      </c>
      <c r="I137" s="21" t="inlineStr">
        <is>
          <t>2026</t>
        </is>
      </c>
      <c r="J137" s="21" t="inlineStr">
        <is>
          <t xml:space="preserve"> 0</t>
        </is>
      </c>
      <c r="K137" s="30">
        <f>(E137-F137)/IF(E137&gt;0,E137,1)</f>
        <v/>
      </c>
    </row>
    <row r="138">
      <c r="A138" s="22" t="inlineStr">
        <is>
          <t>수노로 시작하는 AI 작곡</t>
        </is>
      </c>
      <c r="B138" s="22" t="inlineStr">
        <is>
          <t>강성우, 한나래</t>
        </is>
      </c>
      <c r="C138" s="22" t="inlineStr">
        <is>
          <t>제이펍</t>
        </is>
      </c>
      <c r="D138" s="22" t="inlineStr">
        <is>
          <t>2025년 12월</t>
        </is>
      </c>
      <c r="E138" s="28" t="n">
        <v>20000</v>
      </c>
      <c r="F138" s="28" t="n">
        <v>18000</v>
      </c>
      <c r="G138" s="29" t="n">
        <v>21</v>
      </c>
      <c r="H138" s="29" t="n">
        <v>4074</v>
      </c>
      <c r="I138" s="21" t="inlineStr">
        <is>
          <t>2025</t>
        </is>
      </c>
      <c r="J138" s="21" t="inlineStr">
        <is>
          <t xml:space="preserve"> 1</t>
        </is>
      </c>
      <c r="K138" s="30">
        <f>(E138-F138)/IF(E138&gt;0,E138,1)</f>
        <v/>
      </c>
    </row>
    <row r="139">
      <c r="A139" s="22" t="inlineStr">
        <is>
          <t>피지컬 AI와 에이전틱 AI가 바꾸는 미래</t>
        </is>
      </c>
      <c r="B139" s="22" t="inlineStr">
        <is>
          <t>권오형, 최재용, 김보성, 김은희, 김재연, 정보 더 보기/감추기, 권오형, 최재용, 김보성, 김은희, 김재연, 나병인, 유채린, 임기정, 차승희, 최소은, 김진선</t>
        </is>
      </c>
      <c r="C139" s="22" t="inlineStr">
        <is>
          <t>미디어북</t>
        </is>
      </c>
      <c r="D139" s="22" t="inlineStr">
        <is>
          <t>2026년 04월</t>
        </is>
      </c>
      <c r="E139" s="28" t="n">
        <v>20000</v>
      </c>
      <c r="F139" s="28" t="n">
        <v>20000</v>
      </c>
      <c r="G139" s="29" t="n">
        <v>19</v>
      </c>
      <c r="H139" s="29" t="n">
        <v>1458</v>
      </c>
      <c r="I139" s="21" t="inlineStr">
        <is>
          <t>2026</t>
        </is>
      </c>
      <c r="J139" s="21" t="inlineStr">
        <is>
          <t xml:space="preserve"> 0</t>
        </is>
      </c>
      <c r="K139" s="30">
        <f>(E139-F139)/IF(E139&gt;0,E139,1)</f>
        <v/>
      </c>
    </row>
    <row r="140">
      <c r="A140" s="22" t="inlineStr">
        <is>
          <t>AI 팀원이 다 해줌</t>
        </is>
      </c>
      <c r="B140" s="22" t="inlineStr">
        <is>
          <t>이나현</t>
        </is>
      </c>
      <c r="C140" s="22" t="inlineStr">
        <is>
          <t>한빛미디어</t>
        </is>
      </c>
      <c r="D140" s="22" t="inlineStr">
        <is>
          <t>2025년 12월</t>
        </is>
      </c>
      <c r="E140" s="28" t="n">
        <v>23000</v>
      </c>
      <c r="F140" s="28" t="n">
        <v>20700</v>
      </c>
      <c r="G140" s="29" t="n">
        <v>134</v>
      </c>
      <c r="H140" s="29" t="n">
        <v>5874</v>
      </c>
      <c r="I140" s="21" t="inlineStr">
        <is>
          <t>2025</t>
        </is>
      </c>
      <c r="J140" s="21" t="inlineStr">
        <is>
          <t xml:space="preserve"> 1</t>
        </is>
      </c>
      <c r="K140" s="30">
        <f>(E140-F140)/IF(E140&gt;0,E140,1)</f>
        <v/>
      </c>
    </row>
    <row r="141">
      <c r="A141" s="22" t="inlineStr">
        <is>
          <t>LangGraph로 만드는 AI 에이전트 서비스</t>
        </is>
      </c>
      <c r="B141" s="22" t="inlineStr">
        <is>
          <t>전상우, 정영훈, 서평원, 이정훈, 이민혁</t>
        </is>
      </c>
      <c r="C141" s="22" t="inlineStr">
        <is>
          <t>성안당</t>
        </is>
      </c>
      <c r="D141" s="22" t="inlineStr">
        <is>
          <t>2026년 05월</t>
        </is>
      </c>
      <c r="E141" s="28" t="n">
        <v>29000</v>
      </c>
      <c r="F141" s="28" t="n">
        <v>26100</v>
      </c>
      <c r="G141" s="29" t="n">
        <v>8</v>
      </c>
      <c r="H141" s="29" t="n">
        <v>1374</v>
      </c>
      <c r="I141" s="21" t="inlineStr">
        <is>
          <t>2026</t>
        </is>
      </c>
      <c r="J141" s="21" t="inlineStr">
        <is>
          <t xml:space="preserve"> 0</t>
        </is>
      </c>
      <c r="K141" s="30">
        <f>(E141-F141)/IF(E141&gt;0,E141,1)</f>
        <v/>
      </c>
    </row>
    <row r="142">
      <c r="A142" s="22" t="inlineStr">
        <is>
          <t>핸즈온 머신러닝</t>
        </is>
      </c>
      <c r="B142" s="22" t="inlineStr">
        <is>
          <t>오렐리앙 제롱, 박해선</t>
        </is>
      </c>
      <c r="C142" s="22" t="inlineStr">
        <is>
          <t>한빛미디어</t>
        </is>
      </c>
      <c r="D142" s="22" t="inlineStr">
        <is>
          <t>2023년 09월</t>
        </is>
      </c>
      <c r="E142" s="28" t="n">
        <v>60000</v>
      </c>
      <c r="F142" s="28" t="n">
        <v>54000</v>
      </c>
      <c r="G142" s="29" t="n">
        <v>39</v>
      </c>
      <c r="H142" s="29" t="n">
        <v>4482</v>
      </c>
      <c r="I142" s="21" t="inlineStr">
        <is>
          <t>2023</t>
        </is>
      </c>
      <c r="J142" s="21" t="inlineStr">
        <is>
          <t xml:space="preserve"> 0</t>
        </is>
      </c>
      <c r="K142" s="30">
        <f>(E142-F142)/IF(E142&gt;0,E142,1)</f>
        <v/>
      </c>
    </row>
    <row r="143">
      <c r="A143" s="22" t="inlineStr">
        <is>
          <t>나노바나나로 AI툰 제작하기</t>
        </is>
      </c>
      <c r="B143" s="22" t="inlineStr">
        <is>
          <t>김한재</t>
        </is>
      </c>
      <c r="C143" s="22" t="inlineStr">
        <is>
          <t>비엘북스</t>
        </is>
      </c>
      <c r="D143" s="22" t="inlineStr">
        <is>
          <t>2026년 02월</t>
        </is>
      </c>
      <c r="E143" s="28" t="n">
        <v>32000</v>
      </c>
      <c r="F143" s="28" t="n">
        <v>28800</v>
      </c>
      <c r="G143" s="29" t="n">
        <v>14</v>
      </c>
      <c r="H143" s="29" t="n">
        <v>2343</v>
      </c>
      <c r="I143" s="21" t="inlineStr">
        <is>
          <t>2026</t>
        </is>
      </c>
      <c r="J143" s="21" t="inlineStr">
        <is>
          <t xml:space="preserve"> 0</t>
        </is>
      </c>
      <c r="K143" s="30">
        <f>(E143-F143)/IF(E143&gt;0,E143,1)</f>
        <v/>
      </c>
    </row>
    <row r="144">
      <c r="A144" s="22" t="inlineStr">
        <is>
          <t>나는 오렌지3로 인공지능한다</t>
        </is>
      </c>
      <c r="B144" s="22" t="inlineStr">
        <is>
          <t>장병철, 서미란, 박지훈, 정종호</t>
        </is>
      </c>
      <c r="C144" s="22" t="inlineStr">
        <is>
          <t>씨마스</t>
        </is>
      </c>
      <c r="D144" s="22" t="inlineStr">
        <is>
          <t>2025년 12월</t>
        </is>
      </c>
      <c r="E144" s="28" t="n">
        <v>23000</v>
      </c>
      <c r="F144" s="28" t="n">
        <v>20700</v>
      </c>
      <c r="G144" s="29" t="n">
        <v>41</v>
      </c>
      <c r="H144" s="29" t="n">
        <v>3462</v>
      </c>
      <c r="I144" s="21" t="inlineStr">
        <is>
          <t>2025</t>
        </is>
      </c>
      <c r="J144" s="21" t="inlineStr">
        <is>
          <t xml:space="preserve"> 1</t>
        </is>
      </c>
      <c r="K144" s="30">
        <f>(E144-F144)/IF(E144&gt;0,E144,1)</f>
        <v/>
      </c>
    </row>
    <row r="145">
      <c r="A145" s="22" t="inlineStr">
        <is>
          <t>모두의 딥러닝</t>
        </is>
      </c>
      <c r="B145" s="22" t="inlineStr">
        <is>
          <t>조태호</t>
        </is>
      </c>
      <c r="C145" s="22" t="inlineStr">
        <is>
          <t>길벗</t>
        </is>
      </c>
      <c r="D145" s="22" t="inlineStr">
        <is>
          <t>2025년 04월</t>
        </is>
      </c>
      <c r="E145" s="28" t="n">
        <v>29000</v>
      </c>
      <c r="F145" s="28" t="n">
        <v>26100</v>
      </c>
      <c r="G145" s="29" t="n">
        <v>13</v>
      </c>
      <c r="H145" s="29" t="n">
        <v>3582</v>
      </c>
      <c r="I145" s="21" t="inlineStr">
        <is>
          <t>2025</t>
        </is>
      </c>
      <c r="J145" s="21" t="inlineStr">
        <is>
          <t xml:space="preserve"> 0</t>
        </is>
      </c>
      <c r="K145" s="30">
        <f>(E145-F145)/IF(E145&gt;0,E145,1)</f>
        <v/>
      </c>
    </row>
    <row r="146">
      <c r="A146" s="22" t="inlineStr">
        <is>
          <t>Do it! 커서로 시작하는 AI 코딩 입문</t>
        </is>
      </c>
      <c r="B146" s="22" t="inlineStr">
        <is>
          <t>고경희</t>
        </is>
      </c>
      <c r="C146" s="22" t="inlineStr">
        <is>
          <t>이지스퍼블리싱</t>
        </is>
      </c>
      <c r="D146" s="22" t="inlineStr">
        <is>
          <t>2025년 09월</t>
        </is>
      </c>
      <c r="E146" s="28" t="n">
        <v>23000</v>
      </c>
      <c r="F146" s="28" t="n">
        <v>20700</v>
      </c>
      <c r="G146" s="29" t="n">
        <v>20</v>
      </c>
      <c r="H146" s="29" t="n">
        <v>4452</v>
      </c>
      <c r="I146" s="21" t="inlineStr">
        <is>
          <t>2025</t>
        </is>
      </c>
      <c r="J146" s="21" t="inlineStr">
        <is>
          <t xml:space="preserve"> 0</t>
        </is>
      </c>
      <c r="K146" s="30">
        <f>(E146-F146)/IF(E146&gt;0,E146,1)</f>
        <v/>
      </c>
    </row>
    <row r="147">
      <c r="A147" s="22" t="inlineStr">
        <is>
          <t>바로바로 챗GPT X 덕테이프 X 코덱스</t>
        </is>
      </c>
      <c r="B147" s="22" t="inlineStr">
        <is>
          <t>박현규</t>
        </is>
      </c>
      <c r="C147" s="22" t="inlineStr">
        <is>
          <t>골든래빗</t>
        </is>
      </c>
      <c r="D147" s="22" t="inlineStr">
        <is>
          <t>2026년 06월</t>
        </is>
      </c>
      <c r="E147" s="28" t="n">
        <v>24000</v>
      </c>
      <c r="F147" s="28" t="n">
        <v>21600</v>
      </c>
      <c r="G147" s="29" t="n">
        <v>0</v>
      </c>
      <c r="H147" s="29" t="n">
        <v>180</v>
      </c>
      <c r="I147" s="21" t="inlineStr">
        <is>
          <t>2026</t>
        </is>
      </c>
      <c r="J147" s="21" t="inlineStr">
        <is>
          <t xml:space="preserve"> 0</t>
        </is>
      </c>
      <c r="K147" s="30">
        <f>(E147-F147)/IF(E147&gt;0,E147,1)</f>
        <v/>
      </c>
    </row>
    <row r="148">
      <c r="A148" s="22" t="inlineStr">
        <is>
          <t>AI를 위한 필수 수학</t>
        </is>
      </c>
      <c r="B148" s="22" t="inlineStr">
        <is>
          <t>할라 넬슨, 안민재</t>
        </is>
      </c>
      <c r="C148" s="22" t="inlineStr">
        <is>
          <t>한빛미디어</t>
        </is>
      </c>
      <c r="D148" s="22" t="inlineStr">
        <is>
          <t>2024년 08월</t>
        </is>
      </c>
      <c r="E148" s="28" t="n">
        <v>45000</v>
      </c>
      <c r="F148" s="28" t="n">
        <v>40500</v>
      </c>
      <c r="G148" s="29" t="n">
        <v>12</v>
      </c>
      <c r="H148" s="29" t="n">
        <v>2688</v>
      </c>
      <c r="I148" s="21" t="inlineStr">
        <is>
          <t>2024</t>
        </is>
      </c>
      <c r="J148" s="21" t="inlineStr">
        <is>
          <t xml:space="preserve"> 0</t>
        </is>
      </c>
      <c r="K148" s="30">
        <f>(E148-F148)/IF(E148&gt;0,E148,1)</f>
        <v/>
      </c>
    </row>
    <row r="149">
      <c r="A149" s="22" t="inlineStr">
        <is>
          <t>구조를 읽는 눈, 도구를 지배한다</t>
        </is>
      </c>
      <c r="B149" s="22" t="inlineStr">
        <is>
          <t>김도균</t>
        </is>
      </c>
      <c r="C149" s="22" t="inlineStr">
        <is>
          <t>ADK FIRST</t>
        </is>
      </c>
      <c r="D149" s="22" t="inlineStr">
        <is>
          <t>2026년 05월</t>
        </is>
      </c>
      <c r="E149" s="28" t="n">
        <v>24000</v>
      </c>
      <c r="F149" s="28" t="n">
        <v>21600</v>
      </c>
      <c r="G149" s="29" t="n">
        <v>0</v>
      </c>
      <c r="H149" s="29" t="n">
        <v>342</v>
      </c>
      <c r="I149" s="21" t="inlineStr">
        <is>
          <t>2026</t>
        </is>
      </c>
      <c r="J149" s="21" t="inlineStr">
        <is>
          <t xml:space="preserve"> 0</t>
        </is>
      </c>
      <c r="K149" s="30">
        <f>(E149-F149)/IF(E149&gt;0,E149,1)</f>
        <v/>
      </c>
    </row>
    <row r="150">
      <c r="A150" s="22" t="inlineStr">
        <is>
          <t>된다! 피그마 디자인 10분 레시피</t>
        </is>
      </c>
      <c r="B150" s="22" t="inlineStr">
        <is>
          <t>하이서, 김대일, 김시원, 최유빈</t>
        </is>
      </c>
      <c r="C150" s="22" t="inlineStr">
        <is>
          <t>이지스퍼블리싱</t>
        </is>
      </c>
      <c r="D150" s="22" t="inlineStr">
        <is>
          <t>2026년 02월</t>
        </is>
      </c>
      <c r="E150" s="28" t="n">
        <v>28000</v>
      </c>
      <c r="F150" s="28" t="n">
        <v>25200</v>
      </c>
      <c r="G150" s="29" t="n">
        <v>27</v>
      </c>
      <c r="H150" s="29" t="n">
        <v>2838</v>
      </c>
      <c r="I150" s="21" t="inlineStr">
        <is>
          <t>2026</t>
        </is>
      </c>
      <c r="J150" s="21" t="inlineStr">
        <is>
          <t xml:space="preserve"> 0</t>
        </is>
      </c>
      <c r="K150" s="30">
        <f>(E150-F150)/IF(E150&gt;0,E150,1)</f>
        <v/>
      </c>
    </row>
    <row r="151">
      <c r="A151" s="22" t="inlineStr">
        <is>
          <t>제로클릭</t>
        </is>
      </c>
      <c r="B151" s="22" t="inlineStr">
        <is>
          <t>손승완</t>
        </is>
      </c>
      <c r="C151" s="22" t="inlineStr">
        <is>
          <t>길벗</t>
        </is>
      </c>
      <c r="D151" s="22" t="inlineStr">
        <is>
          <t>2026년 01월</t>
        </is>
      </c>
      <c r="E151" s="28" t="n">
        <v>18800</v>
      </c>
      <c r="F151" s="28" t="n">
        <v>16920</v>
      </c>
      <c r="G151" s="29" t="n">
        <v>49</v>
      </c>
      <c r="H151" s="29" t="n">
        <v>5016</v>
      </c>
      <c r="I151" s="21" t="inlineStr">
        <is>
          <t>2026</t>
        </is>
      </c>
      <c r="J151" s="21" t="inlineStr">
        <is>
          <t xml:space="preserve"> 0</t>
        </is>
      </c>
      <c r="K151" s="30">
        <f>(E151-F151)/IF(E151&gt;0,E151,1)</f>
        <v/>
      </c>
    </row>
    <row r="152">
      <c r="A152" s="22" t="inlineStr">
        <is>
          <t>예제가 가득한 제미나이 길라잡이</t>
        </is>
      </c>
      <c r="B152" s="22" t="inlineStr">
        <is>
          <t>이승우</t>
        </is>
      </c>
      <c r="C152" s="22" t="inlineStr">
        <is>
          <t>정보문화사</t>
        </is>
      </c>
      <c r="D152" s="22" t="inlineStr">
        <is>
          <t>2026년 04월</t>
        </is>
      </c>
      <c r="E152" s="28" t="n">
        <v>16800</v>
      </c>
      <c r="F152" s="28" t="n">
        <v>15120</v>
      </c>
      <c r="G152" s="29" t="n">
        <v>25</v>
      </c>
      <c r="H152" s="29" t="n">
        <v>1131</v>
      </c>
      <c r="I152" s="21" t="inlineStr">
        <is>
          <t>2026</t>
        </is>
      </c>
      <c r="J152" s="21" t="inlineStr">
        <is>
          <t xml:space="preserve"> 0</t>
        </is>
      </c>
      <c r="K152" s="30">
        <f>(E152-F152)/IF(E152&gt;0,E152,1)</f>
        <v/>
      </c>
    </row>
    <row r="153">
      <c r="A153" s="22" t="inlineStr">
        <is>
          <t>AI로 차트, 그래프, 인포그래픽 한 번에 끝내기</t>
        </is>
      </c>
      <c r="B153" s="22" t="inlineStr">
        <is>
          <t>이현</t>
        </is>
      </c>
      <c r="C153" s="22" t="inlineStr">
        <is>
          <t>천그루숲</t>
        </is>
      </c>
      <c r="D153" s="22" t="inlineStr">
        <is>
          <t>2026년 01월</t>
        </is>
      </c>
      <c r="E153" s="28" t="n">
        <v>18000</v>
      </c>
      <c r="F153" s="28" t="n">
        <v>16200</v>
      </c>
      <c r="G153" s="29" t="n">
        <v>16</v>
      </c>
      <c r="H153" s="29" t="n">
        <v>1206</v>
      </c>
      <c r="I153" s="21" t="inlineStr">
        <is>
          <t>2026</t>
        </is>
      </c>
      <c r="J153" s="21" t="inlineStr">
        <is>
          <t xml:space="preserve"> 0</t>
        </is>
      </c>
      <c r="K153" s="30">
        <f>(E153-F153)/IF(E153&gt;0,E153,1)</f>
        <v/>
      </c>
    </row>
    <row r="154">
      <c r="A154" s="22" t="inlineStr">
        <is>
          <t>AI 시대 사수 없는 마케터의 질문 수업</t>
        </is>
      </c>
      <c r="B154" s="22" t="inlineStr">
        <is>
          <t>이효정</t>
        </is>
      </c>
      <c r="C154" s="22" t="inlineStr">
        <is>
          <t>리코멘드</t>
        </is>
      </c>
      <c r="D154" s="22" t="inlineStr">
        <is>
          <t>2026년 05월</t>
        </is>
      </c>
      <c r="E154" s="28" t="n">
        <v>22000</v>
      </c>
      <c r="F154" s="28" t="n">
        <v>19800</v>
      </c>
      <c r="G154" s="29" t="n">
        <v>7</v>
      </c>
      <c r="H154" s="29" t="n">
        <v>663</v>
      </c>
      <c r="I154" s="21" t="inlineStr">
        <is>
          <t>2026</t>
        </is>
      </c>
      <c r="J154" s="21" t="inlineStr">
        <is>
          <t xml:space="preserve"> 0</t>
        </is>
      </c>
      <c r="K154" s="30">
        <f>(E154-F154)/IF(E154&gt;0,E154,1)</f>
        <v/>
      </c>
    </row>
    <row r="155">
      <c r="A155" s="22" t="inlineStr">
        <is>
          <t>A2A × MCP 멀티에이전트 오케스트레이션 실전</t>
        </is>
      </c>
      <c r="B155" s="22" t="inlineStr">
        <is>
          <t>서지영</t>
        </is>
      </c>
      <c r="C155" s="22" t="inlineStr">
        <is>
          <t>길벗</t>
        </is>
      </c>
      <c r="D155" s="22" t="inlineStr">
        <is>
          <t>2026년 03월</t>
        </is>
      </c>
      <c r="E155" s="28" t="n">
        <v>33000</v>
      </c>
      <c r="F155" s="28" t="n">
        <v>29700</v>
      </c>
      <c r="G155" s="29" t="n">
        <v>16</v>
      </c>
      <c r="H155" s="29" t="n">
        <v>1212</v>
      </c>
      <c r="I155" s="21" t="inlineStr">
        <is>
          <t>2026</t>
        </is>
      </c>
      <c r="J155" s="21" t="inlineStr">
        <is>
          <t xml:space="preserve"> 0</t>
        </is>
      </c>
      <c r="K155" s="30">
        <f>(E155-F155)/IF(E155&gt;0,E155,1)</f>
        <v/>
      </c>
    </row>
    <row r="156">
      <c r="A156" s="22" t="inlineStr">
        <is>
          <t>수학대백과사전</t>
        </is>
      </c>
      <c r="B156" s="22" t="inlineStr">
        <is>
          <t>구라모토 다카후미, 린커넥터</t>
        </is>
      </c>
      <c r="C156" s="22" t="inlineStr">
        <is>
          <t>동양북스(동양books)</t>
        </is>
      </c>
      <c r="D156" s="22" t="inlineStr">
        <is>
          <t>2020년 12월</t>
        </is>
      </c>
      <c r="E156" s="28" t="n">
        <v>18000</v>
      </c>
      <c r="F156" s="28" t="n">
        <v>16200</v>
      </c>
      <c r="G156" s="29" t="n">
        <v>30</v>
      </c>
      <c r="H156" s="29" t="n">
        <v>1725</v>
      </c>
      <c r="I156" s="21" t="inlineStr">
        <is>
          <t>2020</t>
        </is>
      </c>
      <c r="J156" s="21" t="inlineStr">
        <is>
          <t xml:space="preserve"> 1</t>
        </is>
      </c>
      <c r="K156" s="30">
        <f>(E156-F156)/IF(E156&gt;0,E156,1)</f>
        <v/>
      </c>
    </row>
    <row r="157">
      <c r="A157" s="22" t="inlineStr">
        <is>
          <t>구글 스프레드시트 &amp; 앱스스크립트 업무 자동화</t>
        </is>
      </c>
      <c r="B157" s="22" t="inlineStr">
        <is>
          <t>천용민</t>
        </is>
      </c>
      <c r="C157" s="22" t="inlineStr">
        <is>
          <t>아이콕스(iCox)</t>
        </is>
      </c>
      <c r="D157" s="22" t="inlineStr">
        <is>
          <t>2025년 07월</t>
        </is>
      </c>
      <c r="E157" s="28" t="n">
        <v>35000</v>
      </c>
      <c r="F157" s="28" t="n">
        <v>31500</v>
      </c>
      <c r="G157" s="29" t="n">
        <v>3</v>
      </c>
      <c r="H157" s="29" t="n">
        <v>1818</v>
      </c>
      <c r="I157" s="21" t="inlineStr">
        <is>
          <t>2025</t>
        </is>
      </c>
      <c r="J157" s="21" t="inlineStr">
        <is>
          <t xml:space="preserve"> 0</t>
        </is>
      </c>
      <c r="K157" s="30">
        <f>(E157-F157)/IF(E157&gt;0,E157,1)</f>
        <v/>
      </c>
    </row>
    <row r="158">
      <c r="A158" s="22" t="inlineStr">
        <is>
          <t>n8n 업무 자동화 일잘러 되기</t>
        </is>
      </c>
      <c r="B158" s="22" t="inlineStr">
        <is>
          <t>메이허, 에디 유</t>
        </is>
      </c>
      <c r="C158" s="22" t="inlineStr">
        <is>
          <t>골든래빗</t>
        </is>
      </c>
      <c r="D158" s="22" t="inlineStr">
        <is>
          <t>2026년 03월</t>
        </is>
      </c>
      <c r="E158" s="28" t="n">
        <v>36000</v>
      </c>
      <c r="F158" s="28" t="n">
        <v>32400</v>
      </c>
      <c r="G158" s="29" t="n">
        <v>30</v>
      </c>
      <c r="H158" s="29" t="n">
        <v>2352</v>
      </c>
      <c r="I158" s="21" t="inlineStr">
        <is>
          <t>2026</t>
        </is>
      </c>
      <c r="J158" s="21" t="inlineStr">
        <is>
          <t xml:space="preserve"> 0</t>
        </is>
      </c>
      <c r="K158" s="30">
        <f>(E158-F158)/IF(E158&gt;0,E158,1)</f>
        <v/>
      </c>
    </row>
    <row r="159">
      <c r="A159" s="22" t="inlineStr">
        <is>
          <t>교사의 변화가 수업을 바꾼다! : 수업을 바꾸는 교사의 30가지 이야기</t>
        </is>
      </c>
      <c r="B159" s="22" t="inlineStr">
        <is>
          <t>유승재</t>
        </is>
      </c>
      <c r="C159" s="22" t="inlineStr">
        <is>
          <t>앤써북</t>
        </is>
      </c>
      <c r="D159" s="22" t="inlineStr">
        <is>
          <t>2026년 04월</t>
        </is>
      </c>
      <c r="E159" s="28" t="n">
        <v>17700</v>
      </c>
      <c r="F159" s="28" t="n">
        <v>15930</v>
      </c>
      <c r="G159" s="29" t="n">
        <v>6</v>
      </c>
      <c r="H159" s="29" t="n">
        <v>777</v>
      </c>
      <c r="I159" s="21" t="inlineStr">
        <is>
          <t>2026</t>
        </is>
      </c>
      <c r="J159" s="21" t="inlineStr">
        <is>
          <t xml:space="preserve"> 0</t>
        </is>
      </c>
      <c r="K159" s="30">
        <f>(E159-F159)/IF(E159&gt;0,E159,1)</f>
        <v/>
      </c>
    </row>
    <row r="160">
      <c r="A160" s="22" t="inlineStr">
        <is>
          <t>입상 교사만 아는 아무도 말해주지 않은 디지털교육연구대회 1등급의 비밀</t>
        </is>
      </c>
      <c r="B160" s="22" t="inlineStr">
        <is>
          <t>강인성</t>
        </is>
      </c>
      <c r="C160" s="22" t="inlineStr">
        <is>
          <t>앤써북</t>
        </is>
      </c>
      <c r="D160" s="22" t="inlineStr">
        <is>
          <t>2026년 04월</t>
        </is>
      </c>
      <c r="E160" s="28" t="n">
        <v>16800</v>
      </c>
      <c r="F160" s="28" t="n">
        <v>15120</v>
      </c>
      <c r="G160" s="29" t="n">
        <v>15</v>
      </c>
      <c r="H160" s="29" t="n">
        <v>732</v>
      </c>
      <c r="I160" s="21" t="inlineStr">
        <is>
          <t>2026</t>
        </is>
      </c>
      <c r="J160" s="21" t="inlineStr">
        <is>
          <t xml:space="preserve"> 0</t>
        </is>
      </c>
      <c r="K160" s="30">
        <f>(E160-F160)/IF(E160&gt;0,E160,1)</f>
        <v/>
      </c>
    </row>
    <row r="161">
      <c r="A161" s="22" t="inlineStr">
        <is>
          <t>AI로 나만의 3D 애니메이션 만들기</t>
        </is>
      </c>
      <c r="B161" s="22" t="inlineStr">
        <is>
          <t>김희령</t>
        </is>
      </c>
      <c r="C161" s="22" t="inlineStr">
        <is>
          <t>로드북</t>
        </is>
      </c>
      <c r="D161" s="22" t="inlineStr">
        <is>
          <t>2026년 05월</t>
        </is>
      </c>
      <c r="E161" s="28" t="n">
        <v>27000</v>
      </c>
      <c r="F161" s="28" t="n">
        <v>24300</v>
      </c>
      <c r="G161" s="29" t="n">
        <v>0</v>
      </c>
      <c r="H161" s="29" t="n">
        <v>732</v>
      </c>
      <c r="I161" s="21" t="inlineStr">
        <is>
          <t>2026</t>
        </is>
      </c>
      <c r="J161" s="21" t="inlineStr">
        <is>
          <t xml:space="preserve"> 0</t>
        </is>
      </c>
      <c r="K161" s="30">
        <f>(E161-F161)/IF(E161&gt;0,E161,1)</f>
        <v/>
      </c>
    </row>
    <row r="162">
      <c r="A162" s="22" t="inlineStr">
        <is>
          <t>AI 잘 쓰는 디자이너</t>
        </is>
      </c>
      <c r="B162" s="22" t="inlineStr">
        <is>
          <t>전하린</t>
        </is>
      </c>
      <c r="C162" s="22" t="inlineStr">
        <is>
          <t>이지스퍼블리싱</t>
        </is>
      </c>
      <c r="D162" s="22" t="inlineStr">
        <is>
          <t>2025년 12월</t>
        </is>
      </c>
      <c r="E162" s="28" t="n">
        <v>21000</v>
      </c>
      <c r="F162" s="28" t="n">
        <v>18900</v>
      </c>
      <c r="G162" s="29" t="n">
        <v>11</v>
      </c>
      <c r="H162" s="29" t="n">
        <v>2784</v>
      </c>
      <c r="I162" s="21" t="inlineStr">
        <is>
          <t>2025</t>
        </is>
      </c>
      <c r="J162" s="21" t="inlineStr">
        <is>
          <t xml:space="preserve"> 1</t>
        </is>
      </c>
      <c r="K162" s="30">
        <f>(E162-F162)/IF(E162&gt;0,E162,1)</f>
        <v/>
      </c>
    </row>
    <row r="163">
      <c r="A163" s="22" t="inlineStr">
        <is>
          <t>AI 영상 제작</t>
        </is>
      </c>
      <c r="B163" s="22" t="inlineStr">
        <is>
          <t>민지영, 문수민, 전은재, 앤미디어</t>
        </is>
      </c>
      <c r="C163" s="22" t="inlineStr">
        <is>
          <t>길벗</t>
        </is>
      </c>
      <c r="D163" s="22" t="inlineStr">
        <is>
          <t>2024년 06월</t>
        </is>
      </c>
      <c r="E163" s="28" t="n">
        <v>25000</v>
      </c>
      <c r="F163" s="28" t="n">
        <v>22500</v>
      </c>
      <c r="G163" s="29" t="n">
        <v>95</v>
      </c>
      <c r="H163" s="29" t="n">
        <v>6018</v>
      </c>
      <c r="I163" s="21" t="inlineStr">
        <is>
          <t>2024</t>
        </is>
      </c>
      <c r="J163" s="21" t="inlineStr">
        <is>
          <t xml:space="preserve"> 0</t>
        </is>
      </c>
      <c r="K163" s="30">
        <f>(E163-F163)/IF(E163&gt;0,E163,1)</f>
        <v/>
      </c>
    </row>
    <row r="164">
      <c r="A164" s="22" t="inlineStr">
        <is>
          <t>AI로 만드는 나만의 그림책</t>
        </is>
      </c>
      <c r="B164" s="22" t="inlineStr">
        <is>
          <t>민진홍, 국난아</t>
        </is>
      </c>
      <c r="C164" s="22" t="inlineStr">
        <is>
          <t>성안당</t>
        </is>
      </c>
      <c r="D164" s="22" t="inlineStr">
        <is>
          <t>2025년 10월</t>
        </is>
      </c>
      <c r="E164" s="28" t="n">
        <v>25000</v>
      </c>
      <c r="F164" s="28" t="n">
        <v>22500</v>
      </c>
      <c r="G164" s="29" t="n">
        <v>29</v>
      </c>
      <c r="H164" s="29" t="n">
        <v>1614</v>
      </c>
      <c r="I164" s="21" t="inlineStr">
        <is>
          <t>2025</t>
        </is>
      </c>
      <c r="J164" s="21" t="inlineStr">
        <is>
          <t xml:space="preserve"> 1</t>
        </is>
      </c>
      <c r="K164" s="30">
        <f>(E164-F164)/IF(E164&gt;0,E164,1)</f>
        <v/>
      </c>
    </row>
    <row r="165">
      <c r="A165" s="22" t="inlineStr">
        <is>
          <t>이것이 멀티 에이전트다</t>
        </is>
      </c>
      <c r="B165" s="22" t="inlineStr">
        <is>
          <t>서지영</t>
        </is>
      </c>
      <c r="C165" s="22" t="inlineStr">
        <is>
          <t>한빛미디어</t>
        </is>
      </c>
      <c r="D165" s="22" t="inlineStr">
        <is>
          <t>2026년 06월</t>
        </is>
      </c>
      <c r="E165" s="28" t="n">
        <v>35000</v>
      </c>
      <c r="F165" s="28" t="n">
        <v>31500</v>
      </c>
      <c r="G165" s="29" t="n">
        <v>0</v>
      </c>
      <c r="H165" s="29" t="n">
        <v>468</v>
      </c>
      <c r="I165" s="21" t="inlineStr">
        <is>
          <t>2026</t>
        </is>
      </c>
      <c r="J165" s="21" t="inlineStr">
        <is>
          <t xml:space="preserve"> 0</t>
        </is>
      </c>
      <c r="K165" s="30">
        <f>(E165-F165)/IF(E165&gt;0,E165,1)</f>
        <v/>
      </c>
    </row>
    <row r="166">
      <c r="A166" s="22" t="inlineStr">
        <is>
          <t>어쨌든, 바이브 코딩</t>
        </is>
      </c>
      <c r="B166" s="22" t="inlineStr">
        <is>
          <t>코다프레스, 양희은</t>
        </is>
      </c>
      <c r="C166" s="22" t="inlineStr">
        <is>
          <t>인사이트(insight)</t>
        </is>
      </c>
      <c r="D166" s="22" t="inlineStr">
        <is>
          <t>2025년 12월</t>
        </is>
      </c>
      <c r="E166" s="28" t="n">
        <v>22000</v>
      </c>
      <c r="F166" s="28" t="n">
        <v>19800</v>
      </c>
      <c r="G166" s="29" t="n">
        <v>45</v>
      </c>
      <c r="H166" s="29" t="n">
        <v>3816</v>
      </c>
      <c r="I166" s="21" t="inlineStr">
        <is>
          <t>2025</t>
        </is>
      </c>
      <c r="J166" s="21" t="inlineStr">
        <is>
          <t xml:space="preserve"> 1</t>
        </is>
      </c>
      <c r="K166" s="30">
        <f>(E166-F166)/IF(E166&gt;0,E166,1)</f>
        <v/>
      </c>
    </row>
    <row r="167">
      <c r="A167" s="22" t="inlineStr">
        <is>
          <t>요즘 바이브 코딩 제미나이 CLI 완벽 가이드</t>
        </is>
      </c>
      <c r="B167" s="22" t="inlineStr">
        <is>
          <t>김진환</t>
        </is>
      </c>
      <c r="C167" s="22" t="inlineStr">
        <is>
          <t>골든래빗</t>
        </is>
      </c>
      <c r="D167" s="22" t="inlineStr">
        <is>
          <t>2025년 12월</t>
        </is>
      </c>
      <c r="E167" s="28" t="n">
        <v>26000</v>
      </c>
      <c r="F167" s="28" t="n">
        <v>23400</v>
      </c>
      <c r="G167" s="29" t="n">
        <v>80</v>
      </c>
      <c r="H167" s="29" t="n">
        <v>4548</v>
      </c>
      <c r="I167" s="21" t="inlineStr">
        <is>
          <t>2025</t>
        </is>
      </c>
      <c r="J167" s="21" t="inlineStr">
        <is>
          <t xml:space="preserve"> 1</t>
        </is>
      </c>
      <c r="K167" s="30">
        <f>(E167-F167)/IF(E167&gt;0,E167,1)</f>
        <v/>
      </c>
    </row>
    <row r="168">
      <c r="A168" s="22" t="inlineStr">
        <is>
          <t>LUVIT♥ 클로드와 함께하는 LLM 프로젝트</t>
        </is>
      </c>
      <c r="B168" s="22" t="inlineStr">
        <is>
          <t>이승우</t>
        </is>
      </c>
      <c r="C168" s="22" t="inlineStr">
        <is>
          <t>제이펍</t>
        </is>
      </c>
      <c r="D168" s="22" t="inlineStr">
        <is>
          <t>2026년 04월</t>
        </is>
      </c>
      <c r="E168" s="28" t="n">
        <v>38000</v>
      </c>
      <c r="F168" s="28" t="n">
        <v>34200</v>
      </c>
      <c r="G168" s="29" t="n">
        <v>2</v>
      </c>
      <c r="H168" s="29" t="n">
        <v>1026</v>
      </c>
      <c r="I168" s="21" t="inlineStr">
        <is>
          <t>2026</t>
        </is>
      </c>
      <c r="J168" s="21" t="inlineStr">
        <is>
          <t xml:space="preserve"> 0</t>
        </is>
      </c>
      <c r="K168" s="30">
        <f>(E168-F168)/IF(E168&gt;0,E168,1)</f>
        <v/>
      </c>
    </row>
    <row r="169">
      <c r="A169" s="22" t="inlineStr">
        <is>
          <t>AI 투자 버블이 온다</t>
        </is>
      </c>
      <c r="B169" s="22" t="inlineStr">
        <is>
          <t>클라우디아 로드니, Dalgas Lab</t>
        </is>
      </c>
      <c r="C169" s="22" t="inlineStr">
        <is>
          <t>글로벌콘텐츠</t>
        </is>
      </c>
      <c r="D169" s="22" t="inlineStr">
        <is>
          <t>2026년 01월</t>
        </is>
      </c>
      <c r="E169" s="28" t="n">
        <v>25000</v>
      </c>
      <c r="F169" s="28" t="n">
        <v>22500</v>
      </c>
      <c r="G169" s="29" t="n">
        <v>16</v>
      </c>
      <c r="H169" s="29" t="n">
        <v>708</v>
      </c>
      <c r="I169" s="21" t="inlineStr">
        <is>
          <t>2026</t>
        </is>
      </c>
      <c r="J169" s="21" t="inlineStr">
        <is>
          <t xml:space="preserve"> 0</t>
        </is>
      </c>
      <c r="K169" s="30">
        <f>(E169-F169)/IF(E169&gt;0,E169,1)</f>
        <v/>
      </c>
    </row>
    <row r="170">
      <c r="A170" s="22" t="inlineStr">
        <is>
          <t>대체불가 나노 바나나 완전정복</t>
        </is>
      </c>
      <c r="B170" s="22" t="inlineStr">
        <is>
          <t>이용태</t>
        </is>
      </c>
      <c r="C170" s="22" t="inlineStr">
        <is>
          <t>책바세</t>
        </is>
      </c>
      <c r="D170" s="22" t="inlineStr">
        <is>
          <t>2026년 02월</t>
        </is>
      </c>
      <c r="E170" s="28" t="n">
        <v>27000</v>
      </c>
      <c r="F170" s="28" t="n">
        <v>24300</v>
      </c>
      <c r="G170" s="29" t="n">
        <v>5</v>
      </c>
      <c r="H170" s="29" t="n">
        <v>1812</v>
      </c>
      <c r="I170" s="21" t="inlineStr">
        <is>
          <t>2026</t>
        </is>
      </c>
      <c r="J170" s="21" t="inlineStr">
        <is>
          <t xml:space="preserve"> 0</t>
        </is>
      </c>
      <c r="K170" s="30">
        <f>(E170-F170)/IF(E170&gt;0,E170,1)</f>
        <v/>
      </c>
    </row>
    <row r="171">
      <c r="A171" s="22" t="inlineStr">
        <is>
          <t>교실로 온 ON 제미나이</t>
        </is>
      </c>
      <c r="B171" s="22" t="inlineStr">
        <is>
          <t>박찬, 김병석, 전수연, 김지용, 구현희, 정보 더 보기/감추기, 박찬, 김병석, 전수연, 김지용, 구현희, 전채원, 홍찬우, 임채원</t>
        </is>
      </c>
      <c r="C171" s="22" t="inlineStr">
        <is>
          <t>다빈치books</t>
        </is>
      </c>
      <c r="D171" s="22" t="inlineStr">
        <is>
          <t>2026년 03월</t>
        </is>
      </c>
      <c r="E171" s="28" t="n">
        <v>22000</v>
      </c>
      <c r="F171" s="28" t="n">
        <v>19800</v>
      </c>
      <c r="G171" s="29" t="n">
        <v>13</v>
      </c>
      <c r="H171" s="29" t="n">
        <v>3945</v>
      </c>
      <c r="I171" s="21" t="inlineStr">
        <is>
          <t>2026</t>
        </is>
      </c>
      <c r="J171" s="21" t="inlineStr">
        <is>
          <t xml:space="preserve"> 0</t>
        </is>
      </c>
      <c r="K171" s="30">
        <f>(E171-F171)/IF(E171&gt;0,E171,1)</f>
        <v/>
      </c>
    </row>
    <row r="172">
      <c r="A172" s="22" t="inlineStr">
        <is>
          <t>하네스 AI 시대의 새로운 몸</t>
        </is>
      </c>
      <c r="B172" s="22" t="inlineStr">
        <is>
          <t>강국진</t>
        </is>
      </c>
      <c r="C172" s="22" t="inlineStr">
        <is>
          <t>미래상상</t>
        </is>
      </c>
      <c r="D172" s="22" t="inlineStr">
        <is>
          <t>2026년 06월</t>
        </is>
      </c>
      <c r="E172" s="28" t="n">
        <v>17000</v>
      </c>
      <c r="F172" s="28" t="n">
        <v>15300</v>
      </c>
      <c r="G172" s="29" t="n">
        <v>0</v>
      </c>
      <c r="H172" s="29" t="n">
        <v>366</v>
      </c>
      <c r="I172" s="21" t="inlineStr">
        <is>
          <t>2026</t>
        </is>
      </c>
      <c r="J172" s="21" t="inlineStr">
        <is>
          <t xml:space="preserve"> 0</t>
        </is>
      </c>
      <c r="K172" s="30">
        <f>(E172-F172)/IF(E172&gt;0,E172,1)</f>
        <v/>
      </c>
    </row>
    <row r="173">
      <c r="A173" s="22" t="inlineStr">
        <is>
          <t>AI 버블이 온다</t>
        </is>
      </c>
      <c r="B173" s="22" t="inlineStr">
        <is>
          <t>아르빈드 나라야난, 사야시 카푸르, 강미경</t>
        </is>
      </c>
      <c r="C173" s="22" t="inlineStr">
        <is>
          <t>윌북(willbook)</t>
        </is>
      </c>
      <c r="D173" s="22" t="inlineStr">
        <is>
          <t>2025년 12월</t>
        </is>
      </c>
      <c r="E173" s="28" t="n">
        <v>24800</v>
      </c>
      <c r="F173" s="28" t="n">
        <v>22320</v>
      </c>
      <c r="G173" s="29" t="n">
        <v>49</v>
      </c>
      <c r="H173" s="29" t="n">
        <v>9198</v>
      </c>
      <c r="I173" s="21" t="inlineStr">
        <is>
          <t>2025</t>
        </is>
      </c>
      <c r="J173" s="21" t="inlineStr">
        <is>
          <t xml:space="preserve"> 1</t>
        </is>
      </c>
      <c r="K173" s="30">
        <f>(E173-F173)/IF(E173&gt;0,E173,1)</f>
        <v/>
      </c>
    </row>
    <row r="174">
      <c r="A174" s="22" t="inlineStr">
        <is>
          <t>AI 프로덕트는 어떻게 만들어지는가</t>
        </is>
      </c>
      <c r="B174" s="22" t="inlineStr">
        <is>
          <t>류인태, 김예림, 임나정</t>
        </is>
      </c>
      <c r="C174" s="22" t="inlineStr">
        <is>
          <t>한빛미디어</t>
        </is>
      </c>
      <c r="D174" s="22" t="inlineStr">
        <is>
          <t>2026년 04월</t>
        </is>
      </c>
      <c r="E174" s="28" t="n">
        <v>25000</v>
      </c>
      <c r="F174" s="28" t="n">
        <v>22500</v>
      </c>
      <c r="G174" s="29" t="n">
        <v>9</v>
      </c>
      <c r="H174" s="29" t="n">
        <v>1140</v>
      </c>
      <c r="I174" s="21" t="inlineStr">
        <is>
          <t>2026</t>
        </is>
      </c>
      <c r="J174" s="21" t="inlineStr">
        <is>
          <t xml:space="preserve"> 0</t>
        </is>
      </c>
      <c r="K174" s="30">
        <f>(E174-F174)/IF(E174&gt;0,E174,1)</f>
        <v/>
      </c>
    </row>
    <row r="175">
      <c r="A175" s="22" t="inlineStr">
        <is>
          <t>밑바닥부터 시작하는 딥러닝 2</t>
        </is>
      </c>
      <c r="B175" s="22" t="inlineStr">
        <is>
          <t>사이토 고키, 개앞맵시</t>
        </is>
      </c>
      <c r="C175" s="22" t="inlineStr">
        <is>
          <t>한빛미디어</t>
        </is>
      </c>
      <c r="D175" s="22" t="inlineStr">
        <is>
          <t>2019년 05월</t>
        </is>
      </c>
      <c r="E175" s="28" t="n">
        <v>29000</v>
      </c>
      <c r="F175" s="28" t="n">
        <v>26100</v>
      </c>
      <c r="G175" s="29" t="n">
        <v>46</v>
      </c>
      <c r="H175" s="29" t="n">
        <v>3474</v>
      </c>
      <c r="I175" s="21" t="inlineStr">
        <is>
          <t>2019</t>
        </is>
      </c>
      <c r="J175" s="21" t="inlineStr">
        <is>
          <t xml:space="preserve"> 0</t>
        </is>
      </c>
      <c r="K175" s="30">
        <f>(E175-F175)/IF(E175&gt;0,E175,1)</f>
        <v/>
      </c>
    </row>
    <row r="176">
      <c r="A176" s="22" t="inlineStr">
        <is>
          <t>엑셀 대신 챗GPT</t>
        </is>
      </c>
      <c r="B176" s="22" t="inlineStr">
        <is>
          <t>오종현</t>
        </is>
      </c>
      <c r="C176" s="22" t="inlineStr">
        <is>
          <t>한빛미디어</t>
        </is>
      </c>
      <c r="D176" s="22" t="inlineStr">
        <is>
          <t>2026년 03월</t>
        </is>
      </c>
      <c r="E176" s="28" t="n">
        <v>22000</v>
      </c>
      <c r="F176" s="28" t="n">
        <v>19800</v>
      </c>
      <c r="G176" s="29" t="n">
        <v>17</v>
      </c>
      <c r="H176" s="29" t="n">
        <v>1212</v>
      </c>
      <c r="I176" s="21" t="inlineStr">
        <is>
          <t>2026</t>
        </is>
      </c>
      <c r="J176" s="21" t="inlineStr">
        <is>
          <t xml:space="preserve"> 0</t>
        </is>
      </c>
      <c r="K176" s="30">
        <f>(E176-F176)/IF(E176&gt;0,E176,1)</f>
        <v/>
      </c>
    </row>
    <row r="177">
      <c r="A177" s="22" t="inlineStr">
        <is>
          <t>AI 자율학습  커서ⅹAI로 완성하는 나만의 웹 서비스</t>
        </is>
      </c>
      <c r="B177" s="22" t="inlineStr">
        <is>
          <t>성구(강성규)</t>
        </is>
      </c>
      <c r="C177" s="22" t="inlineStr">
        <is>
          <t>길벗</t>
        </is>
      </c>
      <c r="D177" s="22" t="inlineStr">
        <is>
          <t>2025년 12월</t>
        </is>
      </c>
      <c r="E177" s="28" t="n">
        <v>24000</v>
      </c>
      <c r="F177" s="28" t="n">
        <v>21600</v>
      </c>
      <c r="G177" s="29" t="n">
        <v>28</v>
      </c>
      <c r="H177" s="29" t="n">
        <v>2184</v>
      </c>
      <c r="I177" s="21" t="inlineStr">
        <is>
          <t>2025</t>
        </is>
      </c>
      <c r="J177" s="21" t="inlineStr">
        <is>
          <t xml:space="preserve"> 1</t>
        </is>
      </c>
      <c r="K177" s="30">
        <f>(E177-F177)/IF(E177&gt;0,E177,1)</f>
        <v/>
      </c>
    </row>
    <row r="178">
      <c r="A178" s="22" t="inlineStr">
        <is>
          <t>2022 개정과 IB 교육 철학을 적용한 초등 개념기반 탐구수업•서술형평가 설계와 실천</t>
        </is>
      </c>
      <c r="B178" s="22" t="inlineStr">
        <is>
          <t>진경오</t>
        </is>
      </c>
      <c r="C178" s="22" t="inlineStr">
        <is>
          <t>앤써북</t>
        </is>
      </c>
      <c r="D178" s="22" t="inlineStr">
        <is>
          <t>2025년 05월</t>
        </is>
      </c>
      <c r="E178" s="28" t="n">
        <v>21000</v>
      </c>
      <c r="F178" s="28" t="n">
        <v>18900</v>
      </c>
      <c r="G178" s="29" t="n">
        <v>12</v>
      </c>
      <c r="H178" s="29" t="n">
        <v>3546</v>
      </c>
      <c r="I178" s="21" t="inlineStr">
        <is>
          <t>2025</t>
        </is>
      </c>
      <c r="J178" s="21" t="inlineStr">
        <is>
          <t xml:space="preserve"> 0</t>
        </is>
      </c>
      <c r="K178" s="30">
        <f>(E178-F178)/IF(E178&gt;0,E178,1)</f>
        <v/>
      </c>
    </row>
    <row r="179">
      <c r="A179" s="22" t="inlineStr">
        <is>
          <t>이론부터 실전까지 AI 에이전트 완벽 마스터</t>
        </is>
      </c>
      <c r="B179" s="22" t="inlineStr">
        <is>
          <t>살바토레 라이엘리, 가브리엘레 이우쿨라노, 에디 유, 김대규, 김현지</t>
        </is>
      </c>
      <c r="C179" s="22" t="inlineStr">
        <is>
          <t>프리렉</t>
        </is>
      </c>
      <c r="D179" s="22" t="inlineStr">
        <is>
          <t>2025년 11월</t>
        </is>
      </c>
      <c r="E179" s="28" t="n">
        <v>42000</v>
      </c>
      <c r="F179" s="28" t="n">
        <v>37800</v>
      </c>
      <c r="G179" s="29" t="n">
        <v>3</v>
      </c>
      <c r="H179" s="29" t="n">
        <v>3048</v>
      </c>
      <c r="I179" s="21" t="inlineStr">
        <is>
          <t>2025</t>
        </is>
      </c>
      <c r="J179" s="21" t="inlineStr">
        <is>
          <t xml:space="preserve"> 1</t>
        </is>
      </c>
      <c r="K179" s="30">
        <f>(E179-F179)/IF(E179&gt;0,E179,1)</f>
        <v/>
      </c>
    </row>
    <row r="180">
      <c r="A180" s="22" t="inlineStr">
        <is>
          <t>매출을 만드는 데이터 분석 with 챗GPT</t>
        </is>
      </c>
      <c r="B180" s="22" t="inlineStr">
        <is>
          <t>조선미</t>
        </is>
      </c>
      <c r="C180" s="22" t="inlineStr">
        <is>
          <t>길벗</t>
        </is>
      </c>
      <c r="D180" s="22" t="inlineStr">
        <is>
          <t>2026년 05월</t>
        </is>
      </c>
      <c r="E180" s="28" t="n">
        <v>32000</v>
      </c>
      <c r="F180" s="28" t="n">
        <v>28800</v>
      </c>
      <c r="G180" s="29" t="n">
        <v>3</v>
      </c>
      <c r="H180" s="29" t="n">
        <v>618</v>
      </c>
      <c r="I180" s="21" t="inlineStr">
        <is>
          <t>2026</t>
        </is>
      </c>
      <c r="J180" s="21" t="inlineStr">
        <is>
          <t xml:space="preserve"> 0</t>
        </is>
      </c>
      <c r="K180" s="30">
        <f>(E180-F180)/IF(E180&gt;0,E180,1)</f>
        <v/>
      </c>
    </row>
    <row r="181">
      <c r="A181" s="22" t="inlineStr">
        <is>
          <t>수학자와 함께하는 인공지능 수학 with 파이썬</t>
        </is>
      </c>
      <c r="B181" s="22" t="inlineStr">
        <is>
          <t>김종락, 원병선</t>
        </is>
      </c>
      <c r="C181" s="22" t="inlineStr">
        <is>
          <t>한빛아카데미</t>
        </is>
      </c>
      <c r="D181" s="22" t="inlineStr">
        <is>
          <t>2024년 01월</t>
        </is>
      </c>
      <c r="E181" s="28" t="n">
        <v>32000</v>
      </c>
      <c r="F181" s="28" t="n">
        <v>32000</v>
      </c>
      <c r="G181" s="29" t="n">
        <v>4</v>
      </c>
      <c r="H181" s="29" t="n">
        <v>2856</v>
      </c>
      <c r="I181" s="21" t="inlineStr">
        <is>
          <t>2024</t>
        </is>
      </c>
      <c r="J181" s="21" t="inlineStr">
        <is>
          <t xml:space="preserve"> 0</t>
        </is>
      </c>
      <c r="K181" s="30">
        <f>(E181-F181)/IF(E181&gt;0,E181,1)</f>
        <v/>
      </c>
    </row>
    <row r="182">
      <c r="A182" s="22" t="inlineStr">
        <is>
          <t>처음 시작하는 바이브 코딩</t>
        </is>
      </c>
      <c r="B182" s="22" t="inlineStr">
        <is>
          <t>사카이 마리코, KEITO, 고범석, 이한나</t>
        </is>
      </c>
      <c r="C182" s="22" t="inlineStr">
        <is>
          <t>영진닷컴</t>
        </is>
      </c>
      <c r="D182" s="22" t="inlineStr">
        <is>
          <t>2026년 06월</t>
        </is>
      </c>
      <c r="E182" s="28" t="n">
        <v>20000</v>
      </c>
      <c r="F182" s="28" t="n">
        <v>18000</v>
      </c>
      <c r="G182" s="29" t="n">
        <v>0</v>
      </c>
      <c r="H182" s="29" t="n">
        <v>456</v>
      </c>
      <c r="I182" s="21" t="inlineStr">
        <is>
          <t>2026</t>
        </is>
      </c>
      <c r="J182" s="21" t="inlineStr">
        <is>
          <t xml:space="preserve"> 0</t>
        </is>
      </c>
      <c r="K182" s="30">
        <f>(E182-F182)/IF(E182&gt;0,E182,1)</f>
        <v/>
      </c>
    </row>
    <row r="183">
      <c r="A183" s="22" t="inlineStr">
        <is>
          <t>열정민쌤의 챗GPT&amp;AI 수업 실전서</t>
        </is>
      </c>
      <c r="B183" s="22" t="inlineStr">
        <is>
          <t>원정민, 권혜영, 신명진, 이채연</t>
        </is>
      </c>
      <c r="C183" s="22" t="inlineStr">
        <is>
          <t>한빛미디어</t>
        </is>
      </c>
      <c r="D183" s="22" t="inlineStr">
        <is>
          <t>2025년 05월</t>
        </is>
      </c>
      <c r="E183" s="28" t="n">
        <v>20000</v>
      </c>
      <c r="F183" s="28" t="n">
        <v>18000</v>
      </c>
      <c r="G183" s="29" t="n">
        <v>39</v>
      </c>
      <c r="H183" s="29" t="n">
        <v>5784</v>
      </c>
      <c r="I183" s="21" t="inlineStr">
        <is>
          <t>2025</t>
        </is>
      </c>
      <c r="J183" s="21" t="inlineStr">
        <is>
          <t xml:space="preserve"> 0</t>
        </is>
      </c>
      <c r="K183" s="30">
        <f>(E183-F183)/IF(E183&gt;0,E183,1)</f>
        <v/>
      </c>
    </row>
    <row r="184">
      <c r="A184" s="22" t="inlineStr">
        <is>
          <t>스포츠, AI와 동행하다</t>
        </is>
      </c>
      <c r="B184" s="22" t="inlineStr">
        <is>
          <t>크리스 브래디, 카를 튈스, 샤예간 오미드샤피예, 박재현, 이태구, 정보 더 보기/감추기, 크리스 브래디, 카를 튈스, 샤예간 오미드샤피예, 박재현, 이태구, 구멍가게 코딩단</t>
        </is>
      </c>
      <c r="C184" s="22" t="inlineStr">
        <is>
          <t>성안당</t>
        </is>
      </c>
      <c r="D184" s="22" t="inlineStr">
        <is>
          <t>2025년 07월</t>
        </is>
      </c>
      <c r="E184" s="28" t="n">
        <v>20000</v>
      </c>
      <c r="F184" s="28" t="n">
        <v>18000</v>
      </c>
      <c r="G184" s="29" t="n">
        <v>13</v>
      </c>
      <c r="H184" s="29" t="n">
        <v>3108</v>
      </c>
      <c r="I184" s="21" t="inlineStr">
        <is>
          <t>2025</t>
        </is>
      </c>
      <c r="J184" s="21" t="inlineStr">
        <is>
          <t xml:space="preserve"> 0</t>
        </is>
      </c>
      <c r="K184" s="30">
        <f>(E184-F184)/IF(E184&gt;0,E184,1)</f>
        <v/>
      </c>
    </row>
    <row r="185">
      <c r="A185" s="22" t="inlineStr">
        <is>
          <t>이펙티브 파이썬</t>
        </is>
      </c>
      <c r="B185" s="22" t="inlineStr">
        <is>
          <t>브렛 슬라킨, 오현석</t>
        </is>
      </c>
      <c r="C185" s="22" t="inlineStr">
        <is>
          <t>길벗</t>
        </is>
      </c>
      <c r="D185" s="22" t="inlineStr">
        <is>
          <t>2026년 02월</t>
        </is>
      </c>
      <c r="E185" s="28" t="n">
        <v>42000</v>
      </c>
      <c r="F185" s="28" t="n">
        <v>37800</v>
      </c>
      <c r="G185" s="29" t="n">
        <v>14</v>
      </c>
      <c r="H185" s="29" t="n">
        <v>1647</v>
      </c>
      <c r="I185" s="21" t="inlineStr">
        <is>
          <t>2026</t>
        </is>
      </c>
      <c r="J185" s="21" t="inlineStr">
        <is>
          <t xml:space="preserve"> 0</t>
        </is>
      </c>
      <c r="K185" s="30">
        <f>(E185-F185)/IF(E185&gt;0,E185,1)</f>
        <v/>
      </c>
    </row>
    <row r="186">
      <c r="A186" s="22" t="inlineStr">
        <is>
          <t>온톨로지 과학자를 위한 지식그래프</t>
        </is>
      </c>
      <c r="B186" s="22" t="inlineStr">
        <is>
          <t>딘 알레망, 제임스 핸들러, 파비엔 갠던, 김학래</t>
        </is>
      </c>
      <c r="C186" s="22" t="inlineStr">
        <is>
          <t>한빛아카데미</t>
        </is>
      </c>
      <c r="D186" s="22" t="inlineStr">
        <is>
          <t>2021년 10월</t>
        </is>
      </c>
      <c r="E186" s="28" t="n">
        <v>45000</v>
      </c>
      <c r="F186" s="28" t="n">
        <v>42750</v>
      </c>
      <c r="G186" s="29" t="n">
        <v>0</v>
      </c>
      <c r="H186" s="29" t="n">
        <v>1212</v>
      </c>
      <c r="I186" s="21" t="inlineStr">
        <is>
          <t>2021</t>
        </is>
      </c>
      <c r="J186" s="21" t="inlineStr">
        <is>
          <t xml:space="preserve"> 1</t>
        </is>
      </c>
      <c r="K186" s="30">
        <f>(E186-F186)/IF(E186&gt;0,E186,1)</f>
        <v/>
      </c>
    </row>
    <row r="187">
      <c r="A187" s="22" t="inlineStr">
        <is>
          <t>직장인을 위한 AI 실무 엑셀&amp;파워포인트&amp;워드</t>
        </is>
      </c>
      <c r="B187" s="22" t="inlineStr">
        <is>
          <t>박미정, 박은진</t>
        </is>
      </c>
      <c r="C187" s="22" t="inlineStr">
        <is>
          <t>길벗</t>
        </is>
      </c>
      <c r="D187" s="22" t="inlineStr">
        <is>
          <t>2025년 09월</t>
        </is>
      </c>
      <c r="E187" s="28" t="n">
        <v>26000</v>
      </c>
      <c r="F187" s="28" t="n">
        <v>23400</v>
      </c>
      <c r="G187" s="29" t="n">
        <v>11</v>
      </c>
      <c r="H187" s="29" t="n">
        <v>1764</v>
      </c>
      <c r="I187" s="21" t="inlineStr">
        <is>
          <t>2025</t>
        </is>
      </c>
      <c r="J187" s="21" t="inlineStr">
        <is>
          <t xml:space="preserve"> 0</t>
        </is>
      </c>
      <c r="K187" s="30">
        <f>(E187-F187)/IF(E187&gt;0,E187,1)</f>
        <v/>
      </c>
    </row>
    <row r="188">
      <c r="A188" s="22" t="inlineStr">
        <is>
          <t>어쨌든, 에이전틱 코딩</t>
        </is>
      </c>
      <c r="B188" s="22" t="inlineStr">
        <is>
          <t>코다프레스, 양희은</t>
        </is>
      </c>
      <c r="C188" s="22" t="inlineStr">
        <is>
          <t>인사이트(insight)</t>
        </is>
      </c>
      <c r="D188" s="22" t="inlineStr">
        <is>
          <t>2026년 04월</t>
        </is>
      </c>
      <c r="E188" s="28" t="n">
        <v>25000</v>
      </c>
      <c r="F188" s="28" t="n">
        <v>22500</v>
      </c>
      <c r="G188" s="29" t="n">
        <v>2</v>
      </c>
      <c r="H188" s="29" t="n">
        <v>1893</v>
      </c>
      <c r="I188" s="21" t="inlineStr">
        <is>
          <t>2026</t>
        </is>
      </c>
      <c r="J188" s="21" t="inlineStr">
        <is>
          <t xml:space="preserve"> 0</t>
        </is>
      </c>
      <c r="K188" s="30">
        <f>(E188-F188)/IF(E188&gt;0,E188,1)</f>
        <v/>
      </c>
    </row>
    <row r="189">
      <c r="A189" s="22" t="inlineStr">
        <is>
          <t>핸즈온 LLM</t>
        </is>
      </c>
      <c r="B189" s="22" t="inlineStr">
        <is>
          <t>제이 알아마르, 마르턴 흐루턴도르스트, 박해선</t>
        </is>
      </c>
      <c r="C189" s="22" t="inlineStr">
        <is>
          <t>한빛미디어</t>
        </is>
      </c>
      <c r="D189" s="22" t="inlineStr">
        <is>
          <t>2025년 06월</t>
        </is>
      </c>
      <c r="E189" s="28" t="n">
        <v>38000</v>
      </c>
      <c r="F189" s="28" t="n">
        <v>34200</v>
      </c>
      <c r="G189" s="29" t="n">
        <v>25</v>
      </c>
      <c r="H189" s="29" t="n">
        <v>6684</v>
      </c>
      <c r="I189" s="21" t="inlineStr">
        <is>
          <t>2025</t>
        </is>
      </c>
      <c r="J189" s="21" t="inlineStr">
        <is>
          <t xml:space="preserve"> 0</t>
        </is>
      </c>
      <c r="K189" s="30">
        <f>(E189-F189)/IF(E189&gt;0,E189,1)</f>
        <v/>
      </c>
    </row>
    <row r="190">
      <c r="A190" s="22" t="inlineStr">
        <is>
          <t>파이썬으로 시작하는 인공지능 기초 수업</t>
        </is>
      </c>
      <c r="B190" s="22" t="inlineStr">
        <is>
          <t>채상미, 우범윤, 이준용</t>
        </is>
      </c>
      <c r="C190" s="22" t="inlineStr">
        <is>
          <t>길벗</t>
        </is>
      </c>
      <c r="D190" s="22" t="inlineStr">
        <is>
          <t>2025년 11월</t>
        </is>
      </c>
      <c r="E190" s="28" t="n">
        <v>25000</v>
      </c>
      <c r="F190" s="28" t="n">
        <v>22500</v>
      </c>
      <c r="G190" s="29" t="n">
        <v>0</v>
      </c>
      <c r="H190" s="29" t="n">
        <v>2232</v>
      </c>
      <c r="I190" s="21" t="inlineStr">
        <is>
          <t>2025</t>
        </is>
      </c>
      <c r="J190" s="21" t="inlineStr">
        <is>
          <t xml:space="preserve"> 1</t>
        </is>
      </c>
      <c r="K190" s="30">
        <f>(E190-F190)/IF(E190&gt;0,E190,1)</f>
        <v/>
      </c>
    </row>
    <row r="191">
      <c r="A191" s="22" t="inlineStr">
        <is>
          <t>린 분석</t>
        </is>
      </c>
      <c r="B191" s="22" t="inlineStr">
        <is>
          <t>앨리스테어 크롤, 벤저민 요스코비츠, 위선주</t>
        </is>
      </c>
      <c r="C191" s="22" t="inlineStr">
        <is>
          <t>한빛미디어</t>
        </is>
      </c>
      <c r="D191" s="22" t="inlineStr">
        <is>
          <t>2014년 01월</t>
        </is>
      </c>
      <c r="E191" s="28" t="n">
        <v>28000</v>
      </c>
      <c r="F191" s="28" t="n">
        <v>25200</v>
      </c>
      <c r="G191" s="29" t="n">
        <v>11</v>
      </c>
      <c r="H191" s="29" t="n">
        <v>1578</v>
      </c>
      <c r="I191" s="21" t="inlineStr">
        <is>
          <t>2014</t>
        </is>
      </c>
      <c r="J191" s="21" t="inlineStr">
        <is>
          <t xml:space="preserve"> 0</t>
        </is>
      </c>
      <c r="K191" s="30">
        <f>(E191-F191)/IF(E191&gt;0,E191,1)</f>
        <v/>
      </c>
    </row>
    <row r="192">
      <c r="A192" s="22" t="inlineStr">
        <is>
          <t>Do it! 플러터 앱 개발&amp;출시하기</t>
        </is>
      </c>
      <c r="B192" s="22" t="inlineStr">
        <is>
          <t>조준수</t>
        </is>
      </c>
      <c r="C192" s="22" t="inlineStr">
        <is>
          <t>이지스퍼블리싱</t>
        </is>
      </c>
      <c r="D192" s="22" t="inlineStr">
        <is>
          <t>2025년 07월</t>
        </is>
      </c>
      <c r="E192" s="28" t="n">
        <v>36000</v>
      </c>
      <c r="F192" s="28" t="n">
        <v>32400</v>
      </c>
      <c r="G192" s="29" t="n">
        <v>7</v>
      </c>
      <c r="H192" s="29" t="n">
        <v>2712</v>
      </c>
      <c r="I192" s="21" t="inlineStr">
        <is>
          <t>2025</t>
        </is>
      </c>
      <c r="J192" s="21" t="inlineStr">
        <is>
          <t xml:space="preserve"> 0</t>
        </is>
      </c>
      <c r="K192" s="30">
        <f>(E192-F192)/IF(E192&gt;0,E192,1)</f>
        <v/>
      </c>
    </row>
    <row r="193">
      <c r="A193" s="22" t="inlineStr">
        <is>
          <t>생성형 AI 활용 업무혁신</t>
        </is>
      </c>
      <c r="B193" s="22" t="inlineStr">
        <is>
          <t>최재용, 강병규, 강호종, 김유성, 신진주, 정보 더 보기/감추기, 최재용, 강병규, 강호종, 김유성, 신진주, 유미경, 윤지영, 이도혜, 차승희, 김진선</t>
        </is>
      </c>
      <c r="C193" s="22" t="inlineStr">
        <is>
          <t>미디어북</t>
        </is>
      </c>
      <c r="D193" s="22" t="inlineStr">
        <is>
          <t>2026년 01월</t>
        </is>
      </c>
      <c r="E193" s="28" t="n">
        <v>20000</v>
      </c>
      <c r="F193" s="28" t="n">
        <v>20000</v>
      </c>
      <c r="G193" s="29" t="n">
        <v>14</v>
      </c>
      <c r="H193" s="29" t="n">
        <v>1116</v>
      </c>
      <c r="I193" s="21" t="inlineStr">
        <is>
          <t>2026</t>
        </is>
      </c>
      <c r="J193" s="21" t="inlineStr">
        <is>
          <t xml:space="preserve"> 0</t>
        </is>
      </c>
      <c r="K193" s="30">
        <f>(E193-F193)/IF(E193&gt;0,E193,1)</f>
        <v/>
      </c>
    </row>
    <row r="194">
      <c r="A194" s="22" t="inlineStr">
        <is>
          <t>2026 빠르게 따는 SQLD(1권(이론)+2권(빈출 족보+기출&amp;모의고사) 분권, 웹 CBT(PC/모바일) 제공, 시험 직전 Live 빠따 특강)</t>
        </is>
      </c>
      <c r="B194" s="22" t="inlineStr">
        <is>
          <t>이유성, 임한울, 조영훈</t>
        </is>
      </c>
      <c r="C194" s="22" t="inlineStr">
        <is>
          <t>골든래빗</t>
        </is>
      </c>
      <c r="D194" s="22" t="inlineStr">
        <is>
          <t>2026년 01월</t>
        </is>
      </c>
      <c r="E194" s="28" t="n">
        <v>24000</v>
      </c>
      <c r="F194" s="28" t="n">
        <v>21600</v>
      </c>
      <c r="G194" s="29" t="n">
        <v>15</v>
      </c>
      <c r="H194" s="29" t="n">
        <v>1206</v>
      </c>
      <c r="I194" s="21" t="inlineStr">
        <is>
          <t>2026</t>
        </is>
      </c>
      <c r="J194" s="21" t="inlineStr">
        <is>
          <t xml:space="preserve"> 0</t>
        </is>
      </c>
      <c r="K194" s="30">
        <f>(E194-F194)/IF(E194&gt;0,E194,1)</f>
        <v/>
      </c>
    </row>
    <row r="195">
      <c r="A195" s="22" t="inlineStr">
        <is>
          <t>파이토치로 배우는 LLM &amp; AI</t>
        </is>
      </c>
      <c r="B195" s="22" t="inlineStr">
        <is>
          <t>로런스 모로니, 박해선</t>
        </is>
      </c>
      <c r="C195" s="22" t="inlineStr">
        <is>
          <t>한빛미디어</t>
        </is>
      </c>
      <c r="D195" s="22" t="inlineStr">
        <is>
          <t>2026년 03월</t>
        </is>
      </c>
      <c r="E195" s="28" t="n">
        <v>36000</v>
      </c>
      <c r="F195" s="28" t="n">
        <v>32400</v>
      </c>
      <c r="G195" s="29" t="n">
        <v>3</v>
      </c>
      <c r="H195" s="29" t="n">
        <v>1218</v>
      </c>
      <c r="I195" s="21" t="inlineStr">
        <is>
          <t>2026</t>
        </is>
      </c>
      <c r="J195" s="21" t="inlineStr">
        <is>
          <t xml:space="preserve"> 0</t>
        </is>
      </c>
      <c r="K195" s="30">
        <f>(E195-F195)/IF(E195&gt;0,E195,1)</f>
        <v/>
      </c>
    </row>
    <row r="196">
      <c r="A196" s="22" t="inlineStr">
        <is>
          <t>AI 혁명을 이끈 천재들</t>
        </is>
      </c>
      <c r="B196" s="22" t="inlineStr">
        <is>
          <t>이승민</t>
        </is>
      </c>
      <c r="C196" s="22" t="inlineStr">
        <is>
          <t>좋은습관연구소</t>
        </is>
      </c>
      <c r="D196" s="22" t="inlineStr">
        <is>
          <t>2025년 09월</t>
        </is>
      </c>
      <c r="E196" s="28" t="n">
        <v>21000</v>
      </c>
      <c r="F196" s="28" t="n">
        <v>18900</v>
      </c>
      <c r="G196" s="29" t="n">
        <v>4</v>
      </c>
      <c r="H196" s="29" t="n">
        <v>2250</v>
      </c>
      <c r="I196" s="21" t="inlineStr">
        <is>
          <t>2025</t>
        </is>
      </c>
      <c r="J196" s="21" t="inlineStr">
        <is>
          <t xml:space="preserve"> 0</t>
        </is>
      </c>
      <c r="K196" s="30">
        <f>(E196-F196)/IF(E196&gt;0,E196,1)</f>
        <v/>
      </c>
    </row>
    <row r="197">
      <c r="A197" s="22" t="inlineStr">
        <is>
          <t>인공지능을 위한 수학</t>
        </is>
      </c>
      <c r="B197" s="22" t="inlineStr">
        <is>
          <t>이시카와 아키히코, 신상재, 이진희</t>
        </is>
      </c>
      <c r="C197" s="22" t="inlineStr">
        <is>
          <t>프리렉</t>
        </is>
      </c>
      <c r="D197" s="22" t="inlineStr">
        <is>
          <t>2018년 11월</t>
        </is>
      </c>
      <c r="E197" s="28" t="n">
        <v>25000</v>
      </c>
      <c r="F197" s="28" t="n">
        <v>22500</v>
      </c>
      <c r="G197" s="29" t="n">
        <v>33</v>
      </c>
      <c r="H197" s="29" t="n">
        <v>2112</v>
      </c>
      <c r="I197" s="21" t="inlineStr">
        <is>
          <t>2018</t>
        </is>
      </c>
      <c r="J197" s="21" t="inlineStr">
        <is>
          <t xml:space="preserve"> 1</t>
        </is>
      </c>
      <c r="K197" s="30">
        <f>(E197-F197)/IF(E197&gt;0,E197,1)</f>
        <v/>
      </c>
    </row>
    <row r="198">
      <c r="A198" s="22" t="inlineStr">
        <is>
          <t>누구나 쉽게 시작하는 방구석 1인 앱 창업</t>
        </is>
      </c>
      <c r="B198" s="22" t="inlineStr">
        <is>
          <t>김건희</t>
        </is>
      </c>
      <c r="C198" s="22" t="inlineStr">
        <is>
          <t>제이펍</t>
        </is>
      </c>
      <c r="D198" s="22" t="inlineStr">
        <is>
          <t>2026년 03월</t>
        </is>
      </c>
      <c r="E198" s="28" t="n">
        <v>28000</v>
      </c>
      <c r="F198" s="28" t="n">
        <v>25200</v>
      </c>
      <c r="G198" s="29" t="n">
        <v>5</v>
      </c>
      <c r="H198" s="29" t="n">
        <v>1818</v>
      </c>
      <c r="I198" s="21" t="inlineStr">
        <is>
          <t>2026</t>
        </is>
      </c>
      <c r="J198" s="21" t="inlineStr">
        <is>
          <t xml:space="preserve"> 0</t>
        </is>
      </c>
      <c r="K198" s="30">
        <f>(E198-F198)/IF(E198&gt;0,E198,1)</f>
        <v/>
      </c>
    </row>
    <row r="199">
      <c r="A199" s="22" t="inlineStr">
        <is>
          <t>모두를 위한 양자 컴퓨터</t>
        </is>
      </c>
      <c r="B199" s="22" t="inlineStr">
        <is>
          <t>윌리엄 헐리, 플로이드 스미스, 류정원</t>
        </is>
      </c>
      <c r="C199" s="22" t="inlineStr">
        <is>
          <t>한빛미디어</t>
        </is>
      </c>
      <c r="D199" s="22" t="inlineStr">
        <is>
          <t>2025년 01월</t>
        </is>
      </c>
      <c r="E199" s="28" t="n">
        <v>28000</v>
      </c>
      <c r="F199" s="28" t="n">
        <v>25200</v>
      </c>
      <c r="G199" s="29" t="n">
        <v>27</v>
      </c>
      <c r="H199" s="29" t="n">
        <v>1536</v>
      </c>
      <c r="I199" s="21" t="inlineStr">
        <is>
          <t>2025</t>
        </is>
      </c>
      <c r="J199" s="21" t="inlineStr">
        <is>
          <t xml:space="preserve"> 0</t>
        </is>
      </c>
      <c r="K199" s="30">
        <f>(E199-F199)/IF(E199&gt;0,E199,1)</f>
        <v/>
      </c>
    </row>
    <row r="200">
      <c r="A200" s="22" t="inlineStr">
        <is>
          <t>진짜 쓰는 프리미어 영상 편집 2026 (최신개정판)</t>
        </is>
      </c>
      <c r="B200" s="22" t="inlineStr">
        <is>
          <t>조블리</t>
        </is>
      </c>
      <c r="C200" s="22" t="inlineStr">
        <is>
          <t>제이펍</t>
        </is>
      </c>
      <c r="D200" s="22" t="inlineStr">
        <is>
          <t>2026년 06월</t>
        </is>
      </c>
      <c r="E200" s="28" t="n">
        <v>26000</v>
      </c>
      <c r="F200" s="28" t="n">
        <v>23400</v>
      </c>
      <c r="G200" s="29" t="n">
        <v>0</v>
      </c>
      <c r="H200" s="29" t="n">
        <v>180</v>
      </c>
      <c r="I200" s="21" t="inlineStr">
        <is>
          <t>2026</t>
        </is>
      </c>
      <c r="J200" s="21" t="inlineStr">
        <is>
          <t xml:space="preserve"> 0</t>
        </is>
      </c>
      <c r="K200" s="30">
        <f>(E200-F200)/IF(E200&gt;0,E200,1)</f>
        <v/>
      </c>
    </row>
    <row r="201">
      <c r="A201" s="22" t="inlineStr">
        <is>
          <t>어디서든 유튜브 프로듀싱 with 아이패드 파이널 컷 프로 + AI</t>
        </is>
      </c>
      <c r="B201" s="22" t="inlineStr">
        <is>
          <t>남시언</t>
        </is>
      </c>
      <c r="C201" s="22" t="inlineStr">
        <is>
          <t>비제이퍼블릭(BJ퍼블릭)</t>
        </is>
      </c>
      <c r="D201" s="22" t="inlineStr">
        <is>
          <t>2026년 05월</t>
        </is>
      </c>
      <c r="E201" s="28" t="n">
        <v>23000</v>
      </c>
      <c r="F201" s="28" t="n">
        <v>20700</v>
      </c>
      <c r="G201" s="29" t="n">
        <v>13</v>
      </c>
      <c r="H201" s="29" t="n">
        <v>420</v>
      </c>
      <c r="I201" s="21" t="inlineStr">
        <is>
          <t>2026</t>
        </is>
      </c>
      <c r="J201" s="21" t="inlineStr">
        <is>
          <t xml:space="preserve"> 0</t>
        </is>
      </c>
      <c r="K201" s="30">
        <f>(E201-F201)/IF(E201&gt;0,E201,1)</f>
        <v/>
      </c>
    </row>
    <row r="202">
      <c r="A202" s="22" t="inlineStr">
        <is>
          <t>MCP 실전 활용 &amp; 서버 개발 핵심 가이드</t>
        </is>
      </c>
      <c r="B202" s="22" t="inlineStr">
        <is>
          <t>AI튜터랩</t>
        </is>
      </c>
      <c r="C202" s="22" t="inlineStr">
        <is>
          <t>위키북스</t>
        </is>
      </c>
      <c r="D202" s="22" t="inlineStr">
        <is>
          <t>2025년 11월</t>
        </is>
      </c>
      <c r="E202" s="28" t="n">
        <v>28000</v>
      </c>
      <c r="F202" s="28" t="n">
        <v>25200</v>
      </c>
      <c r="G202" s="29" t="n">
        <v>1</v>
      </c>
      <c r="H202" s="29" t="n">
        <v>2871</v>
      </c>
      <c r="I202" s="21" t="inlineStr">
        <is>
          <t>2025</t>
        </is>
      </c>
      <c r="J202" s="21" t="inlineStr">
        <is>
          <t xml:space="preserve"> 1</t>
        </is>
      </c>
      <c r="K202" s="30">
        <f>(E202-F202)/IF(E202&gt;0,E202,1)</f>
        <v/>
      </c>
    </row>
    <row r="203">
      <c r="A203" s="22" t="inlineStr">
        <is>
          <t>제미나이(Gemini) 재미나게 활용하기</t>
        </is>
      </c>
      <c r="B203" s="22" t="inlineStr">
        <is>
          <t>강신진, 서완석, 오정택</t>
        </is>
      </c>
      <c r="C203" s="22" t="inlineStr">
        <is>
          <t>BOOKK(부크크)</t>
        </is>
      </c>
      <c r="D203" s="22" t="inlineStr">
        <is>
          <t>2026년 04월</t>
        </is>
      </c>
      <c r="E203" s="28" t="n">
        <v>18300</v>
      </c>
      <c r="F203" s="28" t="n">
        <v>18300</v>
      </c>
      <c r="G203" s="29" t="n">
        <v>0</v>
      </c>
      <c r="H203" s="29" t="n">
        <v>348</v>
      </c>
      <c r="I203" s="21" t="inlineStr">
        <is>
          <t>2026</t>
        </is>
      </c>
      <c r="J203" s="21" t="inlineStr">
        <is>
          <t xml:space="preserve"> 0</t>
        </is>
      </c>
      <c r="K203" s="30">
        <f>(E203-F203)/IF(E203&gt;0,E203,1)</f>
        <v/>
      </c>
    </row>
    <row r="204">
      <c r="A204" s="22" t="inlineStr">
        <is>
          <t>챗GPT 교사 마스터 플랜</t>
        </is>
      </c>
      <c r="B204" s="22" t="inlineStr">
        <is>
          <t>한민철</t>
        </is>
      </c>
      <c r="C204" s="22" t="inlineStr">
        <is>
          <t>책바세</t>
        </is>
      </c>
      <c r="D204" s="22" t="inlineStr">
        <is>
          <t>2025년 09월</t>
        </is>
      </c>
      <c r="E204" s="28" t="n">
        <v>27000</v>
      </c>
      <c r="F204" s="28" t="n">
        <v>24300</v>
      </c>
      <c r="G204" s="29" t="n">
        <v>24</v>
      </c>
      <c r="H204" s="29" t="n">
        <v>3948</v>
      </c>
      <c r="I204" s="21" t="inlineStr">
        <is>
          <t>2025</t>
        </is>
      </c>
      <c r="J204" s="21" t="inlineStr">
        <is>
          <t xml:space="preserve"> 0</t>
        </is>
      </c>
      <c r="K204" s="30">
        <f>(E204-F204)/IF(E204&gt;0,E204,1)</f>
        <v/>
      </c>
    </row>
    <row r="205">
      <c r="A205" s="22" t="inlineStr">
        <is>
          <t>밑바닥부터 시작하는 딥러닝 5</t>
        </is>
      </c>
      <c r="B205" s="22" t="inlineStr">
        <is>
          <t>사이토 고키, 개앞맵시</t>
        </is>
      </c>
      <c r="C205" s="22" t="inlineStr">
        <is>
          <t>한빛미디어</t>
        </is>
      </c>
      <c r="D205" s="22" t="inlineStr">
        <is>
          <t>2024년 10월</t>
        </is>
      </c>
      <c r="E205" s="28" t="n">
        <v>33000</v>
      </c>
      <c r="F205" s="28" t="n">
        <v>29700</v>
      </c>
      <c r="G205" s="29" t="n">
        <v>20</v>
      </c>
      <c r="H205" s="29" t="n">
        <v>2274</v>
      </c>
      <c r="I205" s="21" t="inlineStr">
        <is>
          <t>2024</t>
        </is>
      </c>
      <c r="J205" s="21" t="inlineStr">
        <is>
          <t xml:space="preserve"> 1</t>
        </is>
      </c>
      <c r="K205" s="30">
        <f>(E205-F205)/IF(E205&gt;0,E205,1)</f>
        <v/>
      </c>
    </row>
    <row r="206">
      <c r="A206" s="22" t="inlineStr">
        <is>
          <t>대체불가능</t>
        </is>
      </c>
      <c r="B206" s="22" t="inlineStr">
        <is>
          <t>파스칼 보넷, 김정민</t>
        </is>
      </c>
      <c r="C206" s="22" t="inlineStr">
        <is>
          <t>제이펍</t>
        </is>
      </c>
      <c r="D206" s="22" t="inlineStr">
        <is>
          <t>2026년 02월</t>
        </is>
      </c>
      <c r="E206" s="28" t="n">
        <v>22000</v>
      </c>
      <c r="F206" s="28" t="n">
        <v>19800</v>
      </c>
      <c r="G206" s="29" t="n">
        <v>11</v>
      </c>
      <c r="H206" s="29" t="n">
        <v>864</v>
      </c>
      <c r="I206" s="21" t="inlineStr">
        <is>
          <t>2026</t>
        </is>
      </c>
      <c r="J206" s="21" t="inlineStr">
        <is>
          <t xml:space="preserve"> 0</t>
        </is>
      </c>
      <c r="K206" s="30">
        <f>(E206-F206)/IF(E206&gt;0,E206,1)</f>
        <v/>
      </c>
    </row>
    <row r="207">
      <c r="A207" s="22" t="inlineStr">
        <is>
          <t>가상 면접 사례로 배우는 생성형 AI 서비스 설계</t>
        </is>
      </c>
      <c r="B207" s="22" t="inlineStr">
        <is>
          <t>알리 아미니안, 하오 성, 김지호, 조윤민</t>
        </is>
      </c>
      <c r="C207" s="22" t="inlineStr">
        <is>
          <t>인사이트(insight)</t>
        </is>
      </c>
      <c r="D207" s="22" t="inlineStr">
        <is>
          <t>2026년 03월</t>
        </is>
      </c>
      <c r="E207" s="28" t="n">
        <v>34000</v>
      </c>
      <c r="F207" s="28" t="n">
        <v>30600</v>
      </c>
      <c r="G207" s="29" t="n">
        <v>0</v>
      </c>
      <c r="H207" s="29" t="n">
        <v>1146</v>
      </c>
      <c r="I207" s="21" t="inlineStr">
        <is>
          <t>2026</t>
        </is>
      </c>
      <c r="J207" s="21" t="inlineStr">
        <is>
          <t xml:space="preserve"> 0</t>
        </is>
      </c>
      <c r="K207" s="30">
        <f>(E207-F207)/IF(E207&gt;0,E207,1)</f>
        <v/>
      </c>
    </row>
    <row r="208">
      <c r="A208" s="22" t="inlineStr">
        <is>
          <t>AI 교양서 : 인간은 어떻게 인공지능을 진화시키는가</t>
        </is>
      </c>
      <c r="B208" s="22" t="inlineStr">
        <is>
          <t>이영호, 우혜경</t>
        </is>
      </c>
      <c r="C208" s="22" t="inlineStr">
        <is>
          <t>비제이퍼블릭(BJ퍼블릭)</t>
        </is>
      </c>
      <c r="D208" s="22" t="inlineStr">
        <is>
          <t>2026년 04월</t>
        </is>
      </c>
      <c r="E208" s="28" t="n">
        <v>27000</v>
      </c>
      <c r="F208" s="28" t="n">
        <v>24300</v>
      </c>
      <c r="G208" s="29" t="n">
        <v>43</v>
      </c>
      <c r="H208" s="29" t="n">
        <v>900</v>
      </c>
      <c r="I208" s="21" t="inlineStr">
        <is>
          <t>2026</t>
        </is>
      </c>
      <c r="J208" s="21" t="inlineStr">
        <is>
          <t xml:space="preserve"> 0</t>
        </is>
      </c>
      <c r="K208" s="30">
        <f>(E208-F208)/IF(E208&gt;0,E208,1)</f>
        <v/>
      </c>
    </row>
    <row r="209">
      <c r="A209" s="22" t="inlineStr">
        <is>
          <t>밑바닥부터 시작하는 딥러닝 3</t>
        </is>
      </c>
      <c r="B209" s="22" t="inlineStr">
        <is>
          <t>사이토 고키, 개앞맵시</t>
        </is>
      </c>
      <c r="C209" s="22" t="inlineStr">
        <is>
          <t>한빛미디어</t>
        </is>
      </c>
      <c r="D209" s="22" t="inlineStr">
        <is>
          <t>2020년 11월</t>
        </is>
      </c>
      <c r="E209" s="28" t="n">
        <v>38000</v>
      </c>
      <c r="F209" s="28" t="n">
        <v>34200</v>
      </c>
      <c r="G209" s="29" t="n">
        <v>31</v>
      </c>
      <c r="H209" s="29" t="n">
        <v>1920</v>
      </c>
      <c r="I209" s="21" t="inlineStr">
        <is>
          <t>2020</t>
        </is>
      </c>
      <c r="J209" s="21" t="inlineStr">
        <is>
          <t xml:space="preserve"> 1</t>
        </is>
      </c>
      <c r="K209" s="30">
        <f>(E209-F209)/IF(E209&gt;0,E209,1)</f>
        <v/>
      </c>
    </row>
    <row r="210">
      <c r="A210" s="22" t="inlineStr">
        <is>
          <t>앱인벤터로 20가지 인공지능 앱 만들기 with ChatBot과 생성형AI</t>
        </is>
      </c>
      <c r="B210" s="22" t="inlineStr">
        <is>
          <t>김수연, 전진아, 장문철</t>
        </is>
      </c>
      <c r="C210" s="22" t="inlineStr">
        <is>
          <t>앤써북</t>
        </is>
      </c>
      <c r="D210" s="22" t="inlineStr">
        <is>
          <t>2024년 12월</t>
        </is>
      </c>
      <c r="E210" s="28" t="n">
        <v>18800</v>
      </c>
      <c r="F210" s="28" t="n">
        <v>16920</v>
      </c>
      <c r="G210" s="29" t="n">
        <v>4</v>
      </c>
      <c r="H210" s="29" t="n">
        <v>2700</v>
      </c>
      <c r="I210" s="21" t="inlineStr">
        <is>
          <t>2024</t>
        </is>
      </c>
      <c r="J210" s="21" t="inlineStr">
        <is>
          <t xml:space="preserve"> 1</t>
        </is>
      </c>
      <c r="K210" s="30">
        <f>(E210-F210)/IF(E210&gt;0,E210,1)</f>
        <v/>
      </c>
    </row>
    <row r="211">
      <c r="A211" s="22" t="inlineStr">
        <is>
          <t>젠스파크 Genspark AI 콘텐츠 공장</t>
        </is>
      </c>
      <c r="B211" s="22" t="inlineStr">
        <is>
          <t>조영빈</t>
        </is>
      </c>
      <c r="C211" s="22" t="inlineStr">
        <is>
          <t>디지털북스</t>
        </is>
      </c>
      <c r="D211" s="22" t="inlineStr">
        <is>
          <t>2026년 04월</t>
        </is>
      </c>
      <c r="E211" s="28" t="n">
        <v>20000</v>
      </c>
      <c r="F211" s="28" t="n">
        <v>18000</v>
      </c>
      <c r="G211" s="29" t="n">
        <v>0</v>
      </c>
      <c r="H211" s="29" t="n">
        <v>846</v>
      </c>
      <c r="I211" s="21" t="inlineStr">
        <is>
          <t>2026</t>
        </is>
      </c>
      <c r="J211" s="21" t="inlineStr">
        <is>
          <t xml:space="preserve"> 0</t>
        </is>
      </c>
      <c r="K211" s="30">
        <f>(E211-F211)/IF(E211&gt;0,E211,1)</f>
        <v/>
      </c>
    </row>
    <row r="212">
      <c r="A212" s="22" t="inlineStr">
        <is>
          <t>제미나이로 구글·이미지·영상·자동화 진짜 잘함</t>
        </is>
      </c>
      <c r="B212" s="22" t="inlineStr">
        <is>
          <t>이호정</t>
        </is>
      </c>
      <c r="C212" s="22" t="inlineStr">
        <is>
          <t>리코멘드</t>
        </is>
      </c>
      <c r="D212" s="22" t="inlineStr">
        <is>
          <t>2026년 03월</t>
        </is>
      </c>
      <c r="E212" s="28" t="n">
        <v>18800</v>
      </c>
      <c r="F212" s="28" t="n">
        <v>16920</v>
      </c>
      <c r="G212" s="29" t="n">
        <v>21</v>
      </c>
      <c r="H212" s="29" t="n">
        <v>1836</v>
      </c>
      <c r="I212" s="21" t="inlineStr">
        <is>
          <t>2026</t>
        </is>
      </c>
      <c r="J212" s="21" t="inlineStr">
        <is>
          <t xml:space="preserve"> 0</t>
        </is>
      </c>
      <c r="K212" s="30">
        <f>(E212-F212)/IF(E212&gt;0,E212,1)</f>
        <v/>
      </c>
    </row>
    <row r="213">
      <c r="A213" s="22" t="inlineStr">
        <is>
          <t>AI 자율학습 밑바닥부터 배우는 AI 에이전트</t>
        </is>
      </c>
      <c r="B213" s="22" t="inlineStr">
        <is>
          <t>다비드스튜디오</t>
        </is>
      </c>
      <c r="C213" s="22" t="inlineStr">
        <is>
          <t>길벗</t>
        </is>
      </c>
      <c r="D213" s="22" t="inlineStr">
        <is>
          <t>2025년 12월</t>
        </is>
      </c>
      <c r="E213" s="28" t="n">
        <v>24000</v>
      </c>
      <c r="F213" s="28" t="n">
        <v>21600</v>
      </c>
      <c r="G213" s="29" t="n">
        <v>20</v>
      </c>
      <c r="H213" s="29" t="n">
        <v>1962</v>
      </c>
      <c r="I213" s="21" t="inlineStr">
        <is>
          <t>2025</t>
        </is>
      </c>
      <c r="J213" s="21" t="inlineStr">
        <is>
          <t xml:space="preserve"> 1</t>
        </is>
      </c>
      <c r="K213" s="30">
        <f>(E213-F213)/IF(E213&gt;0,E213,1)</f>
        <v/>
      </c>
    </row>
    <row r="214">
      <c r="A214" s="22" t="inlineStr">
        <is>
          <t>러닝 랭체인</t>
        </is>
      </c>
      <c r="B214" s="22" t="inlineStr">
        <is>
          <t>메이오 오신, 누노 캄포스, 강민혁</t>
        </is>
      </c>
      <c r="C214" s="22" t="inlineStr">
        <is>
          <t>한빛미디어</t>
        </is>
      </c>
      <c r="D214" s="22" t="inlineStr">
        <is>
          <t>2025년 05월</t>
        </is>
      </c>
      <c r="E214" s="28" t="n">
        <v>28000</v>
      </c>
      <c r="F214" s="28" t="n">
        <v>25200</v>
      </c>
      <c r="G214" s="29" t="n">
        <v>26</v>
      </c>
      <c r="H214" s="29" t="n">
        <v>3030</v>
      </c>
      <c r="I214" s="21" t="inlineStr">
        <is>
          <t>2025</t>
        </is>
      </c>
      <c r="J214" s="21" t="inlineStr">
        <is>
          <t xml:space="preserve"> 0</t>
        </is>
      </c>
      <c r="K214" s="30">
        <f>(E214-F214)/IF(E214&gt;0,E214,1)</f>
        <v/>
      </c>
    </row>
    <row r="215">
      <c r="A215" s="22" t="inlineStr">
        <is>
          <t>교사를 위한 생성형 AI 활용 수업</t>
        </is>
      </c>
      <c r="B215" s="22" t="inlineStr">
        <is>
          <t>김종혜</t>
        </is>
      </c>
      <c r="C215" s="22" t="inlineStr">
        <is>
          <t>생능북스</t>
        </is>
      </c>
      <c r="D215" s="22" t="inlineStr">
        <is>
          <t>2025년 04월</t>
        </is>
      </c>
      <c r="E215" s="28" t="n">
        <v>16000</v>
      </c>
      <c r="F215" s="28" t="n">
        <v>14400</v>
      </c>
      <c r="G215" s="29" t="n">
        <v>15</v>
      </c>
      <c r="H215" s="29" t="n">
        <v>1752</v>
      </c>
      <c r="I215" s="21" t="inlineStr">
        <is>
          <t>2025</t>
        </is>
      </c>
      <c r="J215" s="21" t="inlineStr">
        <is>
          <t xml:space="preserve"> 0</t>
        </is>
      </c>
      <c r="K215" s="30">
        <f>(E215-F215)/IF(E215&gt;0,E215,1)</f>
        <v/>
      </c>
    </row>
    <row r="216">
      <c r="A216" s="22" t="inlineStr">
        <is>
          <t>AI 워커스: 리디자인</t>
        </is>
      </c>
      <c r="B216" s="22" t="inlineStr">
        <is>
          <t>김아람</t>
        </is>
      </c>
      <c r="C216" s="22" t="inlineStr">
        <is>
          <t>스마트북스</t>
        </is>
      </c>
      <c r="D216" s="22" t="inlineStr">
        <is>
          <t>2026년 03월</t>
        </is>
      </c>
      <c r="E216" s="28" t="n">
        <v>25000</v>
      </c>
      <c r="F216" s="28" t="n">
        <v>22500</v>
      </c>
      <c r="G216" s="29" t="n">
        <v>5</v>
      </c>
      <c r="H216" s="29" t="n">
        <v>1152</v>
      </c>
      <c r="I216" s="21" t="inlineStr">
        <is>
          <t>2026</t>
        </is>
      </c>
      <c r="J216" s="21" t="inlineStr">
        <is>
          <t xml:space="preserve"> 0</t>
        </is>
      </c>
      <c r="K216" s="30">
        <f>(E216-F216)/IF(E216&gt;0,E216,1)</f>
        <v/>
      </c>
    </row>
    <row r="217">
      <c r="A217" s="22" t="inlineStr">
        <is>
          <t>기술·가정 교사가 만든 기술·가정 교사를 위한 찐 실전 챗GPT (생성형 AI (에듀테크) 기술·가정 수업 활용하기!)</t>
        </is>
      </c>
      <c r="B217" s="22" t="inlineStr">
        <is>
          <t>봉우리, 이호준, 윤지원, 김보정</t>
        </is>
      </c>
      <c r="C217" s="22" t="inlineStr">
        <is>
          <t>광문각출판미디어</t>
        </is>
      </c>
      <c r="D217" s="22" t="inlineStr">
        <is>
          <t>2025년 08월</t>
        </is>
      </c>
      <c r="E217" s="28" t="n">
        <v>17000</v>
      </c>
      <c r="F217" s="28" t="n">
        <v>17000</v>
      </c>
      <c r="G217" s="29" t="n">
        <v>11</v>
      </c>
      <c r="H217" s="29" t="n">
        <v>2376</v>
      </c>
      <c r="I217" s="21" t="inlineStr">
        <is>
          <t>2025</t>
        </is>
      </c>
      <c r="J217" s="21" t="inlineStr">
        <is>
          <t xml:space="preserve"> 0</t>
        </is>
      </c>
      <c r="K217" s="30">
        <f>(E217-F217)/IF(E217&gt;0,E217,1)</f>
        <v/>
      </c>
    </row>
    <row r="218">
      <c r="A218" s="22" t="inlineStr">
        <is>
          <t>컴퓨터 비전과 딥러닝</t>
        </is>
      </c>
      <c r="B218" s="22" t="inlineStr">
        <is>
          <t>오일석</t>
        </is>
      </c>
      <c r="C218" s="22" t="inlineStr">
        <is>
          <t>한빛아카데미</t>
        </is>
      </c>
      <c r="D218" s="22" t="inlineStr">
        <is>
          <t>2023년 01월</t>
        </is>
      </c>
      <c r="E218" s="28" t="n">
        <v>39000</v>
      </c>
      <c r="F218" s="28" t="n">
        <v>39000</v>
      </c>
      <c r="G218" s="29" t="n">
        <v>9</v>
      </c>
      <c r="H218" s="29" t="n">
        <v>2172</v>
      </c>
      <c r="I218" s="21" t="inlineStr">
        <is>
          <t>2023</t>
        </is>
      </c>
      <c r="J218" s="21" t="inlineStr">
        <is>
          <t xml:space="preserve"> 0</t>
        </is>
      </c>
      <c r="K218" s="30">
        <f>(E218-F218)/IF(E218&gt;0,E218,1)</f>
        <v/>
      </c>
    </row>
    <row r="219">
      <c r="A219" s="22" t="inlineStr">
        <is>
          <t>어떻게 인간과 공존하는 인공지능을 만들 것인가</t>
        </is>
      </c>
      <c r="B219" s="22" t="inlineStr">
        <is>
          <t>스튜어트 러셀, 이한음</t>
        </is>
      </c>
      <c r="C219" s="22" t="inlineStr">
        <is>
          <t>김영사</t>
        </is>
      </c>
      <c r="D219" s="22" t="inlineStr">
        <is>
          <t>2021년 06월</t>
        </is>
      </c>
      <c r="E219" s="28" t="n">
        <v>22000</v>
      </c>
      <c r="F219" s="28" t="n">
        <v>19800</v>
      </c>
      <c r="G219" s="29" t="n">
        <v>28</v>
      </c>
      <c r="H219" s="29" t="n">
        <v>1044</v>
      </c>
      <c r="I219" s="21" t="inlineStr">
        <is>
          <t>2021</t>
        </is>
      </c>
      <c r="J219" s="21" t="inlineStr">
        <is>
          <t xml:space="preserve"> 0</t>
        </is>
      </c>
      <c r="K219" s="30">
        <f>(E219-F219)/IF(E219&gt;0,E219,1)</f>
        <v/>
      </c>
    </row>
    <row r="220">
      <c r="A220" s="22" t="inlineStr">
        <is>
          <t>바이브 코딩 너머 개발자 생존법: 개발자는 사라지지 않는다, 진화한다</t>
        </is>
      </c>
      <c r="B220" s="22" t="inlineStr">
        <is>
          <t>애디 오스마니, 강민혁</t>
        </is>
      </c>
      <c r="C220" s="22" t="inlineStr">
        <is>
          <t>한빛미디어</t>
        </is>
      </c>
      <c r="D220" s="22" t="inlineStr">
        <is>
          <t>2025년 11월</t>
        </is>
      </c>
      <c r="E220" s="28" t="n">
        <v>23000</v>
      </c>
      <c r="F220" s="28" t="n">
        <v>20700</v>
      </c>
      <c r="G220" s="29" t="n">
        <v>26</v>
      </c>
      <c r="H220" s="29" t="n">
        <v>4863</v>
      </c>
      <c r="I220" s="21" t="inlineStr">
        <is>
          <t>2025</t>
        </is>
      </c>
      <c r="J220" s="21" t="inlineStr">
        <is>
          <t xml:space="preserve"> 1</t>
        </is>
      </c>
      <c r="K220" s="30">
        <f>(E220-F220)/IF(E220&gt;0,E220,1)</f>
        <v/>
      </c>
    </row>
    <row r="221">
      <c r="A221" s="22" t="inlineStr">
        <is>
          <t>인공지능은 왜 정치적일 수밖에 없는가</t>
        </is>
      </c>
      <c r="B221" s="22" t="inlineStr">
        <is>
          <t>마크 코켈버그, 배현석</t>
        </is>
      </c>
      <c r="C221" s="22" t="inlineStr">
        <is>
          <t>생각이음</t>
        </is>
      </c>
      <c r="D221" s="22" t="inlineStr">
        <is>
          <t>2023년 07월</t>
        </is>
      </c>
      <c r="E221" s="28" t="n">
        <v>18800</v>
      </c>
      <c r="F221" s="28" t="n">
        <v>16920</v>
      </c>
      <c r="G221" s="29" t="n">
        <v>7</v>
      </c>
      <c r="H221" s="29" t="n">
        <v>1059</v>
      </c>
      <c r="I221" s="21" t="inlineStr">
        <is>
          <t>2023</t>
        </is>
      </c>
      <c r="J221" s="21" t="inlineStr">
        <is>
          <t xml:space="preserve"> 0</t>
        </is>
      </c>
      <c r="K221" s="30">
        <f>(E221-F221)/IF(E221&gt;0,E221,1)</f>
        <v/>
      </c>
    </row>
    <row r="222">
      <c r="A222" s="22" t="inlineStr">
        <is>
          <t>파이썬 라이브러리를 활용한 데이터 분석</t>
        </is>
      </c>
      <c r="B222" s="22" t="inlineStr">
        <is>
          <t>웨스 맥키니, 김영근</t>
        </is>
      </c>
      <c r="C222" s="22" t="inlineStr">
        <is>
          <t>한빛미디어</t>
        </is>
      </c>
      <c r="D222" s="22" t="inlineStr">
        <is>
          <t>2023년 05월</t>
        </is>
      </c>
      <c r="E222" s="28" t="n">
        <v>39000</v>
      </c>
      <c r="F222" s="28" t="n">
        <v>35100</v>
      </c>
      <c r="G222" s="29" t="n">
        <v>31</v>
      </c>
      <c r="H222" s="29" t="n">
        <v>2079</v>
      </c>
      <c r="I222" s="21" t="inlineStr">
        <is>
          <t>2023</t>
        </is>
      </c>
      <c r="J222" s="21" t="inlineStr">
        <is>
          <t xml:space="preserve"> 0</t>
        </is>
      </c>
      <c r="K222" s="30">
        <f>(E222-F222)/IF(E222&gt;0,E222,1)</f>
        <v/>
      </c>
    </row>
    <row r="223">
      <c r="A223" s="22" t="inlineStr">
        <is>
          <t>코파일럿+엑셀 업무자동화 정석</t>
        </is>
      </c>
      <c r="B223" s="22" t="inlineStr">
        <is>
          <t>권현욱</t>
        </is>
      </c>
      <c r="C223" s="22" t="inlineStr">
        <is>
          <t>디지털북스</t>
        </is>
      </c>
      <c r="D223" s="22" t="inlineStr">
        <is>
          <t>2024년 08월</t>
        </is>
      </c>
      <c r="E223" s="28" t="n">
        <v>22000</v>
      </c>
      <c r="F223" s="28" t="n">
        <v>19800</v>
      </c>
      <c r="G223" s="29" t="n">
        <v>4</v>
      </c>
      <c r="H223" s="29" t="n">
        <v>858</v>
      </c>
      <c r="I223" s="21" t="inlineStr">
        <is>
          <t>2024</t>
        </is>
      </c>
      <c r="J223" s="21" t="inlineStr">
        <is>
          <t xml:space="preserve"> 0</t>
        </is>
      </c>
      <c r="K223" s="30">
        <f>(E223-F223)/IF(E223&gt;0,E223,1)</f>
        <v/>
      </c>
    </row>
    <row r="224">
      <c r="A224" s="22" t="inlineStr">
        <is>
          <t>콘텐츠 디자인은 피그마 with AI</t>
        </is>
      </c>
      <c r="B224" s="22" t="inlineStr">
        <is>
          <t>김선영</t>
        </is>
      </c>
      <c r="C224" s="22" t="inlineStr">
        <is>
          <t>골든래빗</t>
        </is>
      </c>
      <c r="D224" s="22" t="inlineStr">
        <is>
          <t>2025년 08월</t>
        </is>
      </c>
      <c r="E224" s="28" t="n">
        <v>26000</v>
      </c>
      <c r="F224" s="28" t="n">
        <v>23400</v>
      </c>
      <c r="G224" s="29" t="n">
        <v>10</v>
      </c>
      <c r="H224" s="29" t="n">
        <v>5364</v>
      </c>
      <c r="I224" s="21" t="inlineStr">
        <is>
          <t>2025</t>
        </is>
      </c>
      <c r="J224" s="21" t="inlineStr">
        <is>
          <t xml:space="preserve"> 0</t>
        </is>
      </c>
      <c r="K224" s="30">
        <f>(E224-F224)/IF(E224&gt;0,E224,1)</f>
        <v/>
      </c>
    </row>
    <row r="225">
      <c r="A225" s="22" t="inlineStr">
        <is>
          <t>혼자 해도 프로 선생님처럼 잘 만드는 학교 수업 자료 with 미리캔버스</t>
        </is>
      </c>
      <c r="B225" s="22" t="inlineStr">
        <is>
          <t>김태훈, 손민지, 유수근</t>
        </is>
      </c>
      <c r="C225" s="22" t="inlineStr">
        <is>
          <t>한빛미디어</t>
        </is>
      </c>
      <c r="D225" s="22" t="inlineStr">
        <is>
          <t>2026년 04월</t>
        </is>
      </c>
      <c r="E225" s="28" t="n">
        <v>23000</v>
      </c>
      <c r="F225" s="28" t="n">
        <v>20700</v>
      </c>
      <c r="G225" s="29" t="n">
        <v>69</v>
      </c>
      <c r="H225" s="29" t="n">
        <v>729</v>
      </c>
      <c r="I225" s="21" t="inlineStr">
        <is>
          <t>2026</t>
        </is>
      </c>
      <c r="J225" s="21" t="inlineStr">
        <is>
          <t xml:space="preserve"> 0</t>
        </is>
      </c>
      <c r="K225" s="30">
        <f>(E225-F225)/IF(E225&gt;0,E225,1)</f>
        <v/>
      </c>
    </row>
    <row r="226">
      <c r="A226" s="22" t="inlineStr">
        <is>
          <t>개발자를 위한 필수 수학</t>
        </is>
      </c>
      <c r="B226" s="22" t="inlineStr">
        <is>
          <t>토머스 닐드, 박해선</t>
        </is>
      </c>
      <c r="C226" s="22" t="inlineStr">
        <is>
          <t>한빛미디어</t>
        </is>
      </c>
      <c r="D226" s="22" t="inlineStr">
        <is>
          <t>2024년 06월</t>
        </is>
      </c>
      <c r="E226" s="28" t="n">
        <v>30000</v>
      </c>
      <c r="F226" s="28" t="n">
        <v>27000</v>
      </c>
      <c r="G226" s="29" t="n">
        <v>37</v>
      </c>
      <c r="H226" s="29" t="n">
        <v>3990</v>
      </c>
      <c r="I226" s="21" t="inlineStr">
        <is>
          <t>2024</t>
        </is>
      </c>
      <c r="J226" s="21" t="inlineStr">
        <is>
          <t xml:space="preserve"> 0</t>
        </is>
      </c>
      <c r="K226" s="30">
        <f>(E226-F226)/IF(E226&gt;0,E226,1)</f>
        <v/>
      </c>
    </row>
    <row r="227">
      <c r="A227" s="22" t="inlineStr">
        <is>
          <t>AI 바이브 코딩 마스터</t>
        </is>
      </c>
      <c r="B227" s="22" t="inlineStr">
        <is>
          <t>정의석, 정윤식</t>
        </is>
      </c>
      <c r="C227" s="22" t="inlineStr">
        <is>
          <t>영진닷컴</t>
        </is>
      </c>
      <c r="D227" s="22" t="inlineStr">
        <is>
          <t>2026년 05월</t>
        </is>
      </c>
      <c r="E227" s="28" t="n">
        <v>36000</v>
      </c>
      <c r="F227" s="28" t="n">
        <v>32400</v>
      </c>
      <c r="G227" s="29" t="n">
        <v>10</v>
      </c>
      <c r="H227" s="29" t="n">
        <v>540</v>
      </c>
      <c r="I227" s="21" t="inlineStr">
        <is>
          <t>2026</t>
        </is>
      </c>
      <c r="J227" s="21" t="inlineStr">
        <is>
          <t xml:space="preserve"> 0</t>
        </is>
      </c>
      <c r="K227" s="30">
        <f>(E227-F227)/IF(E227&gt;0,E227,1)</f>
        <v/>
      </c>
    </row>
    <row r="228">
      <c r="A228" s="22" t="inlineStr">
        <is>
          <t>LangChain과 LangGraph로 만드는 LLM 애플리케이션 2/e</t>
        </is>
      </c>
      <c r="B228" s="22" t="inlineStr">
        <is>
          <t>벤 아우파스, 레오니드 쿨리긴, 옥경석, 박규성</t>
        </is>
      </c>
      <c r="C228" s="22" t="inlineStr">
        <is>
          <t>에이콘출판사</t>
        </is>
      </c>
      <c r="D228" s="22" t="inlineStr">
        <is>
          <t>2026년 04월</t>
        </is>
      </c>
      <c r="E228" s="28" t="n">
        <v>40000</v>
      </c>
      <c r="F228" s="28" t="n">
        <v>36000</v>
      </c>
      <c r="G228" s="29" t="n">
        <v>5</v>
      </c>
      <c r="H228" s="29" t="n">
        <v>540</v>
      </c>
      <c r="I228" s="21" t="inlineStr">
        <is>
          <t>2026</t>
        </is>
      </c>
      <c r="J228" s="21" t="inlineStr">
        <is>
          <t xml:space="preserve"> 0</t>
        </is>
      </c>
      <c r="K228" s="30">
        <f>(E228-F228)/IF(E228&gt;0,E228,1)</f>
        <v/>
      </c>
    </row>
    <row r="229">
      <c r="A229" s="22" t="inlineStr">
        <is>
          <t>생성형AI 프롬프트 디자인 실무</t>
        </is>
      </c>
      <c r="B229" s="22" t="inlineStr">
        <is>
          <t>한국생성형AI연구원</t>
        </is>
      </c>
      <c r="C229" s="22" t="inlineStr">
        <is>
          <t>광문각출판미디어</t>
        </is>
      </c>
      <c r="D229" s="22" t="inlineStr">
        <is>
          <t>2026년 01월</t>
        </is>
      </c>
      <c r="E229" s="28" t="n">
        <v>30000</v>
      </c>
      <c r="F229" s="28" t="n">
        <v>30000</v>
      </c>
      <c r="G229" s="29" t="n">
        <v>0</v>
      </c>
      <c r="H229" s="29" t="n">
        <v>432</v>
      </c>
      <c r="I229" s="21" t="inlineStr">
        <is>
          <t>2026</t>
        </is>
      </c>
      <c r="J229" s="21" t="inlineStr">
        <is>
          <t xml:space="preserve"> 0</t>
        </is>
      </c>
      <c r="K229" s="30">
        <f>(E229-F229)/IF(E229&gt;0,E229,1)</f>
        <v/>
      </c>
    </row>
    <row r="230">
      <c r="A230" s="22" t="inlineStr">
        <is>
          <t>왕초보 시니어도 쉽게 따라 하는 챗GPT 사용법</t>
        </is>
      </c>
      <c r="B230" s="22" t="inlineStr">
        <is>
          <t>곽민철, 정희철</t>
        </is>
      </c>
      <c r="C230" s="22" t="inlineStr">
        <is>
          <t>생능북스</t>
        </is>
      </c>
      <c r="D230" s="22" t="inlineStr">
        <is>
          <t>2026년 01월</t>
        </is>
      </c>
      <c r="E230" s="28" t="n">
        <v>16800</v>
      </c>
      <c r="F230" s="28" t="n">
        <v>15120</v>
      </c>
      <c r="G230" s="29" t="n">
        <v>40</v>
      </c>
      <c r="H230" s="29" t="n">
        <v>1956</v>
      </c>
      <c r="I230" s="21" t="inlineStr">
        <is>
          <t>2026</t>
        </is>
      </c>
      <c r="J230" s="21" t="inlineStr">
        <is>
          <t xml:space="preserve"> 0</t>
        </is>
      </c>
      <c r="K230" s="30">
        <f>(E230-F230)/IF(E230&gt;0,E230,1)</f>
        <v/>
      </c>
    </row>
    <row r="231">
      <c r="A231" s="22" t="inlineStr">
        <is>
          <t>목사님, AI와 동역하시겠습니까?</t>
        </is>
      </c>
      <c r="B231" s="22" t="inlineStr">
        <is>
          <t>김시준</t>
        </is>
      </c>
      <c r="C231" s="22" t="inlineStr">
        <is>
          <t>세움북스</t>
        </is>
      </c>
      <c r="D231" s="22" t="inlineStr">
        <is>
          <t>2026년 02월</t>
        </is>
      </c>
      <c r="E231" s="28" t="n">
        <v>22000</v>
      </c>
      <c r="F231" s="28" t="n">
        <v>20900</v>
      </c>
      <c r="G231" s="29" t="n">
        <v>10</v>
      </c>
      <c r="H231" s="29" t="n">
        <v>2544</v>
      </c>
      <c r="I231" s="21" t="inlineStr">
        <is>
          <t>2026</t>
        </is>
      </c>
      <c r="J231" s="21" t="inlineStr">
        <is>
          <t xml:space="preserve"> 0</t>
        </is>
      </c>
      <c r="K231" s="30">
        <f>(E231-F231)/IF(E231&gt;0,E231,1)</f>
        <v/>
      </c>
    </row>
    <row r="232">
      <c r="A232" s="22" t="inlineStr">
        <is>
          <t>파이썬 업무 자동화 일잘러 되기 + 챗GPT</t>
        </is>
      </c>
      <c r="B232" s="22" t="inlineStr">
        <is>
          <t>메이허</t>
        </is>
      </c>
      <c r="C232" s="22" t="inlineStr">
        <is>
          <t>골든래빗</t>
        </is>
      </c>
      <c r="D232" s="22" t="inlineStr">
        <is>
          <t>2025년 01월</t>
        </is>
      </c>
      <c r="E232" s="28" t="n">
        <v>36000</v>
      </c>
      <c r="F232" s="28" t="n">
        <v>32400</v>
      </c>
      <c r="G232" s="29" t="n">
        <v>4</v>
      </c>
      <c r="H232" s="29" t="n">
        <v>1170</v>
      </c>
      <c r="I232" s="21" t="inlineStr">
        <is>
          <t>2025</t>
        </is>
      </c>
      <c r="J232" s="21" t="inlineStr">
        <is>
          <t xml:space="preserve"> 0</t>
        </is>
      </c>
      <c r="K232" s="30">
        <f>(E232-F232)/IF(E232&gt;0,E232,1)</f>
        <v/>
      </c>
    </row>
    <row r="233">
      <c r="A233" s="22" t="inlineStr">
        <is>
          <t>난생처음 인공지능 입문</t>
        </is>
      </c>
      <c r="B233" s="22" t="inlineStr">
        <is>
          <t>서지영</t>
        </is>
      </c>
      <c r="C233" s="22" t="inlineStr">
        <is>
          <t>한빛아카데미</t>
        </is>
      </c>
      <c r="D233" s="22" t="inlineStr">
        <is>
          <t>2024년 10월</t>
        </is>
      </c>
      <c r="E233" s="28" t="n">
        <v>27000</v>
      </c>
      <c r="F233" s="28" t="n">
        <v>27000</v>
      </c>
      <c r="G233" s="29" t="n">
        <v>3</v>
      </c>
      <c r="H233" s="29" t="n">
        <v>4554</v>
      </c>
      <c r="I233" s="21" t="inlineStr">
        <is>
          <t>2024</t>
        </is>
      </c>
      <c r="J233" s="21" t="inlineStr">
        <is>
          <t xml:space="preserve"> 1</t>
        </is>
      </c>
      <c r="K233" s="30">
        <f>(E233-F233)/IF(E233&gt;0,E233,1)</f>
        <v/>
      </c>
    </row>
    <row r="234">
      <c r="A234" s="22" t="inlineStr">
        <is>
          <t>혁펜하임의 Easy! 딥러닝</t>
        </is>
      </c>
      <c r="B234" s="22" t="inlineStr">
        <is>
          <t>혁펜하임</t>
        </is>
      </c>
      <c r="C234" s="22" t="inlineStr">
        <is>
          <t>북엔드</t>
        </is>
      </c>
      <c r="D234" s="22" t="inlineStr">
        <is>
          <t>2024년 11월</t>
        </is>
      </c>
      <c r="E234" s="28" t="n">
        <v>35000</v>
      </c>
      <c r="F234" s="28" t="n">
        <v>31500</v>
      </c>
      <c r="G234" s="29" t="n">
        <v>34</v>
      </c>
      <c r="H234" s="29" t="n">
        <v>3240</v>
      </c>
      <c r="I234" s="21" t="inlineStr">
        <is>
          <t>2024</t>
        </is>
      </c>
      <c r="J234" s="21" t="inlineStr">
        <is>
          <t xml:space="preserve"> 1</t>
        </is>
      </c>
      <c r="K234" s="30">
        <f>(E234-F234)/IF(E234&gt;0,E234,1)</f>
        <v/>
      </c>
    </row>
    <row r="235">
      <c r="A235" s="22" t="inlineStr">
        <is>
          <t>무조건 도움되는 유아교사 업무경감</t>
        </is>
      </c>
      <c r="B235" s="22" t="inlineStr">
        <is>
          <t>김나영, 남동윤, 이영은, 장효정, 최지이, 정보 더 보기/감추기, 김나영, 남동윤, 이영은, 장효정, 최지이, 황경미</t>
        </is>
      </c>
      <c r="C235" s="22" t="inlineStr">
        <is>
          <t>교육과실천</t>
        </is>
      </c>
      <c r="D235" s="22" t="inlineStr">
        <is>
          <t>2026년 01월</t>
        </is>
      </c>
      <c r="E235" s="28" t="n">
        <v>25500</v>
      </c>
      <c r="F235" s="28" t="n">
        <v>22950</v>
      </c>
      <c r="G235" s="29" t="n">
        <v>9</v>
      </c>
      <c r="H235" s="29" t="n">
        <v>2289</v>
      </c>
      <c r="I235" s="21" t="inlineStr">
        <is>
          <t>2026</t>
        </is>
      </c>
      <c r="J235" s="21" t="inlineStr">
        <is>
          <t xml:space="preserve"> 0</t>
        </is>
      </c>
      <c r="K235" s="30">
        <f>(E235-F235)/IF(E235&gt;0,E235,1)</f>
        <v/>
      </c>
    </row>
    <row r="236">
      <c r="A236" s="22" t="inlineStr">
        <is>
          <t>현직교사가 만든 가장 쉬운 캔바 수업 활용! 캔바로 무엇이든 만들 수 있다</t>
        </is>
      </c>
      <c r="B236" s="22" t="inlineStr">
        <is>
          <t>이서영, 유상숙, 양지현, 이상현</t>
        </is>
      </c>
      <c r="C236" s="22" t="inlineStr">
        <is>
          <t>광문각출판미디어</t>
        </is>
      </c>
      <c r="D236" s="22" t="inlineStr">
        <is>
          <t>2025년 11월</t>
        </is>
      </c>
      <c r="E236" s="28" t="n">
        <v>19000</v>
      </c>
      <c r="F236" s="28" t="n">
        <v>19000</v>
      </c>
      <c r="G236" s="29" t="n">
        <v>38</v>
      </c>
      <c r="H236" s="29" t="n">
        <v>2370</v>
      </c>
      <c r="I236" s="21" t="inlineStr">
        <is>
          <t>2025</t>
        </is>
      </c>
      <c r="J236" s="21" t="inlineStr">
        <is>
          <t xml:space="preserve"> 1</t>
        </is>
      </c>
      <c r="K236" s="30">
        <f>(E236-F236)/IF(E236&gt;0,E236,1)</f>
        <v/>
      </c>
    </row>
    <row r="237">
      <c r="A237" s="22" t="inlineStr">
        <is>
          <t>챗GPT와 엑셀로 만드는 주식 &amp; 암호화폐 자동매매 시스템</t>
        </is>
      </c>
      <c r="B237" s="22" t="inlineStr">
        <is>
          <t>설근민</t>
        </is>
      </c>
      <c r="C237" s="22" t="inlineStr">
        <is>
          <t>제이펍</t>
        </is>
      </c>
      <c r="D237" s="22" t="inlineStr">
        <is>
          <t>2025년 08월</t>
        </is>
      </c>
      <c r="E237" s="28" t="n">
        <v>25000</v>
      </c>
      <c r="F237" s="28" t="n">
        <v>22500</v>
      </c>
      <c r="G237" s="29" t="n">
        <v>8</v>
      </c>
      <c r="H237" s="29" t="n">
        <v>2574</v>
      </c>
      <c r="I237" s="21" t="inlineStr">
        <is>
          <t>2025</t>
        </is>
      </c>
      <c r="J237" s="21" t="inlineStr">
        <is>
          <t xml:space="preserve"> 0</t>
        </is>
      </c>
      <c r="K237" s="30">
        <f>(E237-F237)/IF(E237&gt;0,E237,1)</f>
        <v/>
      </c>
    </row>
    <row r="238">
      <c r="A238" s="22" t="inlineStr">
        <is>
          <t>챗GPT 프롬프트 120% 질문 기술</t>
        </is>
      </c>
      <c r="B238" s="22" t="inlineStr">
        <is>
          <t>ChatGPT 비즈니스 연구회, 김모세</t>
        </is>
      </c>
      <c r="C238" s="22" t="inlineStr">
        <is>
          <t>정보문화사</t>
        </is>
      </c>
      <c r="D238" s="22" t="inlineStr">
        <is>
          <t>2024년 04월</t>
        </is>
      </c>
      <c r="E238" s="28" t="n">
        <v>15000</v>
      </c>
      <c r="F238" s="28" t="n">
        <v>13500</v>
      </c>
      <c r="G238" s="29" t="n">
        <v>41</v>
      </c>
      <c r="H238" s="29" t="n">
        <v>2961</v>
      </c>
      <c r="I238" s="21" t="inlineStr">
        <is>
          <t>2024</t>
        </is>
      </c>
      <c r="J238" s="21" t="inlineStr">
        <is>
          <t xml:space="preserve"> 0</t>
        </is>
      </c>
      <c r="K238" s="30">
        <f>(E238-F238)/IF(E238&gt;0,E238,1)</f>
        <v/>
      </c>
    </row>
    <row r="239">
      <c r="A239" s="22" t="inlineStr">
        <is>
          <t>AI로 7일 만에 사업 시작하기</t>
        </is>
      </c>
      <c r="B239" s="22" t="inlineStr">
        <is>
          <t>김다솔</t>
        </is>
      </c>
      <c r="C239" s="22" t="inlineStr">
        <is>
          <t>길벗</t>
        </is>
      </c>
      <c r="D239" s="22" t="inlineStr">
        <is>
          <t>2025년 06월</t>
        </is>
      </c>
      <c r="E239" s="28" t="n">
        <v>22000</v>
      </c>
      <c r="F239" s="28" t="n">
        <v>19800</v>
      </c>
      <c r="G239" s="29" t="n">
        <v>51</v>
      </c>
      <c r="H239" s="29" t="n">
        <v>5610</v>
      </c>
      <c r="I239" s="21" t="inlineStr">
        <is>
          <t>2025</t>
        </is>
      </c>
      <c r="J239" s="21" t="inlineStr">
        <is>
          <t xml:space="preserve"> 0</t>
        </is>
      </c>
      <c r="K239" s="30">
        <f>(E239-F239)/IF(E239&gt;0,E239,1)</f>
        <v/>
      </c>
    </row>
    <row r="240">
      <c r="A240" s="22" t="inlineStr">
        <is>
          <t>실무로 통하는 인과추론 with 파이썬</t>
        </is>
      </c>
      <c r="B240" s="22" t="inlineStr">
        <is>
          <t>마테우스 파쿠레, 신진수, 가짜연구소 인과추론팀, 박지용</t>
        </is>
      </c>
      <c r="C240" s="22" t="inlineStr">
        <is>
          <t>한빛미디어</t>
        </is>
      </c>
      <c r="D240" s="22" t="inlineStr">
        <is>
          <t>2024년 03월</t>
        </is>
      </c>
      <c r="E240" s="28" t="n">
        <v>38000</v>
      </c>
      <c r="F240" s="28" t="n">
        <v>34200</v>
      </c>
      <c r="G240" s="29" t="n">
        <v>31</v>
      </c>
      <c r="H240" s="29" t="n">
        <v>792</v>
      </c>
      <c r="I240" s="21" t="inlineStr">
        <is>
          <t>2024</t>
        </is>
      </c>
      <c r="J240" s="21" t="inlineStr">
        <is>
          <t xml:space="preserve"> 0</t>
        </is>
      </c>
      <c r="K240" s="30">
        <f>(E240-F240)/IF(E240&gt;0,E240,1)</f>
        <v/>
      </c>
    </row>
    <row r="241">
      <c r="A241" s="22" t="inlineStr">
        <is>
          <t>UX/UI 디자인 워크숍 with AI</t>
        </is>
      </c>
      <c r="B241" s="22" t="inlineStr">
        <is>
          <t>윤하린</t>
        </is>
      </c>
      <c r="C241" s="22" t="inlineStr">
        <is>
          <t>위키북스</t>
        </is>
      </c>
      <c r="D241" s="22" t="inlineStr">
        <is>
          <t>2025년 10월</t>
        </is>
      </c>
      <c r="E241" s="28" t="n">
        <v>25000</v>
      </c>
      <c r="F241" s="28" t="n">
        <v>22500</v>
      </c>
      <c r="G241" s="29" t="n">
        <v>0</v>
      </c>
      <c r="H241" s="29" t="n">
        <v>840</v>
      </c>
      <c r="I241" s="21" t="inlineStr">
        <is>
          <t>2025</t>
        </is>
      </c>
      <c r="J241" s="21" t="inlineStr">
        <is>
          <t xml:space="preserve"> 1</t>
        </is>
      </c>
      <c r="K241" s="30">
        <f>(E241-F241)/IF(E241&gt;0,E241,1)</f>
        <v/>
      </c>
    </row>
    <row r="242">
      <c r="A242" s="22" t="inlineStr">
        <is>
          <t>모두를 위한 진짜 쎈 바이브 코딩 with 인스타그램 클론 코딩</t>
        </is>
      </c>
      <c r="B242" s="22" t="inlineStr">
        <is>
          <t>전병우, 박윤철, 노마드코알라</t>
        </is>
      </c>
      <c r="C242" s="22" t="inlineStr">
        <is>
          <t>리코멘드</t>
        </is>
      </c>
      <c r="D242" s="22" t="inlineStr">
        <is>
          <t>2026년 04월</t>
        </is>
      </c>
      <c r="E242" s="28" t="n">
        <v>28000</v>
      </c>
      <c r="F242" s="28" t="n">
        <v>25200</v>
      </c>
      <c r="G242" s="29" t="n">
        <v>26</v>
      </c>
      <c r="H242" s="29" t="n">
        <v>930</v>
      </c>
      <c r="I242" s="21" t="inlineStr">
        <is>
          <t>2026</t>
        </is>
      </c>
      <c r="J242" s="21" t="inlineStr">
        <is>
          <t xml:space="preserve"> 0</t>
        </is>
      </c>
      <c r="K242" s="30">
        <f>(E242-F242)/IF(E242&gt;0,E242,1)</f>
        <v/>
      </c>
    </row>
    <row r="243">
      <c r="A243" s="22" t="inlineStr">
        <is>
          <t>딥러닝을 위한 선형대수학</t>
        </is>
      </c>
      <c r="B243" s="22" t="inlineStr">
        <is>
          <t>길버트 스트랭, 부산대학교 산업수학센터(FFMIMC)</t>
        </is>
      </c>
      <c r="C243" s="22" t="inlineStr">
        <is>
          <t>한빛아카데미</t>
        </is>
      </c>
      <c r="D243" s="22" t="inlineStr">
        <is>
          <t>2020년 08월</t>
        </is>
      </c>
      <c r="E243" s="28" t="n">
        <v>38000</v>
      </c>
      <c r="F243" s="28" t="n">
        <v>34200</v>
      </c>
      <c r="G243" s="29" t="n">
        <v>5</v>
      </c>
      <c r="H243" s="29" t="n">
        <v>1026</v>
      </c>
      <c r="I243" s="21" t="inlineStr">
        <is>
          <t>2020</t>
        </is>
      </c>
      <c r="J243" s="21" t="inlineStr">
        <is>
          <t xml:space="preserve"> 0</t>
        </is>
      </c>
      <c r="K243" s="30">
        <f>(E243-F243)/IF(E243&gt;0,E243,1)</f>
        <v/>
      </c>
    </row>
    <row r="244">
      <c r="A244" s="22" t="inlineStr">
        <is>
          <t>요즘 AI 에이전트 개발, LLM RAG ADK MCP LangChain A2A LangGraph</t>
        </is>
      </c>
      <c r="B244" s="22" t="inlineStr">
        <is>
          <t>박승규</t>
        </is>
      </c>
      <c r="C244" s="22" t="inlineStr">
        <is>
          <t>골든래빗</t>
        </is>
      </c>
      <c r="D244" s="22" t="inlineStr">
        <is>
          <t>2025년 08월</t>
        </is>
      </c>
      <c r="E244" s="28" t="n">
        <v>32000</v>
      </c>
      <c r="F244" s="28" t="n">
        <v>28800</v>
      </c>
      <c r="G244" s="29" t="n">
        <v>0</v>
      </c>
      <c r="H244" s="29" t="n">
        <v>8046</v>
      </c>
      <c r="I244" s="21" t="inlineStr">
        <is>
          <t>2025</t>
        </is>
      </c>
      <c r="J244" s="21" t="inlineStr">
        <is>
          <t xml:space="preserve"> 0</t>
        </is>
      </c>
      <c r="K244" s="30">
        <f>(E244-F244)/IF(E244&gt;0,E244,1)</f>
        <v/>
      </c>
    </row>
    <row r="245">
      <c r="A245" s="22" t="inlineStr">
        <is>
          <t>손에 잡히는 AI</t>
        </is>
      </c>
      <c r="B245" s="22" t="inlineStr">
        <is>
          <t>최원재</t>
        </is>
      </c>
      <c r="C245" s="22" t="inlineStr">
        <is>
          <t>정한책방</t>
        </is>
      </c>
      <c r="D245" s="22" t="inlineStr">
        <is>
          <t>2026년 03월</t>
        </is>
      </c>
      <c r="E245" s="28" t="n">
        <v>18000</v>
      </c>
      <c r="F245" s="28" t="n">
        <v>16200</v>
      </c>
      <c r="G245" s="29" t="n">
        <v>0</v>
      </c>
      <c r="H245" s="29" t="n">
        <v>696</v>
      </c>
      <c r="I245" s="21" t="inlineStr">
        <is>
          <t>2026</t>
        </is>
      </c>
      <c r="J245" s="21" t="inlineStr">
        <is>
          <t xml:space="preserve"> 0</t>
        </is>
      </c>
      <c r="K245" s="30">
        <f>(E245-F245)/IF(E245&gt;0,E245,1)</f>
        <v/>
      </c>
    </row>
    <row r="246">
      <c r="A246" s="22" t="inlineStr">
        <is>
          <t>나야, 구글 에듀테크. 질문이 답이 되는 제미나이 수업 솔루션</t>
        </is>
      </c>
      <c r="B246" s="22" t="inlineStr">
        <is>
          <t>장승아, 조원정</t>
        </is>
      </c>
      <c r="C246" s="22" t="inlineStr">
        <is>
          <t>위키북스</t>
        </is>
      </c>
      <c r="D246" s="22" t="inlineStr">
        <is>
          <t>2026년 03월</t>
        </is>
      </c>
      <c r="E246" s="28" t="n">
        <v>24000</v>
      </c>
      <c r="F246" s="28" t="n">
        <v>21600</v>
      </c>
      <c r="G246" s="29" t="n">
        <v>0</v>
      </c>
      <c r="H246" s="29" t="n">
        <v>885</v>
      </c>
      <c r="I246" s="21" t="inlineStr">
        <is>
          <t>2026</t>
        </is>
      </c>
      <c r="J246" s="21" t="inlineStr">
        <is>
          <t xml:space="preserve"> 0</t>
        </is>
      </c>
      <c r="K246" s="30">
        <f>(E246-F246)/IF(E246&gt;0,E246,1)</f>
        <v/>
      </c>
    </row>
    <row r="247">
      <c r="A247" s="22" t="inlineStr">
        <is>
          <t>AI 영화 제작</t>
        </is>
      </c>
      <c r="B247" s="22" t="inlineStr">
        <is>
          <t>민지영, 문수민, 전은재, 앤미디어</t>
        </is>
      </c>
      <c r="C247" s="22" t="inlineStr">
        <is>
          <t>길벗</t>
        </is>
      </c>
      <c r="D247" s="22" t="inlineStr">
        <is>
          <t>2024년 11월</t>
        </is>
      </c>
      <c r="E247" s="28" t="n">
        <v>27000</v>
      </c>
      <c r="F247" s="28" t="n">
        <v>24300</v>
      </c>
      <c r="G247" s="29" t="n">
        <v>84</v>
      </c>
      <c r="H247" s="29" t="n">
        <v>2844</v>
      </c>
      <c r="I247" s="21" t="inlineStr">
        <is>
          <t>2024</t>
        </is>
      </c>
      <c r="J247" s="21" t="inlineStr">
        <is>
          <t xml:space="preserve"> 1</t>
        </is>
      </c>
      <c r="K247" s="30">
        <f>(E247-F247)/IF(E247&gt;0,E247,1)</f>
        <v/>
      </c>
    </row>
    <row r="248">
      <c r="A248" s="22" t="inlineStr">
        <is>
          <t>AI 증강 독해와 AI 드리블링 바이블 심화·활용 편</t>
        </is>
      </c>
      <c r="B248" s="22" t="inlineStr">
        <is>
          <t>나준호, 성낙환, 이하영</t>
        </is>
      </c>
      <c r="C248" s="22" t="inlineStr">
        <is>
          <t>성안당</t>
        </is>
      </c>
      <c r="D248" s="22" t="inlineStr">
        <is>
          <t>2026년 05월</t>
        </is>
      </c>
      <c r="E248" s="28" t="n">
        <v>25000</v>
      </c>
      <c r="F248" s="28" t="n">
        <v>22500</v>
      </c>
      <c r="G248" s="29" t="n">
        <v>3</v>
      </c>
      <c r="H248" s="29" t="n">
        <v>498</v>
      </c>
      <c r="I248" s="21" t="inlineStr">
        <is>
          <t>2026</t>
        </is>
      </c>
      <c r="J248" s="21" t="inlineStr">
        <is>
          <t xml:space="preserve"> 0</t>
        </is>
      </c>
      <c r="K248" s="30">
        <f>(E248-F248)/IF(E248&gt;0,E248,1)</f>
        <v/>
      </c>
    </row>
    <row r="249">
      <c r="A249" s="22" t="inlineStr">
        <is>
          <t>다중 에이전트 시스템을 위한 컨텍스트 엔지니어링</t>
        </is>
      </c>
      <c r="B249" s="22" t="inlineStr">
        <is>
          <t>데니스 로스먼, 류광, 307번역랩</t>
        </is>
      </c>
      <c r="C249" s="22" t="inlineStr">
        <is>
          <t>위키아카데미</t>
        </is>
      </c>
      <c r="D249" s="22" t="inlineStr">
        <is>
          <t>2026년 06월</t>
        </is>
      </c>
      <c r="E249" s="28" t="n">
        <v>32000</v>
      </c>
      <c r="F249" s="28" t="n">
        <v>28800</v>
      </c>
      <c r="G249" s="29" t="n">
        <v>0</v>
      </c>
      <c r="H249" s="29" t="n">
        <v>120</v>
      </c>
      <c r="I249" s="21" t="inlineStr">
        <is>
          <t>2026</t>
        </is>
      </c>
      <c r="J249" s="21" t="inlineStr">
        <is>
          <t xml:space="preserve"> 0</t>
        </is>
      </c>
      <c r="K249" s="30">
        <f>(E249-F249)/IF(E249&gt;0,E249,1)</f>
        <v/>
      </c>
    </row>
    <row r="250">
      <c r="A250" s="22" t="inlineStr">
        <is>
          <t>AI 숏폼 동영상 구글 플로우 FLOW 비오3 VEO3 유튜브 쇼츠 인스타그램 릴스 틱톡 네이버 클립 인공지능 만들기 제작 책 학원강의 교재보다 좋은 USB 강좌 초보 교육 사용법</t>
        </is>
      </c>
      <c r="B250" s="22" t="n">
        <v/>
      </c>
      <c r="C250" s="22" t="inlineStr">
        <is>
          <t>액션미디어</t>
        </is>
      </c>
      <c r="D250" s="22" t="inlineStr">
        <is>
          <t>2026년 06월</t>
        </is>
      </c>
      <c r="E250" s="28" t="n">
        <v>39800</v>
      </c>
      <c r="F250" s="28" t="n">
        <v>39800</v>
      </c>
      <c r="G250" s="29" t="n">
        <v>0</v>
      </c>
      <c r="H250" s="29" t="n">
        <v>120</v>
      </c>
      <c r="I250" s="21" t="inlineStr">
        <is>
          <t>2026</t>
        </is>
      </c>
      <c r="J250" s="21" t="inlineStr">
        <is>
          <t xml:space="preserve"> 0</t>
        </is>
      </c>
      <c r="K250" s="30">
        <f>(E250-F250)/IF(E250&gt;0,E250,1)</f>
        <v/>
      </c>
    </row>
    <row r="251">
      <c r="A251" s="22" t="inlineStr">
        <is>
          <t>AI 탐구 수업</t>
        </is>
      </c>
      <c r="B251" s="22" t="inlineStr">
        <is>
          <t>정종수</t>
        </is>
      </c>
      <c r="C251" s="22" t="inlineStr">
        <is>
          <t>플루토</t>
        </is>
      </c>
      <c r="D251" s="22" t="inlineStr">
        <is>
          <t>2026년 05월</t>
        </is>
      </c>
      <c r="E251" s="28" t="n">
        <v>17000</v>
      </c>
      <c r="F251" s="28" t="n">
        <v>15300</v>
      </c>
      <c r="G251" s="29" t="n">
        <v>3</v>
      </c>
      <c r="H251" s="29" t="n">
        <v>489</v>
      </c>
      <c r="I251" s="21" t="inlineStr">
        <is>
          <t>2026</t>
        </is>
      </c>
      <c r="J251" s="21" t="inlineStr">
        <is>
          <t xml:space="preserve"> 0</t>
        </is>
      </c>
      <c r="K251" s="30">
        <f>(E251-F251)/IF(E251&gt;0,E251,1)</f>
        <v/>
      </c>
    </row>
    <row r="252">
      <c r="A252" s="22" t="inlineStr">
        <is>
          <t>IT 트렌드 2026</t>
        </is>
      </c>
      <c r="B252" s="22" t="inlineStr">
        <is>
          <t>김지현</t>
        </is>
      </c>
      <c r="C252" s="22" t="inlineStr">
        <is>
          <t>크레타</t>
        </is>
      </c>
      <c r="D252" s="22" t="inlineStr">
        <is>
          <t>2025년 10월</t>
        </is>
      </c>
      <c r="E252" s="28" t="n">
        <v>20000</v>
      </c>
      <c r="F252" s="28" t="n">
        <v>18000</v>
      </c>
      <c r="G252" s="29" t="n">
        <v>23</v>
      </c>
      <c r="H252" s="29" t="n">
        <v>2787</v>
      </c>
      <c r="I252" s="21" t="inlineStr">
        <is>
          <t>2025</t>
        </is>
      </c>
      <c r="J252" s="21" t="inlineStr">
        <is>
          <t xml:space="preserve"> 1</t>
        </is>
      </c>
      <c r="K252" s="30">
        <f>(E252-F252)/IF(E252&gt;0,E252,1)</f>
        <v/>
      </c>
    </row>
    <row r="253">
      <c r="A253" s="22" t="inlineStr">
        <is>
          <t>그림으로 이해하는 챗GPT 구조와 기술</t>
        </is>
      </c>
      <c r="B253" s="22" t="inlineStr">
        <is>
          <t>나카타니 슈요, 박광수</t>
        </is>
      </c>
      <c r="C253" s="22" t="inlineStr">
        <is>
          <t>길벗</t>
        </is>
      </c>
      <c r="D253" s="22" t="inlineStr">
        <is>
          <t>2025년 11월</t>
        </is>
      </c>
      <c r="E253" s="28" t="n">
        <v>24000</v>
      </c>
      <c r="F253" s="28" t="n">
        <v>21600</v>
      </c>
      <c r="G253" s="29" t="n">
        <v>19</v>
      </c>
      <c r="H253" s="29" t="n">
        <v>1524</v>
      </c>
      <c r="I253" s="21" t="inlineStr">
        <is>
          <t>2025</t>
        </is>
      </c>
      <c r="J253" s="21" t="inlineStr">
        <is>
          <t xml:space="preserve"> 1</t>
        </is>
      </c>
      <c r="K253" s="30">
        <f>(E253-F253)/IF(E253&gt;0,E253,1)</f>
        <v/>
      </c>
    </row>
    <row r="254">
      <c r="A254" s="22" t="inlineStr">
        <is>
          <t>생성형 AI 활용 백과사전</t>
        </is>
      </c>
      <c r="B254" s="22" t="inlineStr">
        <is>
          <t>다쿠치 카즈히로, 모리시마 료코, 이시타니 마사키, 서수환</t>
        </is>
      </c>
      <c r="C254" s="22" t="inlineStr">
        <is>
          <t>길벗</t>
        </is>
      </c>
      <c r="D254" s="22" t="inlineStr">
        <is>
          <t>2025년 06월</t>
        </is>
      </c>
      <c r="E254" s="28" t="n">
        <v>24000</v>
      </c>
      <c r="F254" s="28" t="n">
        <v>21600</v>
      </c>
      <c r="G254" s="29" t="n">
        <v>49</v>
      </c>
      <c r="H254" s="29" t="n">
        <v>5124</v>
      </c>
      <c r="I254" s="21" t="inlineStr">
        <is>
          <t>2025</t>
        </is>
      </c>
      <c r="J254" s="21" t="inlineStr">
        <is>
          <t xml:space="preserve"> 0</t>
        </is>
      </c>
      <c r="K254" s="30">
        <f>(E254-F254)/IF(E254&gt;0,E254,1)</f>
        <v/>
      </c>
    </row>
    <row r="255">
      <c r="A255" s="22" t="inlineStr">
        <is>
          <t>AI를 활용한 법률문서 작성법</t>
        </is>
      </c>
      <c r="B255" s="22" t="inlineStr">
        <is>
          <t>김종엽</t>
        </is>
      </c>
      <c r="C255" s="22" t="inlineStr">
        <is>
          <t>(주)박영사</t>
        </is>
      </c>
      <c r="D255" s="22" t="inlineStr">
        <is>
          <t>2025년 05월</t>
        </is>
      </c>
      <c r="E255" s="28" t="n">
        <v>27000</v>
      </c>
      <c r="F255" s="28" t="n">
        <v>27000</v>
      </c>
      <c r="G255" s="29" t="n">
        <v>6</v>
      </c>
      <c r="H255" s="29" t="n">
        <v>2304</v>
      </c>
      <c r="I255" s="21" t="inlineStr">
        <is>
          <t>2025</t>
        </is>
      </c>
      <c r="J255" s="21" t="inlineStr">
        <is>
          <t xml:space="preserve"> 0</t>
        </is>
      </c>
      <c r="K255" s="30">
        <f>(E255-F255)/IF(E255&gt;0,E255,1)</f>
        <v/>
      </c>
    </row>
    <row r="256">
      <c r="A256" s="22" t="inlineStr">
        <is>
          <t>한 걸음 앞선 일잘러가 지금 꼭 알아야 할 바이브 코딩 with 커서</t>
        </is>
      </c>
      <c r="B256" s="22" t="inlineStr">
        <is>
          <t>김태헌</t>
        </is>
      </c>
      <c r="C256" s="22" t="inlineStr">
        <is>
          <t>길벗</t>
        </is>
      </c>
      <c r="D256" s="22" t="inlineStr">
        <is>
          <t>2026년 02월</t>
        </is>
      </c>
      <c r="E256" s="28" t="n">
        <v>30000</v>
      </c>
      <c r="F256" s="28" t="n">
        <v>27000</v>
      </c>
      <c r="G256" s="29" t="n">
        <v>14</v>
      </c>
      <c r="H256" s="29" t="n">
        <v>1326</v>
      </c>
      <c r="I256" s="21" t="inlineStr">
        <is>
          <t>2026</t>
        </is>
      </c>
      <c r="J256" s="21" t="inlineStr">
        <is>
          <t xml:space="preserve"> 0</t>
        </is>
      </c>
      <c r="K256" s="30">
        <f>(E256-F256)/IF(E256&gt;0,E256,1)</f>
        <v/>
      </c>
    </row>
    <row r="257">
      <c r="A257" s="22" t="inlineStr">
        <is>
          <t>정말 쉽네? 챗GPT 입문</t>
        </is>
      </c>
      <c r="B257" s="22" t="inlineStr">
        <is>
          <t>오힘찬</t>
        </is>
      </c>
      <c r="C257" s="22" t="inlineStr">
        <is>
          <t>골든래빗</t>
        </is>
      </c>
      <c r="D257" s="22" t="inlineStr">
        <is>
          <t>2024년 10월</t>
        </is>
      </c>
      <c r="E257" s="28" t="n">
        <v>22000</v>
      </c>
      <c r="F257" s="28" t="n">
        <v>19800</v>
      </c>
      <c r="G257" s="29" t="n">
        <v>149</v>
      </c>
      <c r="H257" s="29" t="n">
        <v>2418</v>
      </c>
      <c r="I257" s="21" t="inlineStr">
        <is>
          <t>2024</t>
        </is>
      </c>
      <c r="J257" s="21" t="inlineStr">
        <is>
          <t xml:space="preserve"> 1</t>
        </is>
      </c>
      <c r="K257" s="30">
        <f>(E257-F257)/IF(E257&gt;0,E257,1)</f>
        <v/>
      </c>
    </row>
    <row r="258">
      <c r="A258" s="22" t="inlineStr">
        <is>
          <t>AX 100배의 법칙</t>
        </is>
      </c>
      <c r="B258" s="22" t="inlineStr">
        <is>
          <t>황재선</t>
        </is>
      </c>
      <c r="C258" s="22" t="inlineStr">
        <is>
          <t>좋은습관연구소</t>
        </is>
      </c>
      <c r="D258" s="22" t="inlineStr">
        <is>
          <t>2025년 06월</t>
        </is>
      </c>
      <c r="E258" s="28" t="n">
        <v>25000</v>
      </c>
      <c r="F258" s="28" t="n">
        <v>22500</v>
      </c>
      <c r="G258" s="29" t="n">
        <v>4</v>
      </c>
      <c r="H258" s="29" t="n">
        <v>3252</v>
      </c>
      <c r="I258" s="21" t="inlineStr">
        <is>
          <t>2025</t>
        </is>
      </c>
      <c r="J258" s="21" t="inlineStr">
        <is>
          <t xml:space="preserve"> 0</t>
        </is>
      </c>
      <c r="K258" s="30">
        <f>(E258-F258)/IF(E258&gt;0,E258,1)</f>
        <v/>
      </c>
    </row>
    <row r="259">
      <c r="A259" s="22" t="inlineStr">
        <is>
          <t>AI로 일하는 기술</t>
        </is>
      </c>
      <c r="B259" s="22" t="inlineStr">
        <is>
          <t>장동인</t>
        </is>
      </c>
      <c r="C259" s="22" t="inlineStr">
        <is>
          <t>한빛미디어</t>
        </is>
      </c>
      <c r="D259" s="22" t="inlineStr">
        <is>
          <t>2022년 01월</t>
        </is>
      </c>
      <c r="E259" s="28" t="n">
        <v>18000</v>
      </c>
      <c r="F259" s="28" t="n">
        <v>16200</v>
      </c>
      <c r="G259" s="29" t="n">
        <v>32</v>
      </c>
      <c r="H259" s="29" t="n">
        <v>1032</v>
      </c>
      <c r="I259" s="21" t="inlineStr">
        <is>
          <t>2022</t>
        </is>
      </c>
      <c r="J259" s="21" t="inlineStr">
        <is>
          <t xml:space="preserve"> 0</t>
        </is>
      </c>
      <c r="K259" s="30">
        <f>(E259-F259)/IF(E259&gt;0,E259,1)</f>
        <v/>
      </c>
    </row>
    <row r="260">
      <c r="A260" s="22" t="inlineStr">
        <is>
          <t>LLM 엔지니어링</t>
        </is>
      </c>
      <c r="B260" s="22" t="inlineStr">
        <is>
          <t>폴 이우수틴, 막심 라본, 조우철</t>
        </is>
      </c>
      <c r="C260" s="22" t="inlineStr">
        <is>
          <t>한빛미디어</t>
        </is>
      </c>
      <c r="D260" s="22" t="inlineStr">
        <is>
          <t>2025년 05월</t>
        </is>
      </c>
      <c r="E260" s="28" t="n">
        <v>38000</v>
      </c>
      <c r="F260" s="28" t="n">
        <v>34200</v>
      </c>
      <c r="G260" s="29" t="n">
        <v>18</v>
      </c>
      <c r="H260" s="29" t="n">
        <v>1998</v>
      </c>
      <c r="I260" s="21" t="inlineStr">
        <is>
          <t>2025</t>
        </is>
      </c>
      <c r="J260" s="21" t="inlineStr">
        <is>
          <t xml:space="preserve"> 0</t>
        </is>
      </c>
      <c r="K260" s="30">
        <f>(E260-F260)/IF(E260&gt;0,E260,1)</f>
        <v/>
      </c>
    </row>
    <row r="261">
      <c r="A261" s="22" t="inlineStr">
        <is>
          <t>올라마와 오픈소스 LLM을 활용한 AI 에이전트 개발 입문</t>
        </is>
      </c>
      <c r="B261" s="22" t="inlineStr">
        <is>
          <t>서영배, 김병규, 임재봉</t>
        </is>
      </c>
      <c r="C261" s="22" t="inlineStr">
        <is>
          <t>위키북스</t>
        </is>
      </c>
      <c r="D261" s="22" t="inlineStr">
        <is>
          <t>2026년 01월</t>
        </is>
      </c>
      <c r="E261" s="28" t="n">
        <v>28000</v>
      </c>
      <c r="F261" s="28" t="n">
        <v>25200</v>
      </c>
      <c r="G261" s="29" t="n">
        <v>2</v>
      </c>
      <c r="H261" s="29" t="n">
        <v>2109</v>
      </c>
      <c r="I261" s="21" t="inlineStr">
        <is>
          <t>2026</t>
        </is>
      </c>
      <c r="J261" s="21" t="inlineStr">
        <is>
          <t xml:space="preserve"> 0</t>
        </is>
      </c>
      <c r="K261" s="30">
        <f>(E261-F261)/IF(E261&gt;0,E261,1)</f>
        <v/>
      </c>
    </row>
    <row r="262">
      <c r="A262" s="22" t="inlineStr">
        <is>
          <t>벡터 데이터베이스 설계와 구축</t>
        </is>
      </c>
      <c r="B262" s="22" t="inlineStr">
        <is>
          <t>송한림</t>
        </is>
      </c>
      <c r="C262" s="22" t="inlineStr">
        <is>
          <t>아이리포</t>
        </is>
      </c>
      <c r="D262" s="22" t="inlineStr">
        <is>
          <t>2025년 03월</t>
        </is>
      </c>
      <c r="E262" s="28" t="n">
        <v>17800</v>
      </c>
      <c r="F262" s="28" t="n">
        <v>16020</v>
      </c>
      <c r="G262" s="29" t="n">
        <v>7</v>
      </c>
      <c r="H262" s="29" t="n">
        <v>3150</v>
      </c>
      <c r="I262" s="21" t="inlineStr">
        <is>
          <t>2025</t>
        </is>
      </c>
      <c r="J262" s="21" t="inlineStr">
        <is>
          <t xml:space="preserve"> 0</t>
        </is>
      </c>
      <c r="K262" s="30">
        <f>(E262-F262)/IF(E262&gt;0,E262,1)</f>
        <v/>
      </c>
    </row>
    <row r="263">
      <c r="A263" s="22" t="inlineStr">
        <is>
          <t>최고의 프롬프트 엔지니어링 강의</t>
        </is>
      </c>
      <c r="B263" s="22" t="inlineStr">
        <is>
          <t>김진중</t>
        </is>
      </c>
      <c r="C263" s="22" t="inlineStr">
        <is>
          <t>리코멘드</t>
        </is>
      </c>
      <c r="D263" s="22" t="inlineStr">
        <is>
          <t>2024년 06월</t>
        </is>
      </c>
      <c r="E263" s="28" t="n">
        <v>24000</v>
      </c>
      <c r="F263" s="28" t="n">
        <v>21600</v>
      </c>
      <c r="G263" s="29" t="n">
        <v>18</v>
      </c>
      <c r="H263" s="29" t="n">
        <v>1944</v>
      </c>
      <c r="I263" s="21" t="inlineStr">
        <is>
          <t>2024</t>
        </is>
      </c>
      <c r="J263" s="21" t="inlineStr">
        <is>
          <t xml:space="preserve"> 0</t>
        </is>
      </c>
      <c r="K263" s="30">
        <f>(E263-F263)/IF(E263&gt;0,E263,1)</f>
        <v/>
      </c>
    </row>
    <row r="264">
      <c r="A264" s="22" t="inlineStr">
        <is>
          <t>월 20달러로 고용하는 AI 변호사 with 챗GPT</t>
        </is>
      </c>
      <c r="B264" s="22" t="inlineStr">
        <is>
          <t>김덕은</t>
        </is>
      </c>
      <c r="C264" s="22" t="inlineStr">
        <is>
          <t>한빛미디어</t>
        </is>
      </c>
      <c r="D264" s="22" t="inlineStr">
        <is>
          <t>2024년 07월</t>
        </is>
      </c>
      <c r="E264" s="28" t="n">
        <v>22000</v>
      </c>
      <c r="F264" s="28" t="n">
        <v>19800</v>
      </c>
      <c r="G264" s="29" t="n">
        <v>30</v>
      </c>
      <c r="H264" s="29" t="n">
        <v>816</v>
      </c>
      <c r="I264" s="21" t="inlineStr">
        <is>
          <t>2024</t>
        </is>
      </c>
      <c r="J264" s="21" t="inlineStr">
        <is>
          <t xml:space="preserve"> 0</t>
        </is>
      </c>
      <c r="K264" s="30">
        <f>(E264-F264)/IF(E264&gt;0,E264,1)</f>
        <v/>
      </c>
    </row>
    <row r="265">
      <c r="A265" s="22" t="inlineStr">
        <is>
          <t>학업과 취업을 위한 제미나이 노트북LM으로 무엇이든 만들 수 있다</t>
        </is>
      </c>
      <c r="B265" s="22" t="inlineStr">
        <is>
          <t>전다희, 황우현</t>
        </is>
      </c>
      <c r="C265" s="22" t="inlineStr">
        <is>
          <t>광문각출판미디어</t>
        </is>
      </c>
      <c r="D265" s="22" t="inlineStr">
        <is>
          <t>2026년 02월</t>
        </is>
      </c>
      <c r="E265" s="28" t="n">
        <v>22000</v>
      </c>
      <c r="F265" s="28" t="n">
        <v>22000</v>
      </c>
      <c r="G265" s="29" t="n">
        <v>15</v>
      </c>
      <c r="H265" s="29" t="n">
        <v>564</v>
      </c>
      <c r="I265" s="21" t="inlineStr">
        <is>
          <t>2026</t>
        </is>
      </c>
      <c r="J265" s="21" t="inlineStr">
        <is>
          <t xml:space="preserve"> 0</t>
        </is>
      </c>
      <c r="K265" s="30">
        <f>(E265-F265)/IF(E265&gt;0,E265,1)</f>
        <v/>
      </c>
    </row>
    <row r="266">
      <c r="A266" s="22" t="inlineStr">
        <is>
          <t>Dify, 코딩 없이 AI 앱 개발의 시작</t>
        </is>
      </c>
      <c r="B266" s="22" t="inlineStr">
        <is>
          <t>멀티코어, 조준희, 강장묵, 이상한, 윤철희</t>
        </is>
      </c>
      <c r="C266" s="22" t="inlineStr">
        <is>
          <t>프리렉</t>
        </is>
      </c>
      <c r="D266" s="22" t="inlineStr">
        <is>
          <t>2025년 12월</t>
        </is>
      </c>
      <c r="E266" s="28" t="n">
        <v>25000</v>
      </c>
      <c r="F266" s="28" t="n">
        <v>22500</v>
      </c>
      <c r="G266" s="29" t="n">
        <v>4</v>
      </c>
      <c r="H266" s="29" t="n">
        <v>660</v>
      </c>
      <c r="I266" s="21" t="inlineStr">
        <is>
          <t>2025</t>
        </is>
      </c>
      <c r="J266" s="21" t="inlineStr">
        <is>
          <t xml:space="preserve"> 1</t>
        </is>
      </c>
      <c r="K266" s="30">
        <f>(E266-F266)/IF(E266&gt;0,E266,1)</f>
        <v/>
      </c>
    </row>
    <row r="267">
      <c r="A267" s="22" t="inlineStr">
        <is>
          <t>견고한 데이터 엔지니어링</t>
        </is>
      </c>
      <c r="B267" s="22" t="inlineStr">
        <is>
          <t>조 라이스, 맷 하우슬리, 김인범</t>
        </is>
      </c>
      <c r="C267" s="22" t="inlineStr">
        <is>
          <t>한빛미디어</t>
        </is>
      </c>
      <c r="D267" s="22" t="inlineStr">
        <is>
          <t>2023년 06월</t>
        </is>
      </c>
      <c r="E267" s="28" t="n">
        <v>38000</v>
      </c>
      <c r="F267" s="28" t="n">
        <v>34200</v>
      </c>
      <c r="G267" s="29" t="n">
        <v>39</v>
      </c>
      <c r="H267" s="29" t="n">
        <v>1830</v>
      </c>
      <c r="I267" s="21" t="inlineStr">
        <is>
          <t>2023</t>
        </is>
      </c>
      <c r="J267" s="21" t="inlineStr">
        <is>
          <t xml:space="preserve"> 0</t>
        </is>
      </c>
      <c r="K267" s="30">
        <f>(E267-F267)/IF(E267&gt;0,E267,1)</f>
        <v/>
      </c>
    </row>
    <row r="268">
      <c r="A268" s="22" t="inlineStr">
        <is>
          <t>비개발자도 클로드 코드로 쉽게 만드는 AI 웹 서비스</t>
        </is>
      </c>
      <c r="B268" s="22" t="inlineStr">
        <is>
          <t>최원재</t>
        </is>
      </c>
      <c r="C268" s="22" t="inlineStr">
        <is>
          <t>위즈앤북</t>
        </is>
      </c>
      <c r="D268" s="22" t="inlineStr">
        <is>
          <t>2026년 05월</t>
        </is>
      </c>
      <c r="E268" s="28" t="n">
        <v>25000</v>
      </c>
      <c r="F268" s="28" t="n">
        <v>22500</v>
      </c>
      <c r="G268" s="29" t="n">
        <v>0</v>
      </c>
      <c r="H268" s="29" t="n">
        <v>522</v>
      </c>
      <c r="I268" s="21" t="inlineStr">
        <is>
          <t>2026</t>
        </is>
      </c>
      <c r="J268" s="21" t="inlineStr">
        <is>
          <t xml:space="preserve"> 0</t>
        </is>
      </c>
      <c r="K268" s="30">
        <f>(E268-F268)/IF(E268&gt;0,E268,1)</f>
        <v/>
      </c>
    </row>
    <row r="269">
      <c r="A269" s="22" t="inlineStr">
        <is>
          <t>이게 되네? 나노바나나 AI 비포&amp;애프터 미친 활용법 71제</t>
        </is>
      </c>
      <c r="B269" s="22" t="inlineStr">
        <is>
          <t>쌩초</t>
        </is>
      </c>
      <c r="C269" s="22" t="inlineStr">
        <is>
          <t>골든래빗</t>
        </is>
      </c>
      <c r="D269" s="22" t="inlineStr">
        <is>
          <t>2025년 12월</t>
        </is>
      </c>
      <c r="E269" s="28" t="n">
        <v>18800</v>
      </c>
      <c r="F269" s="28" t="n">
        <v>16920</v>
      </c>
      <c r="G269" s="29" t="n">
        <v>88</v>
      </c>
      <c r="H269" s="29" t="n">
        <v>13344</v>
      </c>
      <c r="I269" s="21" t="inlineStr">
        <is>
          <t>2025</t>
        </is>
      </c>
      <c r="J269" s="21" t="inlineStr">
        <is>
          <t xml:space="preserve"> 1</t>
        </is>
      </c>
      <c r="K269" s="30">
        <f>(E269-F269)/IF(E269&gt;0,E269,1)</f>
        <v/>
      </c>
    </row>
    <row r="270">
      <c r="A270" s="22" t="inlineStr">
        <is>
          <t>된다! 하루 만에 만드는 AI 사진 &amp; 이미지</t>
        </is>
      </c>
      <c r="B270" s="22" t="inlineStr">
        <is>
          <t>김원석</t>
        </is>
      </c>
      <c r="C270" s="22" t="inlineStr">
        <is>
          <t>이지스퍼블리싱</t>
        </is>
      </c>
      <c r="D270" s="22" t="inlineStr">
        <is>
          <t>2025년 08월</t>
        </is>
      </c>
      <c r="E270" s="28" t="n">
        <v>17800</v>
      </c>
      <c r="F270" s="28" t="n">
        <v>16020</v>
      </c>
      <c r="G270" s="29" t="n">
        <v>40</v>
      </c>
      <c r="H270" s="29" t="n">
        <v>3912</v>
      </c>
      <c r="I270" s="21" t="inlineStr">
        <is>
          <t>2025</t>
        </is>
      </c>
      <c r="J270" s="21" t="inlineStr">
        <is>
          <t xml:space="preserve"> 0</t>
        </is>
      </c>
      <c r="K270" s="30">
        <f>(E270-F270)/IF(E270&gt;0,E270,1)</f>
        <v/>
      </c>
    </row>
    <row r="271">
      <c r="A271" s="22" t="inlineStr">
        <is>
          <t>파인만의 컴퓨터 강의</t>
        </is>
      </c>
      <c r="B271" s="22" t="inlineStr">
        <is>
          <t>리처드 파인만, 토니 헤이, 서환수</t>
        </is>
      </c>
      <c r="C271" s="22" t="inlineStr">
        <is>
          <t>한빛미디어</t>
        </is>
      </c>
      <c r="D271" s="22" t="inlineStr">
        <is>
          <t>2025년 06월</t>
        </is>
      </c>
      <c r="E271" s="28" t="n">
        <v>29000</v>
      </c>
      <c r="F271" s="28" t="n">
        <v>26100</v>
      </c>
      <c r="G271" s="29" t="n">
        <v>9</v>
      </c>
      <c r="H271" s="29" t="n">
        <v>2634</v>
      </c>
      <c r="I271" s="21" t="inlineStr">
        <is>
          <t>2025</t>
        </is>
      </c>
      <c r="J271" s="21" t="inlineStr">
        <is>
          <t xml:space="preserve"> 0</t>
        </is>
      </c>
      <c r="K271" s="30">
        <f>(E271-F271)/IF(E271&gt;0,E271,1)</f>
        <v/>
      </c>
    </row>
    <row r="272">
      <c r="A272" s="22" t="inlineStr">
        <is>
          <t>한 권으로 끝내는 AI 자동화</t>
        </is>
      </c>
      <c r="B272" s="22" t="inlineStr">
        <is>
          <t>최재용, 이요셉, 이신우, 최금선, 박경희, 정보 더 보기/감추기, 최재용, 이요셉, 이신우, 최금선, 박경희, 유미경, 한주은, 오영주, 정은진, 김진수</t>
        </is>
      </c>
      <c r="C272" s="22" t="inlineStr">
        <is>
          <t>두온교육(주)</t>
        </is>
      </c>
      <c r="D272" s="22" t="inlineStr">
        <is>
          <t>2026년 05월</t>
        </is>
      </c>
      <c r="E272" s="28" t="n">
        <v>22000</v>
      </c>
      <c r="F272" s="28" t="n">
        <v>19800</v>
      </c>
      <c r="G272" s="29" t="n">
        <v>0</v>
      </c>
      <c r="H272" s="29" t="n">
        <v>246</v>
      </c>
      <c r="I272" s="21" t="inlineStr">
        <is>
          <t>2026</t>
        </is>
      </c>
      <c r="J272" s="21" t="inlineStr">
        <is>
          <t xml:space="preserve"> 0</t>
        </is>
      </c>
      <c r="K272" s="30">
        <f>(E272-F272)/IF(E272&gt;0,E272,1)</f>
        <v/>
      </c>
    </row>
    <row r="273">
      <c r="A273" s="22" t="inlineStr">
        <is>
          <t>AI 시대 엄마가 먼저 알아야 할 최상위 공부법</t>
        </is>
      </c>
      <c r="B273" s="22" t="inlineStr">
        <is>
          <t>오주연, 김지예, 김현아</t>
        </is>
      </c>
      <c r="C273" s="22" t="inlineStr">
        <is>
          <t>한빛비즈</t>
        </is>
      </c>
      <c r="D273" s="22" t="inlineStr">
        <is>
          <t>2026년 03월</t>
        </is>
      </c>
      <c r="E273" s="28" t="n">
        <v>22000</v>
      </c>
      <c r="F273" s="28" t="n">
        <v>19800</v>
      </c>
      <c r="G273" s="29" t="n">
        <v>16</v>
      </c>
      <c r="H273" s="29" t="n">
        <v>1242</v>
      </c>
      <c r="I273" s="21" t="inlineStr">
        <is>
          <t>2026</t>
        </is>
      </c>
      <c r="J273" s="21" t="inlineStr">
        <is>
          <t xml:space="preserve"> 0</t>
        </is>
      </c>
      <c r="K273" s="30">
        <f>(E273-F273)/IF(E273&gt;0,E273,1)</f>
        <v/>
      </c>
    </row>
    <row r="274">
      <c r="A274" s="22" t="inlineStr">
        <is>
          <t>밑바닥부터 시작하는 딥러닝 4</t>
        </is>
      </c>
      <c r="B274" s="22" t="inlineStr">
        <is>
          <t>사이토 고키, 개앞맵시</t>
        </is>
      </c>
      <c r="C274" s="22" t="inlineStr">
        <is>
          <t>한빛미디어</t>
        </is>
      </c>
      <c r="D274" s="22" t="inlineStr">
        <is>
          <t>2024년 01월</t>
        </is>
      </c>
      <c r="E274" s="28" t="n">
        <v>30000</v>
      </c>
      <c r="F274" s="28" t="n">
        <v>27000</v>
      </c>
      <c r="G274" s="29" t="n">
        <v>13</v>
      </c>
      <c r="H274" s="29" t="n">
        <v>2316</v>
      </c>
      <c r="I274" s="21" t="inlineStr">
        <is>
          <t>2024</t>
        </is>
      </c>
      <c r="J274" s="21" t="inlineStr">
        <is>
          <t xml:space="preserve"> 0</t>
        </is>
      </c>
      <c r="K274" s="30">
        <f>(E274-F274)/IF(E274&gt;0,E274,1)</f>
        <v/>
      </c>
    </row>
    <row r="275">
      <c r="A275" s="22" t="inlineStr">
        <is>
          <t>나만의 MCP 서버 만들기 with 커서 AI</t>
        </is>
      </c>
      <c r="B275" s="22" t="inlineStr">
        <is>
          <t>서지영</t>
        </is>
      </c>
      <c r="C275" s="22" t="inlineStr">
        <is>
          <t>길벗</t>
        </is>
      </c>
      <c r="D275" s="22" t="inlineStr">
        <is>
          <t>2025년 07월</t>
        </is>
      </c>
      <c r="E275" s="28" t="n">
        <v>24000</v>
      </c>
      <c r="F275" s="28" t="n">
        <v>21600</v>
      </c>
      <c r="G275" s="29" t="n">
        <v>18</v>
      </c>
      <c r="H275" s="29" t="n">
        <v>5784</v>
      </c>
      <c r="I275" s="21" t="inlineStr">
        <is>
          <t>2025</t>
        </is>
      </c>
      <c r="J275" s="21" t="inlineStr">
        <is>
          <t xml:space="preserve"> 0</t>
        </is>
      </c>
      <c r="K275" s="30">
        <f>(E275-F275)/IF(E275&gt;0,E275,1)</f>
        <v/>
      </c>
    </row>
    <row r="276">
      <c r="A276" s="22" t="inlineStr">
        <is>
          <t>AI로 이미지, 영상, 음악 한 번에 끝내기</t>
        </is>
      </c>
      <c r="B276" s="22" t="inlineStr">
        <is>
          <t>이현</t>
        </is>
      </c>
      <c r="C276" s="22" t="inlineStr">
        <is>
          <t>천그루숲</t>
        </is>
      </c>
      <c r="D276" s="22" t="inlineStr">
        <is>
          <t>2024년 11월</t>
        </is>
      </c>
      <c r="E276" s="28" t="n">
        <v>18000</v>
      </c>
      <c r="F276" s="28" t="n">
        <v>16200</v>
      </c>
      <c r="G276" s="29" t="n">
        <v>14</v>
      </c>
      <c r="H276" s="29" t="n">
        <v>1098</v>
      </c>
      <c r="I276" s="21" t="inlineStr">
        <is>
          <t>2024</t>
        </is>
      </c>
      <c r="J276" s="21" t="inlineStr">
        <is>
          <t xml:space="preserve"> 1</t>
        </is>
      </c>
      <c r="K276" s="30">
        <f>(E276-F276)/IF(E276&gt;0,E276,1)</f>
        <v/>
      </c>
    </row>
    <row r="277">
      <c r="A277" s="22" t="inlineStr">
        <is>
          <t>코드팩토리의 플러터 프로그래밍 (3판)</t>
        </is>
      </c>
      <c r="B277" s="22" t="inlineStr">
        <is>
          <t>최지호</t>
        </is>
      </c>
      <c r="C277" s="22" t="inlineStr">
        <is>
          <t>골든래빗</t>
        </is>
      </c>
      <c r="D277" s="22" t="inlineStr">
        <is>
          <t>2025년 01월</t>
        </is>
      </c>
      <c r="E277" s="28" t="n">
        <v>44000</v>
      </c>
      <c r="F277" s="28" t="n">
        <v>39600</v>
      </c>
      <c r="G277" s="29" t="n">
        <v>4</v>
      </c>
      <c r="H277" s="29" t="n">
        <v>2052</v>
      </c>
      <c r="I277" s="21" t="inlineStr">
        <is>
          <t>2025</t>
        </is>
      </c>
      <c r="J277" s="21" t="inlineStr">
        <is>
          <t xml:space="preserve"> 0</t>
        </is>
      </c>
      <c r="K277" s="30">
        <f>(E277-F277)/IF(E277&gt;0,E277,1)</f>
        <v/>
      </c>
    </row>
    <row r="278">
      <c r="A278" s="22" t="inlineStr">
        <is>
          <t>기계는 어떻게 생각하는가? (리커버판)</t>
        </is>
      </c>
      <c r="B278" s="22" t="inlineStr">
        <is>
          <t>숀 게리시, 이수겸</t>
        </is>
      </c>
      <c r="C278" s="22" t="inlineStr">
        <is>
          <t>이지스퍼블리싱</t>
        </is>
      </c>
      <c r="D278" s="22" t="inlineStr">
        <is>
          <t>2024년 05월</t>
        </is>
      </c>
      <c r="E278" s="28" t="n">
        <v>18000</v>
      </c>
      <c r="F278" s="28" t="n">
        <v>16200</v>
      </c>
      <c r="G278" s="29" t="n">
        <v>28</v>
      </c>
      <c r="H278" s="29" t="n">
        <v>1026</v>
      </c>
      <c r="I278" s="21" t="inlineStr">
        <is>
          <t>2024</t>
        </is>
      </c>
      <c r="J278" s="21" t="inlineStr">
        <is>
          <t xml:space="preserve"> 0</t>
        </is>
      </c>
      <c r="K278" s="30">
        <f>(E278-F278)/IF(E278&gt;0,E278,1)</f>
        <v/>
      </c>
    </row>
    <row r="279">
      <c r="A279" s="22" t="inlineStr">
        <is>
          <t>AI시대, 스토리텔링의 재탄생</t>
        </is>
      </c>
      <c r="B279" s="22" t="inlineStr">
        <is>
          <t>김태원</t>
        </is>
      </c>
      <c r="C279" s="22" t="inlineStr">
        <is>
          <t>파람북</t>
        </is>
      </c>
      <c r="D279" s="22" t="inlineStr">
        <is>
          <t>2026년 04월</t>
        </is>
      </c>
      <c r="E279" s="28" t="n">
        <v>19000</v>
      </c>
      <c r="F279" s="28" t="n">
        <v>17100</v>
      </c>
      <c r="G279" s="29" t="n">
        <v>2</v>
      </c>
      <c r="H279" s="29" t="n">
        <v>822</v>
      </c>
      <c r="I279" s="21" t="inlineStr">
        <is>
          <t>2026</t>
        </is>
      </c>
      <c r="J279" s="21" t="inlineStr">
        <is>
          <t xml:space="preserve"> 0</t>
        </is>
      </c>
      <c r="K279" s="30">
        <f>(E279-F279)/IF(E279&gt;0,E279,1)</f>
        <v/>
      </c>
    </row>
    <row r="280">
      <c r="A280" s="22" t="inlineStr">
        <is>
          <t>Vertex AI와 Gemini로 시작하는  생성형 AI 실전 개발</t>
        </is>
      </c>
      <c r="B280" s="22" t="inlineStr">
        <is>
          <t>김민형</t>
        </is>
      </c>
      <c r="C280" s="22" t="inlineStr">
        <is>
          <t>디지털북스</t>
        </is>
      </c>
      <c r="D280" s="22" t="inlineStr">
        <is>
          <t>2026년 04월</t>
        </is>
      </c>
      <c r="E280" s="28" t="n">
        <v>32000</v>
      </c>
      <c r="F280" s="28" t="n">
        <v>28800</v>
      </c>
      <c r="G280" s="29" t="n">
        <v>0</v>
      </c>
      <c r="H280" s="29" t="n">
        <v>840</v>
      </c>
      <c r="I280" s="21" t="inlineStr">
        <is>
          <t>2026</t>
        </is>
      </c>
      <c r="J280" s="21" t="inlineStr">
        <is>
          <t xml:space="preserve"> 0</t>
        </is>
      </c>
      <c r="K280" s="30">
        <f>(E280-F280)/IF(E280&gt;0,E280,1)</f>
        <v/>
      </c>
    </row>
    <row r="281">
      <c r="A281" s="22" t="inlineStr">
        <is>
          <t>처음 배우는 딥러닝 수학</t>
        </is>
      </c>
      <c r="B281" s="22" t="inlineStr">
        <is>
          <t>와쿠이 사다미, 와쿠이 요시유키, 박광수</t>
        </is>
      </c>
      <c r="C281" s="22" t="inlineStr">
        <is>
          <t>한빛미디어</t>
        </is>
      </c>
      <c r="D281" s="22" t="inlineStr">
        <is>
          <t>2018년 02월</t>
        </is>
      </c>
      <c r="E281" s="28" t="n">
        <v>25000</v>
      </c>
      <c r="F281" s="28" t="n">
        <v>22500</v>
      </c>
      <c r="G281" s="29" t="n">
        <v>15</v>
      </c>
      <c r="H281" s="29" t="n">
        <v>522</v>
      </c>
      <c r="I281" s="21" t="inlineStr">
        <is>
          <t>2018</t>
        </is>
      </c>
      <c r="J281" s="21" t="inlineStr">
        <is>
          <t xml:space="preserve"> 0</t>
        </is>
      </c>
      <c r="K281" s="30">
        <f>(E281-F281)/IF(E281&gt;0,E281,1)</f>
        <v/>
      </c>
    </row>
    <row r="282">
      <c r="A282" s="22" t="inlineStr">
        <is>
          <t>프롬프트 엔지니어링</t>
        </is>
      </c>
      <c r="B282" s="22" t="inlineStr">
        <is>
          <t>반병현</t>
        </is>
      </c>
      <c r="C282" s="22" t="inlineStr">
        <is>
          <t>생능북스</t>
        </is>
      </c>
      <c r="D282" s="22" t="inlineStr">
        <is>
          <t>2025년 09월</t>
        </is>
      </c>
      <c r="E282" s="28" t="n">
        <v>25000</v>
      </c>
      <c r="F282" s="28" t="n">
        <v>22500</v>
      </c>
      <c r="G282" s="29" t="n">
        <v>0</v>
      </c>
      <c r="H282" s="29" t="n">
        <v>1014</v>
      </c>
      <c r="I282" s="21" t="inlineStr">
        <is>
          <t>2025</t>
        </is>
      </c>
      <c r="J282" s="21" t="inlineStr">
        <is>
          <t xml:space="preserve"> 0</t>
        </is>
      </c>
      <c r="K282" s="30">
        <f>(E282-F282)/IF(E282&gt;0,E282,1)</f>
        <v/>
      </c>
    </row>
    <row r="283">
      <c r="A283" s="22" t="inlineStr">
        <is>
          <t>팔리는 블로그 &amp; SNS 글쓰기 with 챗GPT</t>
        </is>
      </c>
      <c r="B283" s="22" t="inlineStr">
        <is>
          <t>홍순성</t>
        </is>
      </c>
      <c r="C283" s="22" t="inlineStr">
        <is>
          <t>한빛미디어</t>
        </is>
      </c>
      <c r="D283" s="22" t="inlineStr">
        <is>
          <t>2025년 12월</t>
        </is>
      </c>
      <c r="E283" s="28" t="n">
        <v>25000</v>
      </c>
      <c r="F283" s="28" t="n">
        <v>22500</v>
      </c>
      <c r="G283" s="29" t="n">
        <v>12</v>
      </c>
      <c r="H283" s="29" t="n">
        <v>1908</v>
      </c>
      <c r="I283" s="21" t="inlineStr">
        <is>
          <t>2025</t>
        </is>
      </c>
      <c r="J283" s="21" t="inlineStr">
        <is>
          <t xml:space="preserve"> 1</t>
        </is>
      </c>
      <c r="K283" s="30">
        <f>(E283-F283)/IF(E283&gt;0,E283,1)</f>
        <v/>
      </c>
    </row>
    <row r="284">
      <c r="A284" s="22" t="inlineStr">
        <is>
          <t>2025 이공자 ITQ한글 2022 (스프링)</t>
        </is>
      </c>
      <c r="B284" s="22" t="inlineStr">
        <is>
          <t>KIE 기획연구실</t>
        </is>
      </c>
      <c r="C284" s="22" t="inlineStr">
        <is>
          <t>아카데미소프트</t>
        </is>
      </c>
      <c r="D284" s="22" t="inlineStr">
        <is>
          <t>2024년 10월</t>
        </is>
      </c>
      <c r="E284" s="28" t="n">
        <v>17000</v>
      </c>
      <c r="F284" s="28" t="n">
        <v>15300</v>
      </c>
      <c r="G284" s="29" t="n">
        <v>1</v>
      </c>
      <c r="H284" s="29" t="n">
        <v>3189</v>
      </c>
      <c r="I284" s="21" t="inlineStr">
        <is>
          <t>2024</t>
        </is>
      </c>
      <c r="J284" s="21" t="inlineStr">
        <is>
          <t xml:space="preserve"> 1</t>
        </is>
      </c>
      <c r="K284" s="30">
        <f>(E284-F284)/IF(E284&gt;0,E284,1)</f>
        <v/>
      </c>
    </row>
    <row r="285">
      <c r="A285" s="22" t="inlineStr">
        <is>
          <t>테디노트의 랭체인을 활용한 RAG 비법노트 : 기본편</t>
        </is>
      </c>
      <c r="B285" s="22" t="inlineStr">
        <is>
          <t>이경록</t>
        </is>
      </c>
      <c r="C285" s="22" t="inlineStr">
        <is>
          <t>리코멘드</t>
        </is>
      </c>
      <c r="D285" s="22" t="inlineStr">
        <is>
          <t>2025년 05월</t>
        </is>
      </c>
      <c r="E285" s="28" t="n">
        <v>34000</v>
      </c>
      <c r="F285" s="28" t="n">
        <v>30600</v>
      </c>
      <c r="G285" s="29" t="n">
        <v>1</v>
      </c>
      <c r="H285" s="29" t="n">
        <v>5874</v>
      </c>
      <c r="I285" s="21" t="inlineStr">
        <is>
          <t>2025</t>
        </is>
      </c>
      <c r="J285" s="21" t="inlineStr">
        <is>
          <t xml:space="preserve"> 0</t>
        </is>
      </c>
      <c r="K285" s="30">
        <f>(E285-F285)/IF(E285&gt;0,E285,1)</f>
        <v/>
      </c>
    </row>
    <row r="286">
      <c r="A286" s="22" t="inlineStr">
        <is>
          <t>에지 컴퓨팅과 피지컬 AI를 위한 라즈베리파이 5</t>
        </is>
      </c>
      <c r="B286" s="22" t="inlineStr">
        <is>
          <t>허경용</t>
        </is>
      </c>
      <c r="C286" s="22" t="inlineStr">
        <is>
          <t>제이펍</t>
        </is>
      </c>
      <c r="D286" s="22" t="inlineStr">
        <is>
          <t>2026년 02월</t>
        </is>
      </c>
      <c r="E286" s="28" t="n">
        <v>30000</v>
      </c>
      <c r="F286" s="28" t="n">
        <v>27000</v>
      </c>
      <c r="G286" s="29" t="n">
        <v>0</v>
      </c>
      <c r="H286" s="29" t="n">
        <v>708</v>
      </c>
      <c r="I286" s="21" t="inlineStr">
        <is>
          <t>2026</t>
        </is>
      </c>
      <c r="J286" s="21" t="inlineStr">
        <is>
          <t xml:space="preserve"> 0</t>
        </is>
      </c>
      <c r="K286" s="30">
        <f>(E286-F286)/IF(E286&gt;0,E286,1)</f>
        <v/>
      </c>
    </row>
    <row r="287">
      <c r="A287" s="22" t="inlineStr">
        <is>
          <t>따라 하면 성공하는 사업계획서 작성법</t>
        </is>
      </c>
      <c r="B287" s="22" t="inlineStr">
        <is>
          <t>홍승민</t>
        </is>
      </c>
      <c r="C287" s="22" t="inlineStr">
        <is>
          <t>지식과감성#</t>
        </is>
      </c>
      <c r="D287" s="22" t="inlineStr">
        <is>
          <t>2024년 12월</t>
        </is>
      </c>
      <c r="E287" s="28" t="n">
        <v>16700</v>
      </c>
      <c r="F287" s="28" t="n">
        <v>15030</v>
      </c>
      <c r="G287" s="29" t="n">
        <v>4</v>
      </c>
      <c r="H287" s="29" t="n">
        <v>618</v>
      </c>
      <c r="I287" s="21" t="inlineStr">
        <is>
          <t>2024</t>
        </is>
      </c>
      <c r="J287" s="21" t="inlineStr">
        <is>
          <t xml:space="preserve"> 1</t>
        </is>
      </c>
      <c r="K287" s="30">
        <f>(E287-F287)/IF(E287&gt;0,E287,1)</f>
        <v/>
      </c>
    </row>
    <row r="288">
      <c r="A288" s="22" t="inlineStr">
        <is>
          <t>AI 협업 글쓰기 실전 가이드 글쓰기는 프롬프트다</t>
        </is>
      </c>
      <c r="B288" s="22" t="inlineStr">
        <is>
          <t>오창근</t>
        </is>
      </c>
      <c r="C288" s="22" t="inlineStr">
        <is>
          <t>성안당</t>
        </is>
      </c>
      <c r="D288" s="22" t="inlineStr">
        <is>
          <t>2026년 03월</t>
        </is>
      </c>
      <c r="E288" s="28" t="n">
        <v>25000</v>
      </c>
      <c r="F288" s="28" t="n">
        <v>22500</v>
      </c>
      <c r="G288" s="29" t="n">
        <v>27</v>
      </c>
      <c r="H288" s="29" t="n">
        <v>1299</v>
      </c>
      <c r="I288" s="21" t="inlineStr">
        <is>
          <t>2026</t>
        </is>
      </c>
      <c r="J288" s="21" t="inlineStr">
        <is>
          <t xml:space="preserve"> 0</t>
        </is>
      </c>
      <c r="K288" s="30">
        <f>(E288-F288)/IF(E288&gt;0,E288,1)</f>
        <v/>
      </c>
    </row>
    <row r="289">
      <c r="A289" s="22" t="inlineStr">
        <is>
          <t>소프트웨어 아키텍처 The Basics</t>
        </is>
      </c>
      <c r="B289" s="22" t="inlineStr">
        <is>
          <t>마크 리처즈, 닐 포드, 류광, 307번역랩</t>
        </is>
      </c>
      <c r="C289" s="22" t="inlineStr">
        <is>
          <t>한빛미디어</t>
        </is>
      </c>
      <c r="D289" s="22" t="inlineStr">
        <is>
          <t>2025년 11월</t>
        </is>
      </c>
      <c r="E289" s="28" t="n">
        <v>43000</v>
      </c>
      <c r="F289" s="28" t="n">
        <v>38700</v>
      </c>
      <c r="G289" s="29" t="n">
        <v>15</v>
      </c>
      <c r="H289" s="29" t="n">
        <v>1695</v>
      </c>
      <c r="I289" s="21" t="inlineStr">
        <is>
          <t>2025</t>
        </is>
      </c>
      <c r="J289" s="21" t="inlineStr">
        <is>
          <t xml:space="preserve"> 1</t>
        </is>
      </c>
      <c r="K289" s="30">
        <f>(E289-F289)/IF(E289&gt;0,E289,1)</f>
        <v/>
      </c>
    </row>
    <row r="290">
      <c r="A290" s="22" t="inlineStr">
        <is>
          <t>LLM 프롬프트 활용 교과서</t>
        </is>
      </c>
      <c r="B290" s="22" t="inlineStr">
        <is>
          <t>쿠지라 히코즈쿠에, 김성훈</t>
        </is>
      </c>
      <c r="C290" s="22" t="inlineStr">
        <is>
          <t>길벗</t>
        </is>
      </c>
      <c r="D290" s="22" t="inlineStr">
        <is>
          <t>2025년 08월</t>
        </is>
      </c>
      <c r="E290" s="28" t="n">
        <v>33000</v>
      </c>
      <c r="F290" s="28" t="n">
        <v>29700</v>
      </c>
      <c r="G290" s="29" t="n">
        <v>15</v>
      </c>
      <c r="H290" s="29" t="n">
        <v>1656</v>
      </c>
      <c r="I290" s="21" t="inlineStr">
        <is>
          <t>2025</t>
        </is>
      </c>
      <c r="J290" s="21" t="inlineStr">
        <is>
          <t xml:space="preserve"> 0</t>
        </is>
      </c>
      <c r="K290" s="30">
        <f>(E290-F290)/IF(E290&gt;0,E290,1)</f>
        <v/>
      </c>
    </row>
    <row r="291">
      <c r="A291" s="22" t="inlineStr">
        <is>
          <t>AI 영상×미드저니·런웨이·소라·클링·하이루오</t>
        </is>
      </c>
      <c r="B291" s="22" t="inlineStr">
        <is>
          <t>안재홍</t>
        </is>
      </c>
      <c r="C291" s="22" t="inlineStr">
        <is>
          <t>길벗</t>
        </is>
      </c>
      <c r="D291" s="22" t="inlineStr">
        <is>
          <t>2025년 08월</t>
        </is>
      </c>
      <c r="E291" s="28" t="n">
        <v>26000</v>
      </c>
      <c r="F291" s="28" t="n">
        <v>23400</v>
      </c>
      <c r="G291" s="29" t="n">
        <v>16</v>
      </c>
      <c r="H291" s="29" t="n">
        <v>4026</v>
      </c>
      <c r="I291" s="21" t="inlineStr">
        <is>
          <t>2025</t>
        </is>
      </c>
      <c r="J291" s="21" t="inlineStr">
        <is>
          <t xml:space="preserve"> 0</t>
        </is>
      </c>
      <c r="K291" s="30">
        <f>(E291-F291)/IF(E291&gt;0,E291,1)</f>
        <v/>
      </c>
    </row>
    <row r="292">
      <c r="A292" s="22" t="inlineStr">
        <is>
          <t>네이버 블로그 AI 자동화 마케팅 with 챗GPT+Zapier+Make</t>
        </is>
      </c>
      <c r="B292" s="22" t="inlineStr">
        <is>
          <t>조영빈</t>
        </is>
      </c>
      <c r="C292" s="22" t="inlineStr">
        <is>
          <t>디지털북스</t>
        </is>
      </c>
      <c r="D292" s="22" t="inlineStr">
        <is>
          <t>2025년 04월</t>
        </is>
      </c>
      <c r="E292" s="28" t="n">
        <v>20000</v>
      </c>
      <c r="F292" s="28" t="n">
        <v>18000</v>
      </c>
      <c r="G292" s="29" t="n">
        <v>12</v>
      </c>
      <c r="H292" s="29" t="n">
        <v>3846</v>
      </c>
      <c r="I292" s="21" t="inlineStr">
        <is>
          <t>2025</t>
        </is>
      </c>
      <c r="J292" s="21" t="inlineStr">
        <is>
          <t xml:space="preserve"> 0</t>
        </is>
      </c>
      <c r="K292" s="30">
        <f>(E292-F292)/IF(E292&gt;0,E292,1)</f>
        <v/>
      </c>
    </row>
    <row r="293">
      <c r="A293" s="22" t="inlineStr">
        <is>
          <t>AI 에이전트 마스터 클래스</t>
        </is>
      </c>
      <c r="B293" s="22" t="inlineStr">
        <is>
          <t>김구현</t>
        </is>
      </c>
      <c r="C293" s="22" t="inlineStr">
        <is>
          <t>한빛미디어</t>
        </is>
      </c>
      <c r="D293" s="22" t="inlineStr">
        <is>
          <t>2026년 01월</t>
        </is>
      </c>
      <c r="E293" s="28" t="n">
        <v>26000</v>
      </c>
      <c r="F293" s="28" t="n">
        <v>23400</v>
      </c>
      <c r="G293" s="29" t="n">
        <v>65</v>
      </c>
      <c r="H293" s="29" t="n">
        <v>2736</v>
      </c>
      <c r="I293" s="21" t="inlineStr">
        <is>
          <t>2026</t>
        </is>
      </c>
      <c r="J293" s="21" t="inlineStr">
        <is>
          <t xml:space="preserve"> 0</t>
        </is>
      </c>
      <c r="K293" s="30">
        <f>(E293-F293)/IF(E293&gt;0,E293,1)</f>
        <v/>
      </c>
    </row>
    <row r="294">
      <c r="A294" s="22" t="inlineStr">
        <is>
          <t>왜 AI가 써준 내 문서만 뻔해 보일까?</t>
        </is>
      </c>
      <c r="B294" s="22" t="inlineStr">
        <is>
          <t>노준환</t>
        </is>
      </c>
      <c r="C294" s="22" t="inlineStr">
        <is>
          <t>한올출판사</t>
        </is>
      </c>
      <c r="D294" s="22" t="inlineStr">
        <is>
          <t>2026년 05월</t>
        </is>
      </c>
      <c r="E294" s="28" t="n">
        <v>18000</v>
      </c>
      <c r="F294" s="28" t="n">
        <v>18000</v>
      </c>
      <c r="G294" s="29" t="n">
        <v>3</v>
      </c>
      <c r="H294" s="29" t="n">
        <v>396</v>
      </c>
      <c r="I294" s="21" t="inlineStr">
        <is>
          <t>2026</t>
        </is>
      </c>
      <c r="J294" s="21" t="inlineStr">
        <is>
          <t xml:space="preserve"> 0</t>
        </is>
      </c>
      <c r="K294" s="30">
        <f>(E294-F294)/IF(E294&gt;0,E294,1)</f>
        <v/>
      </c>
    </row>
    <row r="295">
      <c r="A295" s="22" t="inlineStr">
        <is>
          <t>생성형 AI 시대 수학 교육</t>
        </is>
      </c>
      <c r="B295" s="22" t="inlineStr">
        <is>
          <t>유주연, 정민주</t>
        </is>
      </c>
      <c r="C295" s="22" t="inlineStr">
        <is>
          <t>커뮤니케이션북스</t>
        </is>
      </c>
      <c r="D295" s="22" t="inlineStr">
        <is>
          <t>2026년 03월</t>
        </is>
      </c>
      <c r="E295" s="28" t="n">
        <v>12000</v>
      </c>
      <c r="F295" s="28" t="n">
        <v>12000</v>
      </c>
      <c r="G295" s="29" t="n">
        <v>0</v>
      </c>
      <c r="H295" s="29" t="n">
        <v>246</v>
      </c>
      <c r="I295" s="21" t="inlineStr">
        <is>
          <t>2026</t>
        </is>
      </c>
      <c r="J295" s="21" t="inlineStr">
        <is>
          <t xml:space="preserve"> 0</t>
        </is>
      </c>
      <c r="K295" s="30">
        <f>(E295-F295)/IF(E295&gt;0,E295,1)</f>
        <v/>
      </c>
    </row>
    <row r="296">
      <c r="A296" s="22" t="inlineStr">
        <is>
          <t>프롬프트 엔지니어의 업무일지</t>
        </is>
      </c>
      <c r="B296" s="22" t="inlineStr">
        <is>
          <t>강수진</t>
        </is>
      </c>
      <c r="C296" s="22" t="inlineStr">
        <is>
          <t>리코멘드</t>
        </is>
      </c>
      <c r="D296" s="22" t="inlineStr">
        <is>
          <t>2024년 08월</t>
        </is>
      </c>
      <c r="E296" s="28" t="n">
        <v>28000</v>
      </c>
      <c r="F296" s="28" t="n">
        <v>25200</v>
      </c>
      <c r="G296" s="29" t="n">
        <v>19</v>
      </c>
      <c r="H296" s="29" t="n">
        <v>1452</v>
      </c>
      <c r="I296" s="21" t="inlineStr">
        <is>
          <t>2024</t>
        </is>
      </c>
      <c r="J296" s="21" t="inlineStr">
        <is>
          <t xml:space="preserve"> 0</t>
        </is>
      </c>
      <c r="K296" s="30">
        <f>(E296-F296)/IF(E296&gt;0,E296,1)</f>
        <v/>
      </c>
    </row>
    <row r="297">
      <c r="A297" s="22" t="inlineStr">
        <is>
          <t>변화를 기회로 만드는 AI력</t>
        </is>
      </c>
      <c r="B297" s="22" t="inlineStr">
        <is>
          <t>정규진</t>
        </is>
      </c>
      <c r="C297" s="22" t="inlineStr">
        <is>
          <t>민음인</t>
        </is>
      </c>
      <c r="D297" s="22" t="inlineStr">
        <is>
          <t>2026년 03월</t>
        </is>
      </c>
      <c r="E297" s="28" t="n">
        <v>23000</v>
      </c>
      <c r="F297" s="28" t="n">
        <v>20700</v>
      </c>
      <c r="G297" s="29" t="n">
        <v>15</v>
      </c>
      <c r="H297" s="29" t="n">
        <v>1488</v>
      </c>
      <c r="I297" s="21" t="inlineStr">
        <is>
          <t>2026</t>
        </is>
      </c>
      <c r="J297" s="21" t="inlineStr">
        <is>
          <t xml:space="preserve"> 0</t>
        </is>
      </c>
      <c r="K297" s="30">
        <f>(E297-F297)/IF(E297&gt;0,E297,1)</f>
        <v/>
      </c>
    </row>
    <row r="298">
      <c r="A298" s="22" t="inlineStr">
        <is>
          <t>인공지능 2</t>
        </is>
      </c>
      <c r="B298" s="22" t="inlineStr">
        <is>
          <t>스튜어트 러셀, 피터 노빅, 류광</t>
        </is>
      </c>
      <c r="C298" s="22" t="inlineStr">
        <is>
          <t>제이펍</t>
        </is>
      </c>
      <c r="D298" s="22" t="inlineStr">
        <is>
          <t>2021년 08월</t>
        </is>
      </c>
      <c r="E298" s="28" t="n">
        <v>38000</v>
      </c>
      <c r="F298" s="28" t="n">
        <v>34200</v>
      </c>
      <c r="G298" s="29" t="n">
        <v>1</v>
      </c>
      <c r="H298" s="29" t="n">
        <v>1038</v>
      </c>
      <c r="I298" s="21" t="inlineStr">
        <is>
          <t>2021</t>
        </is>
      </c>
      <c r="J298" s="21" t="inlineStr">
        <is>
          <t xml:space="preserve"> 0</t>
        </is>
      </c>
      <c r="K298" s="30">
        <f>(E298-F298)/IF(E298&gt;0,E298,1)</f>
        <v/>
      </c>
    </row>
    <row r="299">
      <c r="A299" s="22" t="inlineStr">
        <is>
          <t>출근길에 읽고 퇴근길에 완성하는 바이브 코딩</t>
        </is>
      </c>
      <c r="B299" s="22" t="inlineStr">
        <is>
          <t>노승헌</t>
        </is>
      </c>
      <c r="C299" s="22" t="inlineStr">
        <is>
          <t>더 타이즈</t>
        </is>
      </c>
      <c r="D299" s="22" t="inlineStr">
        <is>
          <t>2026년 02월</t>
        </is>
      </c>
      <c r="E299" s="28" t="n">
        <v>22000</v>
      </c>
      <c r="F299" s="28" t="n">
        <v>19800</v>
      </c>
      <c r="G299" s="29" t="n">
        <v>0</v>
      </c>
      <c r="H299" s="29" t="n">
        <v>1317</v>
      </c>
      <c r="I299" s="21" t="inlineStr">
        <is>
          <t>2026</t>
        </is>
      </c>
      <c r="J299" s="21" t="inlineStr">
        <is>
          <t xml:space="preserve"> 0</t>
        </is>
      </c>
      <c r="K299" s="30">
        <f>(E299-F299)/IF(E299&gt;0,E299,1)</f>
        <v/>
      </c>
    </row>
    <row r="300">
      <c r="A300" s="22" t="inlineStr">
        <is>
          <t>AI 리터러시 : 인공지능 필수 지식부터 완벽 활용까지</t>
        </is>
      </c>
      <c r="B300" s="22" t="inlineStr">
        <is>
          <t>김용성</t>
        </is>
      </c>
      <c r="C300" s="22" t="inlineStr">
        <is>
          <t>프리렉</t>
        </is>
      </c>
      <c r="D300" s="22" t="inlineStr">
        <is>
          <t>2024년 12월</t>
        </is>
      </c>
      <c r="E300" s="28" t="n">
        <v>25000</v>
      </c>
      <c r="F300" s="28" t="n">
        <v>22500</v>
      </c>
      <c r="G300" s="29" t="n">
        <v>185</v>
      </c>
      <c r="H300" s="29" t="n">
        <v>12390</v>
      </c>
      <c r="I300" s="21" t="inlineStr">
        <is>
          <t>2024</t>
        </is>
      </c>
      <c r="J300" s="21" t="inlineStr">
        <is>
          <t xml:space="preserve"> 1</t>
        </is>
      </c>
      <c r="K300" s="30">
        <f>(E300-F300)/IF(E300&gt;0,E300,1)</f>
        <v/>
      </c>
    </row>
    <row r="301">
      <c r="A301" s="22" t="inlineStr">
        <is>
          <t>프로그래머를 위한 선형대수</t>
        </is>
      </c>
      <c r="B301" s="22" t="inlineStr">
        <is>
          <t>히라오카 카즈유키, 호리 겐, 이창신</t>
        </is>
      </c>
      <c r="C301" s="22" t="inlineStr">
        <is>
          <t>길벗</t>
        </is>
      </c>
      <c r="D301" s="22" t="inlineStr">
        <is>
          <t>2017년 03월</t>
        </is>
      </c>
      <c r="E301" s="28" t="n">
        <v>32000</v>
      </c>
      <c r="F301" s="28" t="n">
        <v>28800</v>
      </c>
      <c r="G301" s="29" t="n">
        <v>37</v>
      </c>
      <c r="H301" s="29" t="n">
        <v>834</v>
      </c>
      <c r="I301" s="21" t="inlineStr">
        <is>
          <t>2017</t>
        </is>
      </c>
      <c r="J301" s="21" t="inlineStr">
        <is>
          <t xml:space="preserve"> 0</t>
        </is>
      </c>
      <c r="K301" s="30">
        <f>(E301-F301)/IF(E301&gt;0,E301,1)</f>
        <v/>
      </c>
    </row>
    <row r="302">
      <c r="A302" s="22" t="inlineStr">
        <is>
          <t>AI 시대 임원 역할</t>
        </is>
      </c>
      <c r="B302" s="22" t="inlineStr">
        <is>
          <t>김기진, 유병선, 신현숙, 이근갑, 이소민, 정보 더 보기/감추기, 김기진, 유병선, 신현숙, 이근갑, 이소민, 박해룡, 이재실, 송지은, 김영헌, 백정선, 김대경</t>
        </is>
      </c>
      <c r="C302" s="22" t="inlineStr">
        <is>
          <t>에릭스토리</t>
        </is>
      </c>
      <c r="D302" s="22" t="inlineStr">
        <is>
          <t>2026년 01월</t>
        </is>
      </c>
      <c r="E302" s="28" t="n">
        <v>19000</v>
      </c>
      <c r="F302" s="28" t="n">
        <v>17100</v>
      </c>
      <c r="G302" s="29" t="n">
        <v>0</v>
      </c>
      <c r="H302" s="29" t="n">
        <v>870</v>
      </c>
      <c r="I302" s="21" t="inlineStr">
        <is>
          <t>2026</t>
        </is>
      </c>
      <c r="J302" s="21" t="inlineStr">
        <is>
          <t xml:space="preserve"> 0</t>
        </is>
      </c>
      <c r="K302" s="30">
        <f>(E302-F302)/IF(E302&gt;0,E302,1)</f>
        <v/>
      </c>
    </row>
    <row r="303">
      <c r="A303" s="22" t="inlineStr">
        <is>
          <t>AI 디지털 활용 수업</t>
        </is>
      </c>
      <c r="B303" s="22" t="inlineStr">
        <is>
          <t>이은총, 심원지, 박정은</t>
        </is>
      </c>
      <c r="C303" s="22" t="inlineStr">
        <is>
          <t>푸른칠판</t>
        </is>
      </c>
      <c r="D303" s="22" t="inlineStr">
        <is>
          <t>2026년 01월</t>
        </is>
      </c>
      <c r="E303" s="28" t="n">
        <v>19000</v>
      </c>
      <c r="F303" s="28" t="n">
        <v>17100</v>
      </c>
      <c r="G303" s="29" t="n">
        <v>12</v>
      </c>
      <c r="H303" s="29" t="n">
        <v>1497</v>
      </c>
      <c r="I303" s="21" t="inlineStr">
        <is>
          <t>2026</t>
        </is>
      </c>
      <c r="J303" s="21" t="inlineStr">
        <is>
          <t xml:space="preserve"> 0</t>
        </is>
      </c>
      <c r="K303" s="30">
        <f>(E303-F303)/IF(E303&gt;0,E303,1)</f>
        <v/>
      </c>
    </row>
    <row r="304">
      <c r="A304" s="22" t="inlineStr">
        <is>
          <t>AI 시대의 생존 게임 주권인가 종속인가</t>
        </is>
      </c>
      <c r="B304" s="22" t="inlineStr">
        <is>
          <t>변형균</t>
        </is>
      </c>
      <c r="C304" s="22" t="inlineStr">
        <is>
          <t>한빛미디어</t>
        </is>
      </c>
      <c r="D304" s="22" t="inlineStr">
        <is>
          <t>2025년 12월</t>
        </is>
      </c>
      <c r="E304" s="28" t="n">
        <v>24000</v>
      </c>
      <c r="F304" s="28" t="n">
        <v>21600</v>
      </c>
      <c r="G304" s="29" t="n">
        <v>20</v>
      </c>
      <c r="H304" s="29" t="n">
        <v>537</v>
      </c>
      <c r="I304" s="21" t="inlineStr">
        <is>
          <t>2025</t>
        </is>
      </c>
      <c r="J304" s="21" t="inlineStr">
        <is>
          <t xml:space="preserve"> 1</t>
        </is>
      </c>
      <c r="K304" s="30">
        <f>(E304-F304)/IF(E304&gt;0,E304,1)</f>
        <v/>
      </c>
    </row>
    <row r="305">
      <c r="A305" s="22" t="inlineStr">
        <is>
          <t>만들면서 배우는 인공지능 엔트리와 40개의 작품들</t>
        </is>
      </c>
      <c r="B305" s="22" t="inlineStr">
        <is>
          <t>전진아, 김수연, 김종렬, 장문철</t>
        </is>
      </c>
      <c r="C305" s="22" t="inlineStr">
        <is>
          <t>앤써북</t>
        </is>
      </c>
      <c r="D305" s="22" t="inlineStr">
        <is>
          <t>2024년 08월</t>
        </is>
      </c>
      <c r="E305" s="28" t="n">
        <v>19800</v>
      </c>
      <c r="F305" s="28" t="n">
        <v>17820</v>
      </c>
      <c r="G305" s="29" t="n">
        <v>5</v>
      </c>
      <c r="H305" s="29" t="n">
        <v>1020</v>
      </c>
      <c r="I305" s="21" t="inlineStr">
        <is>
          <t>2024</t>
        </is>
      </c>
      <c r="J305" s="21" t="inlineStr">
        <is>
          <t xml:space="preserve"> 0</t>
        </is>
      </c>
      <c r="K305" s="30">
        <f>(E305-F305)/IF(E305&gt;0,E305,1)</f>
        <v/>
      </c>
    </row>
    <row r="306">
      <c r="A306" s="22" t="inlineStr">
        <is>
          <t>챗GPT로 만드는 주식 &amp; 암호화폐 자동매매 시스템</t>
        </is>
      </c>
      <c r="B306" s="22" t="inlineStr">
        <is>
          <t>설근민</t>
        </is>
      </c>
      <c r="C306" s="22" t="inlineStr">
        <is>
          <t>제이펍</t>
        </is>
      </c>
      <c r="D306" s="22" t="inlineStr">
        <is>
          <t>2023년 11월</t>
        </is>
      </c>
      <c r="E306" s="28" t="n">
        <v>20000</v>
      </c>
      <c r="F306" s="28" t="n">
        <v>18000</v>
      </c>
      <c r="G306" s="29" t="n">
        <v>143</v>
      </c>
      <c r="H306" s="29" t="n">
        <v>1920</v>
      </c>
      <c r="I306" s="21" t="inlineStr">
        <is>
          <t>2023</t>
        </is>
      </c>
      <c r="J306" s="21" t="inlineStr">
        <is>
          <t xml:space="preserve"> 1</t>
        </is>
      </c>
      <c r="K306" s="30">
        <f>(E306-F306)/IF(E306&gt;0,E306,1)</f>
        <v/>
      </c>
    </row>
    <row r="307">
      <c r="A307" s="22" t="inlineStr">
        <is>
          <t>챗GPT와 함께 하는 SNS 셀프마케팅 &amp; 브랜딩</t>
        </is>
      </c>
      <c r="B307" s="22" t="inlineStr">
        <is>
          <t>이보영</t>
        </is>
      </c>
      <c r="C307" s="22" t="inlineStr">
        <is>
          <t>휴먼하우스</t>
        </is>
      </c>
      <c r="D307" s="22" t="inlineStr">
        <is>
          <t>2025년 11월</t>
        </is>
      </c>
      <c r="E307" s="28" t="n">
        <v>21000</v>
      </c>
      <c r="F307" s="28" t="n">
        <v>18900</v>
      </c>
      <c r="G307" s="29" t="n">
        <v>1</v>
      </c>
      <c r="H307" s="29" t="n">
        <v>2442</v>
      </c>
      <c r="I307" s="21" t="inlineStr">
        <is>
          <t>2025</t>
        </is>
      </c>
      <c r="J307" s="21" t="inlineStr">
        <is>
          <t xml:space="preserve"> 1</t>
        </is>
      </c>
      <c r="K307" s="30">
        <f>(E307-F307)/IF(E307&gt;0,E307,1)</f>
        <v/>
      </c>
    </row>
    <row r="308">
      <c r="A308" s="22" t="inlineStr">
        <is>
          <t>생성형 인공지능과 함께하는 사회정서학습</t>
        </is>
      </c>
      <c r="B308" s="22" t="inlineStr">
        <is>
          <t>박찬, 김병석, 전은경, 전수연, 강윤진, 정보 더 보기/감추기, 박찬, 김병석, 전은경, 전수연, 강윤진, 김지용</t>
        </is>
      </c>
      <c r="C308" s="22" t="inlineStr">
        <is>
          <t>다빈치books</t>
        </is>
      </c>
      <c r="D308" s="22" t="inlineStr">
        <is>
          <t>2024년 03월</t>
        </is>
      </c>
      <c r="E308" s="28" t="n">
        <v>22000</v>
      </c>
      <c r="F308" s="28" t="n">
        <v>19800</v>
      </c>
      <c r="G308" s="29" t="n">
        <v>2</v>
      </c>
      <c r="H308" s="29" t="n">
        <v>1947</v>
      </c>
      <c r="I308" s="21" t="inlineStr">
        <is>
          <t>2024</t>
        </is>
      </c>
      <c r="J308" s="21" t="inlineStr">
        <is>
          <t xml:space="preserve"> 0</t>
        </is>
      </c>
      <c r="K308" s="30">
        <f>(E308-F308)/IF(E308&gt;0,E308,1)</f>
        <v/>
      </c>
    </row>
    <row r="309">
      <c r="A309" s="22" t="inlineStr">
        <is>
          <t>단단한 강화학습</t>
        </is>
      </c>
      <c r="B309" s="22" t="inlineStr">
        <is>
          <t>리처드 서튼, 앤드류 바르토, 김성우</t>
        </is>
      </c>
      <c r="C309" s="22" t="inlineStr">
        <is>
          <t>제이펍</t>
        </is>
      </c>
      <c r="D309" s="22" t="inlineStr">
        <is>
          <t>2020년 03월</t>
        </is>
      </c>
      <c r="E309" s="28" t="n">
        <v>35000</v>
      </c>
      <c r="F309" s="28" t="n">
        <v>31500</v>
      </c>
      <c r="G309" s="29" t="n">
        <v>19</v>
      </c>
      <c r="H309" s="29" t="n">
        <v>1830</v>
      </c>
      <c r="I309" s="21" t="inlineStr">
        <is>
          <t>2020</t>
        </is>
      </c>
      <c r="J309" s="21" t="inlineStr">
        <is>
          <t xml:space="preserve"> 0</t>
        </is>
      </c>
      <c r="K309" s="30">
        <f>(E309-F309)/IF(E309&gt;0,E309,1)</f>
        <v/>
      </c>
    </row>
    <row r="310">
      <c r="A310" s="22" t="inlineStr">
        <is>
          <t>스테이블 디퓨전 실전 가이드</t>
        </is>
      </c>
      <c r="B310" s="22" t="inlineStr">
        <is>
          <t>시라이 아키히코, AICU 미디어 편집부</t>
        </is>
      </c>
      <c r="C310" s="22" t="inlineStr">
        <is>
          <t>보누스</t>
        </is>
      </c>
      <c r="D310" s="22" t="inlineStr">
        <is>
          <t>2024년 12월</t>
        </is>
      </c>
      <c r="E310" s="28" t="n">
        <v>26000</v>
      </c>
      <c r="F310" s="28" t="n">
        <v>23400</v>
      </c>
      <c r="G310" s="29" t="n">
        <v>4</v>
      </c>
      <c r="H310" s="29" t="n">
        <v>306</v>
      </c>
      <c r="I310" s="21" t="inlineStr">
        <is>
          <t>2024</t>
        </is>
      </c>
      <c r="J310" s="21" t="inlineStr">
        <is>
          <t xml:space="preserve"> 1</t>
        </is>
      </c>
      <c r="K310" s="30">
        <f>(E310-F310)/IF(E310&gt;0,E310,1)</f>
        <v/>
      </c>
    </row>
    <row r="311">
      <c r="A311" s="22" t="inlineStr">
        <is>
          <t>금융업 AI 플레이북</t>
        </is>
      </c>
      <c r="B311" s="22" t="inlineStr">
        <is>
          <t>임태중, 김동석</t>
        </is>
      </c>
      <c r="C311" s="22" t="inlineStr">
        <is>
          <t>경향비피</t>
        </is>
      </c>
      <c r="D311" s="22" t="inlineStr">
        <is>
          <t>2026년 01월</t>
        </is>
      </c>
      <c r="E311" s="28" t="n">
        <v>25000</v>
      </c>
      <c r="F311" s="28" t="n">
        <v>22500</v>
      </c>
      <c r="G311" s="29" t="n">
        <v>16</v>
      </c>
      <c r="H311" s="29" t="n">
        <v>1377</v>
      </c>
      <c r="I311" s="21" t="inlineStr">
        <is>
          <t>2026</t>
        </is>
      </c>
      <c r="J311" s="21" t="inlineStr">
        <is>
          <t xml:space="preserve"> 0</t>
        </is>
      </c>
      <c r="K311" s="30">
        <f>(E311-F311)/IF(E311&gt;0,E311,1)</f>
        <v/>
      </c>
    </row>
    <row r="312">
      <c r="A312" s="22" t="inlineStr">
        <is>
          <t>10대를 위한 데이터과학 with 파이썬</t>
        </is>
      </c>
      <c r="B312" s="22" t="inlineStr">
        <is>
          <t>구덕회, 권다혜, 박소연</t>
        </is>
      </c>
      <c r="C312" s="22" t="inlineStr">
        <is>
          <t>잇플ITPLE</t>
        </is>
      </c>
      <c r="D312" s="22" t="inlineStr">
        <is>
          <t>2024년 07월</t>
        </is>
      </c>
      <c r="E312" s="28" t="n">
        <v>27000</v>
      </c>
      <c r="F312" s="28" t="n">
        <v>24300</v>
      </c>
      <c r="G312" s="29" t="n">
        <v>9</v>
      </c>
      <c r="H312" s="29" t="n">
        <v>1380</v>
      </c>
      <c r="I312" s="21" t="inlineStr">
        <is>
          <t>2024</t>
        </is>
      </c>
      <c r="J312" s="21" t="inlineStr">
        <is>
          <t xml:space="preserve"> 0</t>
        </is>
      </c>
      <c r="K312" s="30">
        <f>(E312-F312)/IF(E312&gt;0,E312,1)</f>
        <v/>
      </c>
    </row>
    <row r="313">
      <c r="A313" s="22" t="inlineStr">
        <is>
          <t>조코딩의 랭체인으로 AI 에이전트 서비스 만들기</t>
        </is>
      </c>
      <c r="B313" s="22" t="inlineStr">
        <is>
          <t>조동근, 우성우</t>
        </is>
      </c>
      <c r="C313" s="22" t="inlineStr">
        <is>
          <t>한빛미디어</t>
        </is>
      </c>
      <c r="D313" s="22" t="inlineStr">
        <is>
          <t>2025년 07월</t>
        </is>
      </c>
      <c r="E313" s="28" t="n">
        <v>32000</v>
      </c>
      <c r="F313" s="28" t="n">
        <v>28800</v>
      </c>
      <c r="G313" s="29" t="n">
        <v>14</v>
      </c>
      <c r="H313" s="29" t="n">
        <v>3048</v>
      </c>
      <c r="I313" s="21" t="inlineStr">
        <is>
          <t>2025</t>
        </is>
      </c>
      <c r="J313" s="21" t="inlineStr">
        <is>
          <t xml:space="preserve"> 0</t>
        </is>
      </c>
      <c r="K313" s="30">
        <f>(E313-F313)/IF(E313&gt;0,E313,1)</f>
        <v/>
      </c>
    </row>
    <row r="314">
      <c r="A314" s="22" t="inlineStr">
        <is>
          <t>ROS2 혼자공부하는 로봇SW 직접 만들고 코딩하자</t>
        </is>
      </c>
      <c r="B314" s="22" t="inlineStr">
        <is>
          <t>민형기</t>
        </is>
      </c>
      <c r="C314" s="22" t="inlineStr">
        <is>
          <t>잇플ITPLE</t>
        </is>
      </c>
      <c r="D314" s="22" t="inlineStr">
        <is>
          <t>2022년 09월</t>
        </is>
      </c>
      <c r="E314" s="28" t="n">
        <v>27300</v>
      </c>
      <c r="F314" s="28" t="n">
        <v>24570</v>
      </c>
      <c r="G314" s="29" t="n">
        <v>10</v>
      </c>
      <c r="H314" s="29" t="n">
        <v>1668</v>
      </c>
      <c r="I314" s="21" t="inlineStr">
        <is>
          <t>2022</t>
        </is>
      </c>
      <c r="J314" s="21" t="inlineStr">
        <is>
          <t xml:space="preserve"> 0</t>
        </is>
      </c>
      <c r="K314" s="30">
        <f>(E314-F314)/IF(E314&gt;0,E314,1)</f>
        <v/>
      </c>
    </row>
    <row r="315">
      <c r="A315" s="22" t="inlineStr">
        <is>
          <t>야사와 만화로 배우는 인공지능 3</t>
        </is>
      </c>
      <c r="B315" s="22" t="inlineStr">
        <is>
          <t>권건우, 김가인, 전준혁, 허령</t>
        </is>
      </c>
      <c r="C315" s="22" t="inlineStr">
        <is>
          <t>루나파인북스</t>
        </is>
      </c>
      <c r="D315" s="22" t="inlineStr">
        <is>
          <t>2021년 07월</t>
        </is>
      </c>
      <c r="E315" s="28" t="n">
        <v>16000</v>
      </c>
      <c r="F315" s="28" t="n">
        <v>14400</v>
      </c>
      <c r="G315" s="29" t="n">
        <v>6</v>
      </c>
      <c r="H315" s="29" t="n">
        <v>222</v>
      </c>
      <c r="I315" s="21" t="inlineStr">
        <is>
          <t>2021</t>
        </is>
      </c>
      <c r="J315" s="21" t="inlineStr">
        <is>
          <t xml:space="preserve"> 0</t>
        </is>
      </c>
      <c r="K315" s="30">
        <f>(E315-F315)/IF(E315&gt;0,E315,1)</f>
        <v/>
      </c>
    </row>
    <row r="316">
      <c r="A316" s="22" t="inlineStr">
        <is>
          <t>린 AI</t>
        </is>
      </c>
      <c r="B316" s="22" t="inlineStr">
        <is>
          <t>로밋 파텔, 박기석, 최은정</t>
        </is>
      </c>
      <c r="C316" s="22" t="inlineStr">
        <is>
          <t>한빛미디어</t>
        </is>
      </c>
      <c r="D316" s="22" t="inlineStr">
        <is>
          <t>2021년 06월</t>
        </is>
      </c>
      <c r="E316" s="28" t="n">
        <v>18000</v>
      </c>
      <c r="F316" s="28" t="n">
        <v>16200</v>
      </c>
      <c r="G316" s="29" t="n">
        <v>8</v>
      </c>
      <c r="H316" s="29" t="n">
        <v>186</v>
      </c>
      <c r="I316" s="21" t="inlineStr">
        <is>
          <t>2021</t>
        </is>
      </c>
      <c r="J316" s="21" t="inlineStr">
        <is>
          <t xml:space="preserve"> 0</t>
        </is>
      </c>
      <c r="K316" s="30">
        <f>(E316-F316)/IF(E316&gt;0,E316,1)</f>
        <v/>
      </c>
    </row>
    <row r="317">
      <c r="A317" s="22" t="inlineStr">
        <is>
          <t>OpenCV-Python으로 배우는 영상처리 및 응용</t>
        </is>
      </c>
      <c r="B317" s="22" t="inlineStr">
        <is>
          <t>정성환, 배종욱</t>
        </is>
      </c>
      <c r="C317" s="22" t="inlineStr">
        <is>
          <t>생능출판사</t>
        </is>
      </c>
      <c r="D317" s="22" t="inlineStr">
        <is>
          <t>2020년 11월</t>
        </is>
      </c>
      <c r="E317" s="28" t="n">
        <v>35000</v>
      </c>
      <c r="F317" s="28" t="n">
        <v>35000</v>
      </c>
      <c r="G317" s="29" t="n">
        <v>6</v>
      </c>
      <c r="H317" s="29" t="n">
        <v>1500</v>
      </c>
      <c r="I317" s="21" t="inlineStr">
        <is>
          <t>2020</t>
        </is>
      </c>
      <c r="J317" s="21" t="inlineStr">
        <is>
          <t xml:space="preserve"> 1</t>
        </is>
      </c>
      <c r="K317" s="30">
        <f>(E317-F317)/IF(E317&gt;0,E317,1)</f>
        <v/>
      </c>
    </row>
    <row r="318">
      <c r="A318" s="22" t="inlineStr">
        <is>
          <t>세상을 복제하는 공장, Physical AI 데이터팩토리 실습 : 심화</t>
        </is>
      </c>
      <c r="B318" s="22" t="inlineStr">
        <is>
          <t>손병희</t>
        </is>
      </c>
      <c r="C318" s="22" t="inlineStr">
        <is>
          <t>꾸그티처스</t>
        </is>
      </c>
      <c r="D318" s="22" t="inlineStr">
        <is>
          <t>2026년 03월</t>
        </is>
      </c>
      <c r="E318" s="28" t="n">
        <v>15000</v>
      </c>
      <c r="F318" s="28" t="n">
        <v>13500</v>
      </c>
      <c r="G318" s="29" t="n">
        <v>1</v>
      </c>
      <c r="H318" s="29" t="n">
        <v>288</v>
      </c>
      <c r="I318" s="21" t="inlineStr">
        <is>
          <t>2026</t>
        </is>
      </c>
      <c r="J318" s="21" t="inlineStr">
        <is>
          <t xml:space="preserve"> 0</t>
        </is>
      </c>
      <c r="K318" s="30">
        <f>(E318-F318)/IF(E318&gt;0,E318,1)</f>
        <v/>
      </c>
    </row>
    <row r="319">
      <c r="A319" s="22" t="inlineStr">
        <is>
          <t>세상을 복제하는 공장, Physical AI 데이터팩토리 실습 : 기초</t>
        </is>
      </c>
      <c r="B319" s="22" t="inlineStr">
        <is>
          <t>손병희</t>
        </is>
      </c>
      <c r="C319" s="22" t="inlineStr">
        <is>
          <t>꾸그티처스</t>
        </is>
      </c>
      <c r="D319" s="22" t="inlineStr">
        <is>
          <t>2026년 03월</t>
        </is>
      </c>
      <c r="E319" s="28" t="n">
        <v>15000</v>
      </c>
      <c r="F319" s="28" t="n">
        <v>13500</v>
      </c>
      <c r="G319" s="29" t="n">
        <v>1</v>
      </c>
      <c r="H319" s="29" t="n">
        <v>264</v>
      </c>
      <c r="I319" s="21" t="inlineStr">
        <is>
          <t>2026</t>
        </is>
      </c>
      <c r="J319" s="21" t="inlineStr">
        <is>
          <t xml:space="preserve"> 0</t>
        </is>
      </c>
      <c r="K319" s="30">
        <f>(E319-F319)/IF(E319&gt;0,E319,1)</f>
        <v/>
      </c>
    </row>
    <row r="320">
      <c r="A320" s="22" t="inlineStr">
        <is>
          <t>인공지능 1</t>
        </is>
      </c>
      <c r="B320" s="22" t="inlineStr">
        <is>
          <t>스튜어트 러셀, 피터 노빅, 류광</t>
        </is>
      </c>
      <c r="C320" s="22" t="inlineStr">
        <is>
          <t>제이펍</t>
        </is>
      </c>
      <c r="D320" s="22" t="inlineStr">
        <is>
          <t>2021년 08월</t>
        </is>
      </c>
      <c r="E320" s="28" t="n">
        <v>42000</v>
      </c>
      <c r="F320" s="28" t="n">
        <v>37800</v>
      </c>
      <c r="G320" s="29" t="n">
        <v>2</v>
      </c>
      <c r="H320" s="29" t="n">
        <v>1344</v>
      </c>
      <c r="I320" s="21" t="inlineStr">
        <is>
          <t>2021</t>
        </is>
      </c>
      <c r="J320" s="21" t="inlineStr">
        <is>
          <t xml:space="preserve"> 0</t>
        </is>
      </c>
      <c r="K320" s="30">
        <f>(E320-F320)/IF(E320&gt;0,E320,1)</f>
        <v/>
      </c>
    </row>
    <row r="321">
      <c r="A321" s="22" t="inlineStr">
        <is>
          <t>모두의 인공지능 with 파이썬</t>
        </is>
      </c>
      <c r="B321" s="22" t="inlineStr">
        <is>
          <t>이영호</t>
        </is>
      </c>
      <c r="C321" s="22" t="inlineStr">
        <is>
          <t>길벗</t>
        </is>
      </c>
      <c r="D321" s="22" t="inlineStr">
        <is>
          <t>2025년 07월</t>
        </is>
      </c>
      <c r="E321" s="28" t="n">
        <v>30000</v>
      </c>
      <c r="F321" s="28" t="n">
        <v>27000</v>
      </c>
      <c r="G321" s="29" t="n">
        <v>14</v>
      </c>
      <c r="H321" s="29" t="n">
        <v>2586</v>
      </c>
      <c r="I321" s="21" t="inlineStr">
        <is>
          <t>2025</t>
        </is>
      </c>
      <c r="J321" s="21" t="inlineStr">
        <is>
          <t xml:space="preserve"> 0</t>
        </is>
      </c>
      <c r="K321" s="30">
        <f>(E321-F321)/IF(E321&gt;0,E321,1)</f>
        <v/>
      </c>
    </row>
    <row r="322">
      <c r="A322" s="22" t="inlineStr">
        <is>
          <t>쏙쏙 들어오는 인공지능 알고리즘</t>
        </is>
      </c>
      <c r="B322" s="22" t="inlineStr">
        <is>
          <t>리샬 허반스, 구정회</t>
        </is>
      </c>
      <c r="C322" s="22" t="inlineStr">
        <is>
          <t>제이펍</t>
        </is>
      </c>
      <c r="D322" s="22" t="inlineStr">
        <is>
          <t>2021년 06월</t>
        </is>
      </c>
      <c r="E322" s="28" t="n">
        <v>28000</v>
      </c>
      <c r="F322" s="28" t="n">
        <v>25200</v>
      </c>
      <c r="G322" s="29" t="n">
        <v>10</v>
      </c>
      <c r="H322" s="29" t="n">
        <v>240</v>
      </c>
      <c r="I322" s="21" t="inlineStr">
        <is>
          <t>2021</t>
        </is>
      </c>
      <c r="J322" s="21" t="inlineStr">
        <is>
          <t xml:space="preserve"> 0</t>
        </is>
      </c>
      <c r="K322" s="30">
        <f>(E322-F322)/IF(E322&gt;0,E322,1)</f>
        <v/>
      </c>
    </row>
    <row r="323">
      <c r="A323" s="22" t="inlineStr">
        <is>
          <t>AI 수업 설계</t>
        </is>
      </c>
      <c r="B323" s="22" t="inlineStr">
        <is>
          <t>이다연</t>
        </is>
      </c>
      <c r="C323" s="22" t="inlineStr">
        <is>
          <t>커뮤니케이션북스</t>
        </is>
      </c>
      <c r="D323" s="22" t="inlineStr">
        <is>
          <t>2026년 05월</t>
        </is>
      </c>
      <c r="E323" s="28" t="n">
        <v>12000</v>
      </c>
      <c r="F323" s="28" t="n">
        <v>12000</v>
      </c>
      <c r="G323" s="29" t="n">
        <v>0</v>
      </c>
      <c r="H323" s="29" t="n">
        <v>144</v>
      </c>
      <c r="I323" s="21" t="inlineStr">
        <is>
          <t>2026</t>
        </is>
      </c>
      <c r="J323" s="21" t="inlineStr">
        <is>
          <t xml:space="preserve"> 0</t>
        </is>
      </c>
      <c r="K323" s="30">
        <f>(E323-F323)/IF(E323&gt;0,E323,1)</f>
        <v/>
      </c>
    </row>
    <row r="324">
      <c r="A324" s="22" t="inlineStr">
        <is>
          <t>나는 오렌지로 데이터 분석한다</t>
        </is>
      </c>
      <c r="B324" s="22" t="inlineStr">
        <is>
          <t>임진숙, 장병철, 서미란, 정종호</t>
        </is>
      </c>
      <c r="C324" s="22" t="inlineStr">
        <is>
          <t>씨마스</t>
        </is>
      </c>
      <c r="D324" s="22" t="inlineStr">
        <is>
          <t>2021년 12월</t>
        </is>
      </c>
      <c r="E324" s="28" t="n">
        <v>20000</v>
      </c>
      <c r="F324" s="28" t="n">
        <v>18000</v>
      </c>
      <c r="G324" s="29" t="n">
        <v>14</v>
      </c>
      <c r="H324" s="29" t="n">
        <v>2448</v>
      </c>
      <c r="I324" s="21" t="inlineStr">
        <is>
          <t>2021</t>
        </is>
      </c>
      <c r="J324" s="21" t="inlineStr">
        <is>
          <t xml:space="preserve"> 1</t>
        </is>
      </c>
      <c r="K324" s="30">
        <f>(E324-F324)/IF(E324&gt;0,E324,1)</f>
        <v/>
      </c>
    </row>
    <row r="325">
      <c r="A325" s="22" t="inlineStr">
        <is>
          <t>모던 로보틱스</t>
        </is>
      </c>
      <c r="B325" s="22" t="inlineStr">
        <is>
          <t>케빈 M. 린치, 박종우, 이병호, 윤상웅, 권재운, 정보 더 보기/감추기, 케빈 M. 린치, 박종우, 이병호, 윤상웅, 권재운, 김영훈, 김종민, 임중빈, 손민준, 정진, 이상현, 양우성</t>
        </is>
      </c>
      <c r="C325" s="22" t="inlineStr">
        <is>
          <t>에이콘출판사</t>
        </is>
      </c>
      <c r="D325" s="22" t="inlineStr">
        <is>
          <t>2023년 05월</t>
        </is>
      </c>
      <c r="E325" s="28" t="n">
        <v>50000</v>
      </c>
      <c r="F325" s="28" t="n">
        <v>45000</v>
      </c>
      <c r="G325" s="29" t="n">
        <v>1</v>
      </c>
      <c r="H325" s="29" t="n">
        <v>1044</v>
      </c>
      <c r="I325" s="21" t="inlineStr">
        <is>
          <t>2023</t>
        </is>
      </c>
      <c r="J325" s="21" t="inlineStr">
        <is>
          <t xml:space="preserve"> 0</t>
        </is>
      </c>
      <c r="K325" s="30">
        <f>(E325-F325)/IF(E325&gt;0,E325,1)</f>
        <v/>
      </c>
    </row>
    <row r="326">
      <c r="A326" s="22" t="inlineStr">
        <is>
          <t>AI 프로토타이핑 실전</t>
        </is>
      </c>
      <c r="B326" s="22" t="inlineStr">
        <is>
          <t>김성박</t>
        </is>
      </c>
      <c r="C326" s="22" t="inlineStr">
        <is>
          <t>루비페이퍼</t>
        </is>
      </c>
      <c r="D326" s="22" t="inlineStr">
        <is>
          <t>2025년 12월</t>
        </is>
      </c>
      <c r="E326" s="28" t="n">
        <v>28000</v>
      </c>
      <c r="F326" s="28" t="n">
        <v>25200</v>
      </c>
      <c r="G326" s="29" t="n">
        <v>4</v>
      </c>
      <c r="H326" s="29" t="n">
        <v>660</v>
      </c>
      <c r="I326" s="21" t="inlineStr">
        <is>
          <t>2025</t>
        </is>
      </c>
      <c r="J326" s="21" t="inlineStr">
        <is>
          <t xml:space="preserve"> 1</t>
        </is>
      </c>
      <c r="K326" s="30">
        <f>(E326-F326)/IF(E326&gt;0,E326,1)</f>
        <v/>
      </c>
    </row>
    <row r="327">
      <c r="A327" s="22" t="inlineStr">
        <is>
          <t>네트워크 · 보안 엔지니어를 위한 챗GPT 활용 기술</t>
        </is>
      </c>
      <c r="B327" s="22" t="inlineStr">
        <is>
          <t>박진산</t>
        </is>
      </c>
      <c r="C327" s="22" t="inlineStr">
        <is>
          <t>길벗</t>
        </is>
      </c>
      <c r="D327" s="22" t="inlineStr">
        <is>
          <t>2026년 03월</t>
        </is>
      </c>
      <c r="E327" s="28" t="n">
        <v>27000</v>
      </c>
      <c r="F327" s="28" t="n">
        <v>24300</v>
      </c>
      <c r="G327" s="29" t="n">
        <v>13</v>
      </c>
      <c r="H327" s="29" t="n">
        <v>954</v>
      </c>
      <c r="I327" s="21" t="inlineStr">
        <is>
          <t>2026</t>
        </is>
      </c>
      <c r="J327" s="21" t="inlineStr">
        <is>
          <t xml:space="preserve"> 0</t>
        </is>
      </c>
      <c r="K327" s="30">
        <f>(E327-F327)/IF(E327&gt;0,E327,1)</f>
        <v/>
      </c>
    </row>
    <row r="328">
      <c r="A328" s="22" t="inlineStr">
        <is>
          <t>AI 이후의 인간</t>
        </is>
      </c>
      <c r="B328" s="22" t="inlineStr">
        <is>
          <t>반병현</t>
        </is>
      </c>
      <c r="C328" s="22" t="inlineStr">
        <is>
          <t>생능북스</t>
        </is>
      </c>
      <c r="D328" s="22" t="inlineStr">
        <is>
          <t>2025년 10월</t>
        </is>
      </c>
      <c r="E328" s="28" t="n">
        <v>23000</v>
      </c>
      <c r="F328" s="28" t="n">
        <v>20700</v>
      </c>
      <c r="G328" s="29" t="n">
        <v>34</v>
      </c>
      <c r="H328" s="29" t="n">
        <v>1278</v>
      </c>
      <c r="I328" s="21" t="inlineStr">
        <is>
          <t>2025</t>
        </is>
      </c>
      <c r="J328" s="21" t="inlineStr">
        <is>
          <t xml:space="preserve"> 1</t>
        </is>
      </c>
      <c r="K328" s="30">
        <f>(E328-F328)/IF(E328&gt;0,E328,1)</f>
        <v/>
      </c>
    </row>
    <row r="329">
      <c r="A329" s="22" t="inlineStr">
        <is>
          <t>MCP로 똑똑하게 일하는 법</t>
        </is>
      </c>
      <c r="B329" s="22" t="inlineStr">
        <is>
          <t>케이트리</t>
        </is>
      </c>
      <c r="C329" s="22" t="inlineStr">
        <is>
          <t>제이펍</t>
        </is>
      </c>
      <c r="D329" s="22" t="inlineStr">
        <is>
          <t>2025년 06월</t>
        </is>
      </c>
      <c r="E329" s="28" t="n">
        <v>22000</v>
      </c>
      <c r="F329" s="28" t="n">
        <v>19800</v>
      </c>
      <c r="G329" s="29" t="n">
        <v>10</v>
      </c>
      <c r="H329" s="29" t="n">
        <v>5742</v>
      </c>
      <c r="I329" s="21" t="inlineStr">
        <is>
          <t>2025</t>
        </is>
      </c>
      <c r="J329" s="21" t="inlineStr">
        <is>
          <t xml:space="preserve"> 0</t>
        </is>
      </c>
      <c r="K329" s="30">
        <f>(E329-F329)/IF(E329&gt;0,E329,1)</f>
        <v/>
      </c>
    </row>
    <row r="330">
      <c r="A330" s="22" t="inlineStr">
        <is>
          <t>생성형 AI 뉴버전 미드저니 마스터 클래스 기초+고급+응용(실전)</t>
        </is>
      </c>
      <c r="B330" s="22" t="inlineStr">
        <is>
          <t>이용태</t>
        </is>
      </c>
      <c r="C330" s="22" t="inlineStr">
        <is>
          <t>책바세</t>
        </is>
      </c>
      <c r="D330" s="22" t="inlineStr">
        <is>
          <t>2024년 09월</t>
        </is>
      </c>
      <c r="E330" s="28" t="n">
        <v>25000</v>
      </c>
      <c r="F330" s="28" t="n">
        <v>22500</v>
      </c>
      <c r="G330" s="29" t="n">
        <v>18</v>
      </c>
      <c r="H330" s="29" t="n">
        <v>804</v>
      </c>
      <c r="I330" s="21" t="inlineStr">
        <is>
          <t>2024</t>
        </is>
      </c>
      <c r="J330" s="21" t="inlineStr">
        <is>
          <t xml:space="preserve"> 0</t>
        </is>
      </c>
      <c r="K330" s="30">
        <f>(E330-F330)/IF(E330&gt;0,E330,1)</f>
        <v/>
      </c>
    </row>
    <row r="331">
      <c r="A331" s="22" t="inlineStr">
        <is>
          <t>누구나 아는 나만 모르는 챗GPT : 세상에서 가장 쉬운 챗GPT &amp; AI 입문서</t>
        </is>
      </c>
      <c r="B331" s="22" t="inlineStr">
        <is>
          <t>이성원</t>
        </is>
      </c>
      <c r="C331" s="22" t="inlineStr">
        <is>
          <t>한빛미디어</t>
        </is>
      </c>
      <c r="D331" s="22" t="inlineStr">
        <is>
          <t>2025년 10월</t>
        </is>
      </c>
      <c r="E331" s="28" t="n">
        <v>19000</v>
      </c>
      <c r="F331" s="28" t="n">
        <v>17100</v>
      </c>
      <c r="G331" s="29" t="n">
        <v>41</v>
      </c>
      <c r="H331" s="29" t="n">
        <v>10086</v>
      </c>
      <c r="I331" s="21" t="inlineStr">
        <is>
          <t>2025</t>
        </is>
      </c>
      <c r="J331" s="21" t="inlineStr">
        <is>
          <t xml:space="preserve"> 1</t>
        </is>
      </c>
      <c r="K331" s="30">
        <f>(E331-F331)/IF(E331&gt;0,E331,1)</f>
        <v/>
      </c>
    </row>
    <row r="332">
      <c r="A332" s="22" t="inlineStr">
        <is>
          <t>대격변 AI 시대, 데이터로 사고하고 데이터로 리드하라</t>
        </is>
      </c>
      <c r="B332" s="22" t="inlineStr">
        <is>
          <t>알렉스 거트맨, 조던 골드마이어, 최재원, 장진욱</t>
        </is>
      </c>
      <c r="C332" s="22" t="inlineStr">
        <is>
          <t>책만</t>
        </is>
      </c>
      <c r="D332" s="22" t="inlineStr">
        <is>
          <t>2024년 05월</t>
        </is>
      </c>
      <c r="E332" s="28" t="n">
        <v>20000</v>
      </c>
      <c r="F332" s="28" t="n">
        <v>18000</v>
      </c>
      <c r="G332" s="29" t="n">
        <v>22</v>
      </c>
      <c r="H332" s="29" t="n">
        <v>690</v>
      </c>
      <c r="I332" s="21" t="inlineStr">
        <is>
          <t>2024</t>
        </is>
      </c>
      <c r="J332" s="21" t="inlineStr">
        <is>
          <t xml:space="preserve"> 0</t>
        </is>
      </c>
      <c r="K332" s="30">
        <f>(E332-F332)/IF(E332&gt;0,E332,1)</f>
        <v/>
      </c>
    </row>
    <row r="333">
      <c r="A333" s="22" t="inlineStr">
        <is>
          <t>공자가 AI 시대를 산다면</t>
        </is>
      </c>
      <c r="B333" s="22" t="inlineStr">
        <is>
          <t>김준태</t>
        </is>
      </c>
      <c r="C333" s="22" t="inlineStr">
        <is>
          <t>한겨레출판</t>
        </is>
      </c>
      <c r="D333" s="22" t="inlineStr">
        <is>
          <t>2025년 04월</t>
        </is>
      </c>
      <c r="E333" s="28" t="n">
        <v>18000</v>
      </c>
      <c r="F333" s="28" t="n">
        <v>16200</v>
      </c>
      <c r="G333" s="29" t="n">
        <v>14</v>
      </c>
      <c r="H333" s="29" t="n">
        <v>672</v>
      </c>
      <c r="I333" s="21" t="inlineStr">
        <is>
          <t>2025</t>
        </is>
      </c>
      <c r="J333" s="21" t="inlineStr">
        <is>
          <t xml:space="preserve"> 0</t>
        </is>
      </c>
      <c r="K333" s="30">
        <f>(E333-F333)/IF(E333&gt;0,E333,1)</f>
        <v/>
      </c>
    </row>
    <row r="334">
      <c r="A334" s="22" t="inlineStr">
        <is>
          <t>150분이면 충분한 중고등학교 기초 수학</t>
        </is>
      </c>
      <c r="B334" s="22" t="inlineStr">
        <is>
          <t>요네다 마사타카, 손민규</t>
        </is>
      </c>
      <c r="C334" s="22" t="inlineStr">
        <is>
          <t>제이펍</t>
        </is>
      </c>
      <c r="D334" s="22" t="inlineStr">
        <is>
          <t>2025년 01월</t>
        </is>
      </c>
      <c r="E334" s="28" t="n">
        <v>20000</v>
      </c>
      <c r="F334" s="28" t="n">
        <v>18000</v>
      </c>
      <c r="G334" s="29" t="n">
        <v>43</v>
      </c>
      <c r="H334" s="29" t="n">
        <v>1734</v>
      </c>
      <c r="I334" s="21" t="inlineStr">
        <is>
          <t>2025</t>
        </is>
      </c>
      <c r="J334" s="21" t="inlineStr">
        <is>
          <t xml:space="preserve"> 0</t>
        </is>
      </c>
      <c r="K334" s="30">
        <f>(E334-F334)/IF(E334&gt;0,E334,1)</f>
        <v/>
      </c>
    </row>
    <row r="335">
      <c r="A335" s="22" t="inlineStr">
        <is>
          <t>랭체인으로 구현하는 AI 서비스 &amp; 에이전트 개발 입문</t>
        </is>
      </c>
      <c r="B335" s="22" t="inlineStr">
        <is>
          <t>ML_Bear, 손민규, 장하렴</t>
        </is>
      </c>
      <c r="C335" s="22" t="inlineStr">
        <is>
          <t>영진닷컴</t>
        </is>
      </c>
      <c r="D335" s="22" t="inlineStr">
        <is>
          <t>2026년 04월</t>
        </is>
      </c>
      <c r="E335" s="28" t="n">
        <v>28000</v>
      </c>
      <c r="F335" s="28" t="n">
        <v>25200</v>
      </c>
      <c r="G335" s="29" t="n">
        <v>18</v>
      </c>
      <c r="H335" s="29" t="n">
        <v>504</v>
      </c>
      <c r="I335" s="21" t="inlineStr">
        <is>
          <t>2026</t>
        </is>
      </c>
      <c r="J335" s="21" t="inlineStr">
        <is>
          <t xml:space="preserve"> 0</t>
        </is>
      </c>
      <c r="K335" s="30">
        <f>(E335-F335)/IF(E335&gt;0,E335,1)</f>
        <v/>
      </c>
    </row>
    <row r="336">
      <c r="A336" s="22" t="inlineStr">
        <is>
          <t>자연어 처리를 위한 허깅페이스 트랜스포머 하드 트레이닝</t>
        </is>
      </c>
      <c r="B336" s="22" t="inlineStr">
        <is>
          <t>박성환, 남승우</t>
        </is>
      </c>
      <c r="C336" s="22" t="inlineStr">
        <is>
          <t>비제이퍼블릭(BJ퍼블릭)</t>
        </is>
      </c>
      <c r="D336" s="22" t="inlineStr">
        <is>
          <t>2025년 01월</t>
        </is>
      </c>
      <c r="E336" s="28" t="n">
        <v>27500</v>
      </c>
      <c r="F336" s="28" t="n">
        <v>24750</v>
      </c>
      <c r="G336" s="29" t="n">
        <v>30</v>
      </c>
      <c r="H336" s="29" t="n">
        <v>522</v>
      </c>
      <c r="I336" s="21" t="inlineStr">
        <is>
          <t>2025</t>
        </is>
      </c>
      <c r="J336" s="21" t="inlineStr">
        <is>
          <t xml:space="preserve"> 0</t>
        </is>
      </c>
      <c r="K336" s="30">
        <f>(E336-F336)/IF(E336&gt;0,E336,1)</f>
        <v/>
      </c>
    </row>
    <row r="337">
      <c r="A337" s="22" t="inlineStr">
        <is>
          <t>컬러와이즈 ColorWise</t>
        </is>
      </c>
      <c r="B337" s="22" t="inlineStr">
        <is>
          <t>케이트 스트라치니, 권혜정</t>
        </is>
      </c>
      <c r="C337" s="22" t="inlineStr">
        <is>
          <t>책만</t>
        </is>
      </c>
      <c r="D337" s="22" t="inlineStr">
        <is>
          <t>2024년 12월</t>
        </is>
      </c>
      <c r="E337" s="28" t="n">
        <v>18000</v>
      </c>
      <c r="F337" s="28" t="n">
        <v>16200</v>
      </c>
      <c r="G337" s="29" t="n">
        <v>12</v>
      </c>
      <c r="H337" s="29" t="n">
        <v>168</v>
      </c>
      <c r="I337" s="21" t="inlineStr">
        <is>
          <t>2024</t>
        </is>
      </c>
      <c r="J337" s="21" t="inlineStr">
        <is>
          <t xml:space="preserve"> 1</t>
        </is>
      </c>
      <c r="K337" s="30">
        <f>(E337-F337)/IF(E337&gt;0,E337,1)</f>
        <v/>
      </c>
    </row>
    <row r="338">
      <c r="A338" s="22" t="inlineStr">
        <is>
          <t>복잡한 건 싫지만 AI는 해야겠어</t>
        </is>
      </c>
      <c r="B338" s="22" t="inlineStr">
        <is>
          <t>최원정</t>
        </is>
      </c>
      <c r="C338" s="22" t="inlineStr">
        <is>
          <t>디지털북스</t>
        </is>
      </c>
      <c r="D338" s="22" t="inlineStr">
        <is>
          <t>2026년 01월</t>
        </is>
      </c>
      <c r="E338" s="28" t="n">
        <v>22000</v>
      </c>
      <c r="F338" s="28" t="n">
        <v>19800</v>
      </c>
      <c r="G338" s="29" t="n">
        <v>0</v>
      </c>
      <c r="H338" s="29" t="n">
        <v>492</v>
      </c>
      <c r="I338" s="21" t="inlineStr">
        <is>
          <t>2026</t>
        </is>
      </c>
      <c r="J338" s="21" t="inlineStr">
        <is>
          <t xml:space="preserve"> 0</t>
        </is>
      </c>
      <c r="K338" s="30">
        <f>(E338-F338)/IF(E338&gt;0,E338,1)</f>
        <v/>
      </c>
    </row>
    <row r="339">
      <c r="A339" s="22" t="inlineStr">
        <is>
          <t>AI 로봇 공학의 철학적 뿌리</t>
        </is>
      </c>
      <c r="B339" s="22" t="inlineStr">
        <is>
          <t>박우석</t>
        </is>
      </c>
      <c r="C339" s="22" t="inlineStr">
        <is>
          <t>커뮤니케이션북스</t>
        </is>
      </c>
      <c r="D339" s="22" t="inlineStr">
        <is>
          <t>2025년 11월</t>
        </is>
      </c>
      <c r="E339" s="28" t="n">
        <v>12000</v>
      </c>
      <c r="F339" s="28" t="n">
        <v>12000</v>
      </c>
      <c r="G339" s="29" t="n">
        <v>0</v>
      </c>
      <c r="H339" s="29" t="n">
        <v>108</v>
      </c>
      <c r="I339" s="21" t="inlineStr">
        <is>
          <t>2025</t>
        </is>
      </c>
      <c r="J339" s="21" t="inlineStr">
        <is>
          <t xml:space="preserve"> 1</t>
        </is>
      </c>
      <c r="K339" s="30">
        <f>(E339-F339)/IF(E339&gt;0,E339,1)</f>
        <v/>
      </c>
    </row>
    <row r="340">
      <c r="A340" s="22" t="inlineStr">
        <is>
          <t>인공지능과 의식</t>
        </is>
      </c>
      <c r="B340" s="22" t="inlineStr">
        <is>
          <t>한정규</t>
        </is>
      </c>
      <c r="C340" s="22" t="inlineStr">
        <is>
          <t>커뮤니케이션북스</t>
        </is>
      </c>
      <c r="D340" s="22" t="inlineStr">
        <is>
          <t>2025년 05월</t>
        </is>
      </c>
      <c r="E340" s="28" t="n">
        <v>12000</v>
      </c>
      <c r="F340" s="28" t="n">
        <v>12000</v>
      </c>
      <c r="G340" s="29" t="n">
        <v>1</v>
      </c>
      <c r="H340" s="29" t="n">
        <v>108</v>
      </c>
      <c r="I340" s="21" t="inlineStr">
        <is>
          <t>2025</t>
        </is>
      </c>
      <c r="J340" s="21" t="inlineStr">
        <is>
          <t xml:space="preserve"> 0</t>
        </is>
      </c>
      <c r="K340" s="30">
        <f>(E340-F340)/IF(E340&gt;0,E340,1)</f>
        <v/>
      </c>
    </row>
    <row r="341">
      <c r="A341" s="22" t="inlineStr">
        <is>
          <t>무작정 따라하는 AI 활용 업무혁신 레시피</t>
        </is>
      </c>
      <c r="B341" s="22" t="inlineStr">
        <is>
          <t>정호용, 석재민, 김명석, 한주원</t>
        </is>
      </c>
      <c r="C341" s="22" t="inlineStr">
        <is>
          <t>모노북스</t>
        </is>
      </c>
      <c r="D341" s="22" t="inlineStr">
        <is>
          <t>2024년 10월</t>
        </is>
      </c>
      <c r="E341" s="28" t="n">
        <v>24000</v>
      </c>
      <c r="F341" s="28" t="n">
        <v>21600</v>
      </c>
      <c r="G341" s="29" t="n">
        <v>0</v>
      </c>
      <c r="H341" s="29" t="n">
        <v>108</v>
      </c>
      <c r="I341" s="21" t="inlineStr">
        <is>
          <t>2024</t>
        </is>
      </c>
      <c r="J341" s="21" t="inlineStr">
        <is>
          <t xml:space="preserve"> 1</t>
        </is>
      </c>
      <c r="K341" s="30">
        <f>(E341-F341)/IF(E341&gt;0,E341,1)</f>
        <v/>
      </c>
    </row>
    <row r="342">
      <c r="A342" s="22" t="inlineStr">
        <is>
          <t>생성형 AI와 워터마크</t>
        </is>
      </c>
      <c r="B342" s="22" t="inlineStr">
        <is>
          <t>소병수</t>
        </is>
      </c>
      <c r="C342" s="22" t="inlineStr">
        <is>
          <t>커뮤니케이션북스</t>
        </is>
      </c>
      <c r="D342" s="22" t="inlineStr">
        <is>
          <t>2025년 03월</t>
        </is>
      </c>
      <c r="E342" s="28" t="n">
        <v>12000</v>
      </c>
      <c r="F342" s="28" t="n">
        <v>12000</v>
      </c>
      <c r="G342" s="29" t="n">
        <v>1</v>
      </c>
      <c r="H342" s="29" t="n">
        <v>72</v>
      </c>
      <c r="I342" s="21" t="inlineStr">
        <is>
          <t>2025</t>
        </is>
      </c>
      <c r="J342" s="21" t="inlineStr">
        <is>
          <t xml:space="preserve"> 0</t>
        </is>
      </c>
      <c r="K342" s="30">
        <f>(E342-F342)/IF(E342&gt;0,E342,1)</f>
        <v/>
      </c>
    </row>
    <row r="343">
      <c r="A343" s="22" t="inlineStr">
        <is>
          <t>여보! 코딩은 바이브야!</t>
        </is>
      </c>
      <c r="B343" s="22" t="inlineStr">
        <is>
          <t>김응</t>
        </is>
      </c>
      <c r="C343" s="22" t="inlineStr">
        <is>
          <t>BOOKK(부크크)</t>
        </is>
      </c>
      <c r="D343" s="22" t="inlineStr">
        <is>
          <t>2026년 06월</t>
        </is>
      </c>
      <c r="E343" s="28" t="n">
        <v>19500</v>
      </c>
      <c r="F343" s="28" t="n">
        <v>19500</v>
      </c>
      <c r="G343" s="29" t="n">
        <v>0</v>
      </c>
      <c r="H343" s="29" t="n">
        <v>120</v>
      </c>
      <c r="I343" s="21" t="inlineStr">
        <is>
          <t>2026</t>
        </is>
      </c>
      <c r="J343" s="21" t="inlineStr">
        <is>
          <t xml:space="preserve"> 0</t>
        </is>
      </c>
      <c r="K343" s="30">
        <f>(E343-F343)/IF(E343&gt;0,E343,1)</f>
        <v/>
      </c>
    </row>
    <row r="344">
      <c r="A344" s="22" t="inlineStr">
        <is>
          <t>인공지능 파놉티콘</t>
        </is>
      </c>
      <c r="B344" s="22" t="inlineStr">
        <is>
          <t>홍성욱</t>
        </is>
      </c>
      <c r="C344" s="22" t="inlineStr">
        <is>
          <t>김영사</t>
        </is>
      </c>
      <c r="D344" s="22" t="inlineStr">
        <is>
          <t>2026년 04월</t>
        </is>
      </c>
      <c r="E344" s="28" t="n">
        <v>19800</v>
      </c>
      <c r="F344" s="28" t="n">
        <v>17820</v>
      </c>
      <c r="G344" s="29" t="n">
        <v>8</v>
      </c>
      <c r="H344" s="29" t="n">
        <v>450</v>
      </c>
      <c r="I344" s="21" t="inlineStr">
        <is>
          <t>2026</t>
        </is>
      </c>
      <c r="J344" s="21" t="inlineStr">
        <is>
          <t xml:space="preserve"> 0</t>
        </is>
      </c>
      <c r="K344" s="30">
        <f>(E344-F344)/IF(E344&gt;0,E344,1)</f>
        <v/>
      </c>
    </row>
    <row r="345">
      <c r="A345" s="22" t="inlineStr">
        <is>
          <t>생성형 AI와 사변적 디자인</t>
        </is>
      </c>
      <c r="B345" s="22" t="inlineStr">
        <is>
          <t>장순규</t>
        </is>
      </c>
      <c r="C345" s="22" t="inlineStr">
        <is>
          <t>커뮤니케이션북스</t>
        </is>
      </c>
      <c r="D345" s="22" t="inlineStr">
        <is>
          <t>2026년 04월</t>
        </is>
      </c>
      <c r="E345" s="28" t="n">
        <v>12000</v>
      </c>
      <c r="F345" s="28" t="n">
        <v>12000</v>
      </c>
      <c r="G345" s="29" t="n">
        <v>0</v>
      </c>
      <c r="H345" s="29" t="n">
        <v>90</v>
      </c>
      <c r="I345" s="21" t="inlineStr">
        <is>
          <t>2026</t>
        </is>
      </c>
      <c r="J345" s="21" t="inlineStr">
        <is>
          <t xml:space="preserve"> 0</t>
        </is>
      </c>
      <c r="K345" s="30">
        <f>(E345-F345)/IF(E345&gt;0,E345,1)</f>
        <v/>
      </c>
    </row>
    <row r="346">
      <c r="A346" s="22" t="inlineStr">
        <is>
          <t>AI와 다도 교육</t>
        </is>
      </c>
      <c r="B346" s="22" t="inlineStr">
        <is>
          <t>경혜영, 윤병화</t>
        </is>
      </c>
      <c r="C346" s="22" t="inlineStr">
        <is>
          <t>커뮤니케이션북스</t>
        </is>
      </c>
      <c r="D346" s="22" t="inlineStr">
        <is>
          <t>2025년 12월</t>
        </is>
      </c>
      <c r="E346" s="28" t="n">
        <v>12000</v>
      </c>
      <c r="F346" s="28" t="n">
        <v>12000</v>
      </c>
      <c r="G346" s="29" t="n">
        <v>0</v>
      </c>
      <c r="H346" s="29" t="n">
        <v>72</v>
      </c>
      <c r="I346" s="21" t="inlineStr">
        <is>
          <t>2025</t>
        </is>
      </c>
      <c r="J346" s="21" t="inlineStr">
        <is>
          <t xml:space="preserve"> 1</t>
        </is>
      </c>
      <c r="K346" s="30">
        <f>(E346-F346)/IF(E346&gt;0,E346,1)</f>
        <v/>
      </c>
    </row>
    <row r="347">
      <c r="A347" s="22" t="inlineStr">
        <is>
          <t>Do it! 코드 없이 배우는 데이터 분석 with 오렌지3</t>
        </is>
      </c>
      <c r="B347" s="22" t="inlineStr">
        <is>
          <t>권서림</t>
        </is>
      </c>
      <c r="C347" s="22" t="inlineStr">
        <is>
          <t>이지스퍼블리싱</t>
        </is>
      </c>
      <c r="D347" s="22" t="inlineStr">
        <is>
          <t>2024년 12월</t>
        </is>
      </c>
      <c r="E347" s="28" t="n">
        <v>18800</v>
      </c>
      <c r="F347" s="28" t="n">
        <v>16920</v>
      </c>
      <c r="G347" s="29" t="n">
        <v>5</v>
      </c>
      <c r="H347" s="29" t="n">
        <v>1665</v>
      </c>
      <c r="I347" s="21" t="inlineStr">
        <is>
          <t>2024</t>
        </is>
      </c>
      <c r="J347" s="21" t="inlineStr">
        <is>
          <t xml:space="preserve"> 1</t>
        </is>
      </c>
      <c r="K347" s="30">
        <f>(E347-F347)/IF(E347&gt;0,E347,1)</f>
        <v/>
      </c>
    </row>
    <row r="348">
      <c r="A348" s="22" t="inlineStr">
        <is>
          <t>AI와 신용 평가</t>
        </is>
      </c>
      <c r="B348" s="22" t="inlineStr">
        <is>
          <t>최성민</t>
        </is>
      </c>
      <c r="C348" s="22" t="inlineStr">
        <is>
          <t>커뮤니케이션북스</t>
        </is>
      </c>
      <c r="D348" s="22" t="inlineStr">
        <is>
          <t>2024년 11월</t>
        </is>
      </c>
      <c r="E348" s="28" t="n">
        <v>12000</v>
      </c>
      <c r="F348" s="28" t="n">
        <v>12000</v>
      </c>
      <c r="G348" s="29" t="n">
        <v>5</v>
      </c>
      <c r="H348" s="29" t="n">
        <v>72</v>
      </c>
      <c r="I348" s="21" t="inlineStr">
        <is>
          <t>2024</t>
        </is>
      </c>
      <c r="J348" s="21" t="inlineStr">
        <is>
          <t xml:space="preserve"> 1</t>
        </is>
      </c>
      <c r="K348" s="30">
        <f>(E348-F348)/IF(E348&gt;0,E348,1)</f>
        <v/>
      </c>
    </row>
    <row r="349">
      <c r="A349" s="22" t="inlineStr">
        <is>
          <t>머신러닝 시스템 설계</t>
        </is>
      </c>
      <c r="B349" s="22" t="inlineStr">
        <is>
          <t>칩 후옌, 김대근, 김영민</t>
        </is>
      </c>
      <c r="C349" s="22" t="inlineStr">
        <is>
          <t>한빛미디어</t>
        </is>
      </c>
      <c r="D349" s="22" t="inlineStr">
        <is>
          <t>2023년 03월</t>
        </is>
      </c>
      <c r="E349" s="28" t="n">
        <v>38000</v>
      </c>
      <c r="F349" s="28" t="n">
        <v>34200</v>
      </c>
      <c r="G349" s="29" t="n">
        <v>32</v>
      </c>
      <c r="H349" s="29" t="n">
        <v>1536</v>
      </c>
      <c r="I349" s="21" t="inlineStr">
        <is>
          <t>2023</t>
        </is>
      </c>
      <c r="J349" s="21" t="inlineStr">
        <is>
          <t xml:space="preserve"> 0</t>
        </is>
      </c>
      <c r="K349" s="30">
        <f>(E349-F349)/IF(E349&gt;0,E349,1)</f>
        <v/>
      </c>
    </row>
    <row r="350">
      <c r="A350" s="22" t="inlineStr">
        <is>
          <t>제대로 알고 쓰는 논문 통계분석 with 파이썬&amp;머신러닝</t>
        </is>
      </c>
      <c r="B350" s="22" t="inlineStr">
        <is>
          <t>노경섭</t>
        </is>
      </c>
      <c r="C350" s="22" t="inlineStr">
        <is>
          <t>한빛아카데미</t>
        </is>
      </c>
      <c r="D350" s="22" t="inlineStr">
        <is>
          <t>2026년 01월</t>
        </is>
      </c>
      <c r="E350" s="28" t="n">
        <v>38000</v>
      </c>
      <c r="F350" s="28" t="n">
        <v>38000</v>
      </c>
      <c r="G350" s="29" t="n">
        <v>0</v>
      </c>
      <c r="H350" s="29" t="n">
        <v>288</v>
      </c>
      <c r="I350" s="21" t="inlineStr">
        <is>
          <t>2026</t>
        </is>
      </c>
      <c r="J350" s="21" t="inlineStr">
        <is>
          <t xml:space="preserve"> 0</t>
        </is>
      </c>
      <c r="K350" s="30">
        <f>(E350-F350)/IF(E350&gt;0,E350,1)</f>
        <v/>
      </c>
    </row>
    <row r="351">
      <c r="A351" s="22" t="inlineStr">
        <is>
          <t>인공지능</t>
        </is>
      </c>
      <c r="B351" s="22" t="inlineStr">
        <is>
          <t>천인국</t>
        </is>
      </c>
      <c r="C351" s="22" t="inlineStr">
        <is>
          <t>인피니티북스</t>
        </is>
      </c>
      <c r="D351" s="22" t="inlineStr">
        <is>
          <t>2023년 03월</t>
        </is>
      </c>
      <c r="E351" s="28" t="n">
        <v>33000</v>
      </c>
      <c r="F351" s="28" t="n">
        <v>33000</v>
      </c>
      <c r="G351" s="29" t="n">
        <v>0</v>
      </c>
      <c r="H351" s="29" t="n">
        <v>1545</v>
      </c>
      <c r="I351" s="21" t="inlineStr">
        <is>
          <t>2023</t>
        </is>
      </c>
      <c r="J351" s="21" t="inlineStr">
        <is>
          <t xml:space="preserve"> 0</t>
        </is>
      </c>
      <c r="K351" s="30">
        <f>(E351-F351)/IF(E351&gt;0,E351,1)</f>
        <v/>
      </c>
    </row>
    <row r="352">
      <c r="A352" s="22" t="inlineStr">
        <is>
          <t>데이터 엔지니어를 위한 97가지 조언</t>
        </is>
      </c>
      <c r="B352" s="22" t="inlineStr">
        <is>
          <t>토비아스 메이시, 임혜연</t>
        </is>
      </c>
      <c r="C352" s="22" t="inlineStr">
        <is>
          <t>길벗</t>
        </is>
      </c>
      <c r="D352" s="22" t="inlineStr">
        <is>
          <t>2023년 10월</t>
        </is>
      </c>
      <c r="E352" s="28" t="n">
        <v>25000</v>
      </c>
      <c r="F352" s="28" t="n">
        <v>22500</v>
      </c>
      <c r="G352" s="29" t="n">
        <v>9</v>
      </c>
      <c r="H352" s="29" t="n">
        <v>264</v>
      </c>
      <c r="I352" s="21" t="inlineStr">
        <is>
          <t>2023</t>
        </is>
      </c>
      <c r="J352" s="21" t="inlineStr">
        <is>
          <t xml:space="preserve"> 1</t>
        </is>
      </c>
      <c r="K352" s="30">
        <f>(E352-F352)/IF(E352&gt;0,E352,1)</f>
        <v/>
      </c>
    </row>
    <row r="353">
      <c r="A353" s="22" t="inlineStr">
        <is>
          <t>결국, AI로 일하는 사람만 살아남는다</t>
        </is>
      </c>
      <c r="B353" s="22" t="inlineStr">
        <is>
          <t>김형용</t>
        </is>
      </c>
      <c r="C353" s="22" t="inlineStr">
        <is>
          <t>콩콩 컴퍼니</t>
        </is>
      </c>
      <c r="D353" s="22" t="inlineStr">
        <is>
          <t>2026년 05월</t>
        </is>
      </c>
      <c r="E353" s="28" t="n">
        <v>20700</v>
      </c>
      <c r="F353" s="28" t="n">
        <v>20700</v>
      </c>
      <c r="G353" s="29" t="n">
        <v>0</v>
      </c>
      <c r="H353" s="29" t="n">
        <v>228</v>
      </c>
      <c r="I353" s="21" t="inlineStr">
        <is>
          <t>2026</t>
        </is>
      </c>
      <c r="J353" s="21" t="inlineStr">
        <is>
          <t xml:space="preserve"> 0</t>
        </is>
      </c>
      <c r="K353" s="30">
        <f>(E353-F353)/IF(E353&gt;0,E353,1)</f>
        <v/>
      </c>
    </row>
    <row r="354">
      <c r="A354" s="22" t="inlineStr">
        <is>
          <t>평범한 나를 능력자로 바꾸는 클로드 완전 마스터</t>
        </is>
      </c>
      <c r="B354" s="22" t="inlineStr">
        <is>
          <t>정의</t>
        </is>
      </c>
      <c r="C354" s="22" t="inlineStr">
        <is>
          <t>BOOKK(부크크)</t>
        </is>
      </c>
      <c r="D354" s="22" t="inlineStr">
        <is>
          <t>2026년 05월</t>
        </is>
      </c>
      <c r="E354" s="28" t="n">
        <v>9300</v>
      </c>
      <c r="F354" s="28" t="n">
        <v>9300</v>
      </c>
      <c r="G354" s="29" t="n">
        <v>0</v>
      </c>
      <c r="H354" s="29" t="n">
        <v>318</v>
      </c>
      <c r="I354" s="21" t="inlineStr">
        <is>
          <t>2026</t>
        </is>
      </c>
      <c r="J354" s="21" t="inlineStr">
        <is>
          <t xml:space="preserve"> 0</t>
        </is>
      </c>
      <c r="K354" s="30">
        <f>(E354-F354)/IF(E354&gt;0,E354,1)</f>
        <v/>
      </c>
    </row>
    <row r="355">
      <c r="A355" s="22" t="inlineStr">
        <is>
          <t>AI 프롬프트와 토픽 모델링</t>
        </is>
      </c>
      <c r="B355" s="22" t="inlineStr">
        <is>
          <t>정동균, 이종화</t>
        </is>
      </c>
      <c r="C355" s="22" t="inlineStr">
        <is>
          <t>커뮤니케이션북스</t>
        </is>
      </c>
      <c r="D355" s="22" t="inlineStr">
        <is>
          <t>2026년 05월</t>
        </is>
      </c>
      <c r="E355" s="28" t="n">
        <v>12000</v>
      </c>
      <c r="F355" s="28" t="n">
        <v>12000</v>
      </c>
      <c r="G355" s="29" t="n">
        <v>0</v>
      </c>
      <c r="H355" s="29" t="n">
        <v>270</v>
      </c>
      <c r="I355" s="21" t="inlineStr">
        <is>
          <t>2026</t>
        </is>
      </c>
      <c r="J355" s="21" t="inlineStr">
        <is>
          <t xml:space="preserve"> 0</t>
        </is>
      </c>
      <c r="K355" s="30">
        <f>(E355-F355)/IF(E355&gt;0,E355,1)</f>
        <v/>
      </c>
    </row>
    <row r="356">
      <c r="A356" s="22" t="inlineStr">
        <is>
          <t>AI 시대의 질적 연구</t>
        </is>
      </c>
      <c r="B356" s="22" t="inlineStr">
        <is>
          <t>김영순</t>
        </is>
      </c>
      <c r="C356" s="22" t="inlineStr">
        <is>
          <t>커뮤니케이션북스</t>
        </is>
      </c>
      <c r="D356" s="22" t="inlineStr">
        <is>
          <t>2026년 03월</t>
        </is>
      </c>
      <c r="E356" s="28" t="n">
        <v>12000</v>
      </c>
      <c r="F356" s="28" t="n">
        <v>12000</v>
      </c>
      <c r="G356" s="29" t="n">
        <v>0</v>
      </c>
      <c r="H356" s="29" t="n">
        <v>234</v>
      </c>
      <c r="I356" s="21" t="inlineStr">
        <is>
          <t>2026</t>
        </is>
      </c>
      <c r="J356" s="21" t="inlineStr">
        <is>
          <t xml:space="preserve"> 0</t>
        </is>
      </c>
      <c r="K356" s="30">
        <f>(E356-F356)/IF(E356&gt;0,E356,1)</f>
        <v/>
      </c>
    </row>
    <row r="357">
      <c r="A357" s="22" t="inlineStr">
        <is>
          <t>청소년을 위한 교실 밖 인공지능 수업</t>
        </is>
      </c>
      <c r="B357" s="22" t="inlineStr">
        <is>
          <t>김현정</t>
        </is>
      </c>
      <c r="C357" s="22" t="inlineStr">
        <is>
          <t>궁리출판</t>
        </is>
      </c>
      <c r="D357" s="22" t="inlineStr">
        <is>
          <t>2022년 07월</t>
        </is>
      </c>
      <c r="E357" s="28" t="n">
        <v>14000</v>
      </c>
      <c r="F357" s="28" t="n">
        <v>12600</v>
      </c>
      <c r="G357" s="29" t="n">
        <v>0</v>
      </c>
      <c r="H357" s="29" t="n">
        <v>396</v>
      </c>
      <c r="I357" s="21" t="inlineStr">
        <is>
          <t>2022</t>
        </is>
      </c>
      <c r="J357" s="21" t="inlineStr">
        <is>
          <t xml:space="preserve"> 0</t>
        </is>
      </c>
      <c r="K357" s="30">
        <f>(E357-F357)/IF(E357&gt;0,E357,1)</f>
        <v/>
      </c>
    </row>
    <row r="358">
      <c r="A358" s="22" t="inlineStr">
        <is>
          <t>생성형 AI와 스마트 물류 혁신</t>
        </is>
      </c>
      <c r="B358" s="22" t="inlineStr">
        <is>
          <t>정재엽</t>
        </is>
      </c>
      <c r="C358" s="22" t="inlineStr">
        <is>
          <t>커뮤니케이션북스</t>
        </is>
      </c>
      <c r="D358" s="22" t="inlineStr">
        <is>
          <t>2026년 04월</t>
        </is>
      </c>
      <c r="E358" s="28" t="n">
        <v>12000</v>
      </c>
      <c r="F358" s="28" t="n">
        <v>12000</v>
      </c>
      <c r="G358" s="29" t="n">
        <v>0</v>
      </c>
      <c r="H358" s="29" t="n">
        <v>144</v>
      </c>
      <c r="I358" s="21" t="inlineStr">
        <is>
          <t>2026</t>
        </is>
      </c>
      <c r="J358" s="21" t="inlineStr">
        <is>
          <t xml:space="preserve"> 0</t>
        </is>
      </c>
      <c r="K358" s="30">
        <f>(E358-F358)/IF(E358&gt;0,E358,1)</f>
        <v/>
      </c>
    </row>
    <row r="359">
      <c r="A359" s="22" t="inlineStr">
        <is>
          <t>바이브 코딩 항해일지</t>
        </is>
      </c>
      <c r="B359" s="22" t="inlineStr">
        <is>
          <t>동준상</t>
        </is>
      </c>
      <c r="C359" s="22" t="inlineStr">
        <is>
          <t>에이콘출판사</t>
        </is>
      </c>
      <c r="D359" s="22" t="inlineStr">
        <is>
          <t>2026년 04월</t>
        </is>
      </c>
      <c r="E359" s="28" t="n">
        <v>28000</v>
      </c>
      <c r="F359" s="28" t="n">
        <v>25200</v>
      </c>
      <c r="G359" s="29" t="n">
        <v>2</v>
      </c>
      <c r="H359" s="29" t="n">
        <v>150</v>
      </c>
      <c r="I359" s="21" t="inlineStr">
        <is>
          <t>2026</t>
        </is>
      </c>
      <c r="J359" s="21" t="inlineStr">
        <is>
          <t xml:space="preserve"> 0</t>
        </is>
      </c>
      <c r="K359" s="30">
        <f>(E359-F359)/IF(E359&gt;0,E359,1)</f>
        <v/>
      </c>
    </row>
    <row r="360">
      <c r="A360" s="22" t="inlineStr">
        <is>
          <t>59가지 통계학 궁금증 완전 정복</t>
        </is>
      </c>
      <c r="B360" s="22" t="inlineStr">
        <is>
          <t>황성원</t>
        </is>
      </c>
      <c r="C360" s="22" t="inlineStr">
        <is>
          <t>길벗</t>
        </is>
      </c>
      <c r="D360" s="22" t="inlineStr">
        <is>
          <t>2025년 05월</t>
        </is>
      </c>
      <c r="E360" s="28" t="n">
        <v>24000</v>
      </c>
      <c r="F360" s="28" t="n">
        <v>21600</v>
      </c>
      <c r="G360" s="29" t="n">
        <v>14</v>
      </c>
      <c r="H360" s="29" t="n">
        <v>2262</v>
      </c>
      <c r="I360" s="21" t="inlineStr">
        <is>
          <t>2025</t>
        </is>
      </c>
      <c r="J360" s="21" t="inlineStr">
        <is>
          <t xml:space="preserve"> 0</t>
        </is>
      </c>
      <c r="K360" s="30">
        <f>(E360-F360)/IF(E360&gt;0,E360,1)</f>
        <v/>
      </c>
    </row>
    <row r="361">
      <c r="A361" s="22" t="inlineStr">
        <is>
          <t>다시 고등 수학</t>
        </is>
      </c>
      <c r="B361" s="22" t="inlineStr">
        <is>
          <t>나가노 히로유키, 서재원</t>
        </is>
      </c>
      <c r="C361" s="22" t="inlineStr">
        <is>
          <t>길벗</t>
        </is>
      </c>
      <c r="D361" s="22" t="inlineStr">
        <is>
          <t>2022년 01월</t>
        </is>
      </c>
      <c r="E361" s="28" t="n">
        <v>22000</v>
      </c>
      <c r="F361" s="28" t="n">
        <v>19800</v>
      </c>
      <c r="G361" s="29" t="n">
        <v>19</v>
      </c>
      <c r="H361" s="29" t="n">
        <v>1062</v>
      </c>
      <c r="I361" s="21" t="inlineStr">
        <is>
          <t>2022</t>
        </is>
      </c>
      <c r="J361" s="21" t="inlineStr">
        <is>
          <t xml:space="preserve"> 0</t>
        </is>
      </c>
      <c r="K361" s="30">
        <f>(E361-F361)/IF(E361&gt;0,E361,1)</f>
        <v/>
      </c>
    </row>
    <row r="362">
      <c r="A362" s="22" t="inlineStr">
        <is>
          <t>10분 만에 따라 하는 Claude MCP 업무 자동화 혁신 가이드</t>
        </is>
      </c>
      <c r="B362" s="22" t="inlineStr">
        <is>
          <t>이호준</t>
        </is>
      </c>
      <c r="C362" s="22" t="inlineStr">
        <is>
          <t>리코멘드</t>
        </is>
      </c>
      <c r="D362" s="22" t="inlineStr">
        <is>
          <t>2025년 07월</t>
        </is>
      </c>
      <c r="E362" s="28" t="n">
        <v>18800</v>
      </c>
      <c r="F362" s="28" t="n">
        <v>16920</v>
      </c>
      <c r="G362" s="29" t="n">
        <v>3</v>
      </c>
      <c r="H362" s="29" t="n">
        <v>2250</v>
      </c>
      <c r="I362" s="21" t="inlineStr">
        <is>
          <t>2025</t>
        </is>
      </c>
      <c r="J362" s="21" t="inlineStr">
        <is>
          <t xml:space="preserve"> 0</t>
        </is>
      </c>
      <c r="K362" s="30">
        <f>(E362-F362)/IF(E362&gt;0,E362,1)</f>
        <v/>
      </c>
    </row>
    <row r="363">
      <c r="A363" s="22" t="inlineStr">
        <is>
          <t>챗GPT 구구단</t>
        </is>
      </c>
      <c r="B363" s="22" t="inlineStr">
        <is>
          <t>유경식(피치타이탄)</t>
        </is>
      </c>
      <c r="C363" s="22" t="inlineStr">
        <is>
          <t>여의도책방</t>
        </is>
      </c>
      <c r="D363" s="22" t="inlineStr">
        <is>
          <t>2026년 01월</t>
        </is>
      </c>
      <c r="E363" s="28" t="n">
        <v>26000</v>
      </c>
      <c r="F363" s="28" t="n">
        <v>23400</v>
      </c>
      <c r="G363" s="29" t="n">
        <v>16</v>
      </c>
      <c r="H363" s="29" t="n">
        <v>1044</v>
      </c>
      <c r="I363" s="21" t="inlineStr">
        <is>
          <t>2026</t>
        </is>
      </c>
      <c r="J363" s="21" t="inlineStr">
        <is>
          <t xml:space="preserve"> 0</t>
        </is>
      </c>
      <c r="K363" s="30">
        <f>(E363-F363)/IF(E363&gt;0,E363,1)</f>
        <v/>
      </c>
    </row>
    <row r="364">
      <c r="A364" s="22" t="inlineStr">
        <is>
          <t>딥러닝을 위한 수학</t>
        </is>
      </c>
      <c r="B364" s="22" t="inlineStr">
        <is>
          <t>로널드 크노이젤, 류광</t>
        </is>
      </c>
      <c r="C364" s="22" t="inlineStr">
        <is>
          <t>제이펍</t>
        </is>
      </c>
      <c r="D364" s="22" t="inlineStr">
        <is>
          <t>2022년 08월</t>
        </is>
      </c>
      <c r="E364" s="28" t="n">
        <v>30000</v>
      </c>
      <c r="F364" s="28" t="n">
        <v>27000</v>
      </c>
      <c r="G364" s="29" t="n">
        <v>13</v>
      </c>
      <c r="H364" s="29" t="n">
        <v>963</v>
      </c>
      <c r="I364" s="21" t="inlineStr">
        <is>
          <t>2022</t>
        </is>
      </c>
      <c r="J364" s="21" t="inlineStr">
        <is>
          <t xml:space="preserve"> 0</t>
        </is>
      </c>
      <c r="K364" s="30">
        <f>(E364-F364)/IF(E364&gt;0,E364,1)</f>
        <v/>
      </c>
    </row>
    <row r="365">
      <c r="A365" s="22" t="inlineStr">
        <is>
          <t>처음 만나는 인공지능</t>
        </is>
      </c>
      <c r="B365" s="22" t="inlineStr">
        <is>
          <t>김대수, 김경동</t>
        </is>
      </c>
      <c r="C365" s="22" t="inlineStr">
        <is>
          <t>생능출판사</t>
        </is>
      </c>
      <c r="D365" s="22" t="inlineStr">
        <is>
          <t>2023년 12월</t>
        </is>
      </c>
      <c r="E365" s="28" t="n">
        <v>27000</v>
      </c>
      <c r="F365" s="28" t="n">
        <v>27000</v>
      </c>
      <c r="G365" s="29" t="n">
        <v>0</v>
      </c>
      <c r="H365" s="29" t="n">
        <v>2034</v>
      </c>
      <c r="I365" s="21" t="inlineStr">
        <is>
          <t>2023</t>
        </is>
      </c>
      <c r="J365" s="21" t="inlineStr">
        <is>
          <t xml:space="preserve"> 1</t>
        </is>
      </c>
      <c r="K365" s="30">
        <f>(E365-F365)/IF(E365&gt;0,E365,1)</f>
        <v/>
      </c>
    </row>
    <row r="366">
      <c r="A366" s="22" t="inlineStr">
        <is>
          <t>AI 디자인 활용백과</t>
        </is>
      </c>
      <c r="B366" s="22" t="inlineStr">
        <is>
          <t>채시은</t>
        </is>
      </c>
      <c r="C366" s="22" t="inlineStr">
        <is>
          <t>스마트북스</t>
        </is>
      </c>
      <c r="D366" s="22" t="inlineStr">
        <is>
          <t>2026년 01월</t>
        </is>
      </c>
      <c r="E366" s="28" t="n">
        <v>25000</v>
      </c>
      <c r="F366" s="28" t="n">
        <v>22500</v>
      </c>
      <c r="G366" s="29" t="n">
        <v>2</v>
      </c>
      <c r="H366" s="29" t="n">
        <v>876</v>
      </c>
      <c r="I366" s="21" t="inlineStr">
        <is>
          <t>2026</t>
        </is>
      </c>
      <c r="J366" s="21" t="inlineStr">
        <is>
          <t xml:space="preserve"> 0</t>
        </is>
      </c>
      <c r="K366" s="30">
        <f>(E366-F366)/IF(E366&gt;0,E366,1)</f>
        <v/>
      </c>
    </row>
    <row r="367">
      <c r="A367" s="22" t="inlineStr">
        <is>
          <t>유니티로 배우는 C# 프로그래밍 6/e</t>
        </is>
      </c>
      <c r="B367" s="22" t="inlineStr">
        <is>
          <t>해리슨 페론, 이지성, 송정은</t>
        </is>
      </c>
      <c r="C367" s="22" t="inlineStr">
        <is>
          <t>에이콘출판사</t>
        </is>
      </c>
      <c r="D367" s="22" t="inlineStr">
        <is>
          <t>2023년 05월</t>
        </is>
      </c>
      <c r="E367" s="28" t="n">
        <v>40000</v>
      </c>
      <c r="F367" s="28" t="n">
        <v>36000</v>
      </c>
      <c r="G367" s="29" t="n">
        <v>2</v>
      </c>
      <c r="H367" s="29" t="n">
        <v>798</v>
      </c>
      <c r="I367" s="21" t="inlineStr">
        <is>
          <t>2023</t>
        </is>
      </c>
      <c r="J367" s="21" t="inlineStr">
        <is>
          <t xml:space="preserve"> 0</t>
        </is>
      </c>
      <c r="K367" s="30">
        <f>(E367-F367)/IF(E367&gt;0,E367,1)</f>
        <v/>
      </c>
    </row>
    <row r="368">
      <c r="A368" s="22" t="inlineStr">
        <is>
          <t>심층 학습</t>
        </is>
      </c>
      <c r="B368" s="22" t="inlineStr">
        <is>
          <t>이안 굿펠로, 요슈아 벤지오, 에런 쿠빌, 류광</t>
        </is>
      </c>
      <c r="C368" s="22" t="inlineStr">
        <is>
          <t>제이펍</t>
        </is>
      </c>
      <c r="D368" s="22" t="inlineStr">
        <is>
          <t>2018년 10월</t>
        </is>
      </c>
      <c r="E368" s="28" t="n">
        <v>42000</v>
      </c>
      <c r="F368" s="28" t="n">
        <v>37800</v>
      </c>
      <c r="G368" s="29" t="n">
        <v>13</v>
      </c>
      <c r="H368" s="29" t="n">
        <v>720</v>
      </c>
      <c r="I368" s="21" t="inlineStr">
        <is>
          <t>2018</t>
        </is>
      </c>
      <c r="J368" s="21" t="inlineStr">
        <is>
          <t xml:space="preserve"> 1</t>
        </is>
      </c>
      <c r="K368" s="30">
        <f>(E368-F368)/IF(E368&gt;0,E368,1)</f>
        <v/>
      </c>
    </row>
    <row r="369">
      <c r="A369" s="22" t="inlineStr">
        <is>
          <t>신경망 첫걸음</t>
        </is>
      </c>
      <c r="B369" s="22" t="inlineStr">
        <is>
          <t>타리크 라시드, 송교석</t>
        </is>
      </c>
      <c r="C369" s="22" t="inlineStr">
        <is>
          <t>한빛미디어</t>
        </is>
      </c>
      <c r="D369" s="22" t="inlineStr">
        <is>
          <t>2017년 04월</t>
        </is>
      </c>
      <c r="E369" s="28" t="n">
        <v>25000</v>
      </c>
      <c r="F369" s="28" t="n">
        <v>22500</v>
      </c>
      <c r="G369" s="29" t="n">
        <v>42</v>
      </c>
      <c r="H369" s="29" t="n">
        <v>885</v>
      </c>
      <c r="I369" s="21" t="inlineStr">
        <is>
          <t>2017</t>
        </is>
      </c>
      <c r="J369" s="21" t="inlineStr">
        <is>
          <t xml:space="preserve"> 0</t>
        </is>
      </c>
      <c r="K369" s="30">
        <f>(E369-F369)/IF(E369&gt;0,E369,1)</f>
        <v/>
      </c>
    </row>
    <row r="370">
      <c r="A370" s="22" t="inlineStr">
        <is>
          <t>쉽게 배우고 생활에 바로 쓰는 AI 활용</t>
        </is>
      </c>
      <c r="B370" s="22" t="inlineStr">
        <is>
          <t>오상열</t>
        </is>
      </c>
      <c r="C370" s="22" t="inlineStr">
        <is>
          <t>아이콕스(iCox)</t>
        </is>
      </c>
      <c r="D370" s="22" t="inlineStr">
        <is>
          <t>2025년 08월</t>
        </is>
      </c>
      <c r="E370" s="28" t="n">
        <v>15000</v>
      </c>
      <c r="F370" s="28" t="n">
        <v>13500</v>
      </c>
      <c r="G370" s="29" t="n">
        <v>2</v>
      </c>
      <c r="H370" s="29" t="n">
        <v>744</v>
      </c>
      <c r="I370" s="21" t="inlineStr">
        <is>
          <t>2025</t>
        </is>
      </c>
      <c r="J370" s="21" t="inlineStr">
        <is>
          <t xml:space="preserve"> 0</t>
        </is>
      </c>
      <c r="K370" s="30">
        <f>(E370-F370)/IF(E370&gt;0,E370,1)</f>
        <v/>
      </c>
    </row>
    <row r="371">
      <c r="A371" s="22" t="inlineStr">
        <is>
          <t>AI 프로덕트 기획과 운영</t>
        </is>
      </c>
      <c r="B371" s="22" t="inlineStr">
        <is>
          <t>마릴리 니카, 오성근, 오용철</t>
        </is>
      </c>
      <c r="C371" s="22" t="inlineStr">
        <is>
          <t>한빛미디어</t>
        </is>
      </c>
      <c r="D371" s="22" t="inlineStr">
        <is>
          <t>2025년 09월</t>
        </is>
      </c>
      <c r="E371" s="28" t="n">
        <v>22000</v>
      </c>
      <c r="F371" s="28" t="n">
        <v>19800</v>
      </c>
      <c r="G371" s="29" t="n">
        <v>8</v>
      </c>
      <c r="H371" s="29" t="n">
        <v>1794</v>
      </c>
      <c r="I371" s="21" t="inlineStr">
        <is>
          <t>2025</t>
        </is>
      </c>
      <c r="J371" s="21" t="inlineStr">
        <is>
          <t xml:space="preserve"> 0</t>
        </is>
      </c>
      <c r="K371" s="30">
        <f>(E371-F371)/IF(E371&gt;0,E371,1)</f>
        <v/>
      </c>
    </row>
    <row r="372">
      <c r="A372" s="22" t="inlineStr">
        <is>
          <t>챗GPT 일타강사의 직장인 업무 만렙 공략집</t>
        </is>
      </c>
      <c r="B372" s="22" t="inlineStr">
        <is>
          <t>이승필</t>
        </is>
      </c>
      <c r="C372" s="22" t="inlineStr">
        <is>
          <t>한빛미디어</t>
        </is>
      </c>
      <c r="D372" s="22" t="inlineStr">
        <is>
          <t>2025년 03월</t>
        </is>
      </c>
      <c r="E372" s="28" t="n">
        <v>24000</v>
      </c>
      <c r="F372" s="28" t="n">
        <v>21600</v>
      </c>
      <c r="G372" s="29" t="n">
        <v>31</v>
      </c>
      <c r="H372" s="29" t="n">
        <v>3228</v>
      </c>
      <c r="I372" s="21" t="inlineStr">
        <is>
          <t>2025</t>
        </is>
      </c>
      <c r="J372" s="21" t="inlineStr">
        <is>
          <t xml:space="preserve"> 0</t>
        </is>
      </c>
      <c r="K372" s="30">
        <f>(E372-F372)/IF(E372&gt;0,E372,1)</f>
        <v/>
      </c>
    </row>
    <row r="373">
      <c r="A373" s="22" t="inlineStr">
        <is>
          <t>한눈에 보이는 인공지능 수학 그림책</t>
        </is>
      </c>
      <c r="B373" s="22" t="inlineStr">
        <is>
          <t>한선관, 정기민</t>
        </is>
      </c>
      <c r="C373" s="22" t="inlineStr">
        <is>
          <t>성안당</t>
        </is>
      </c>
      <c r="D373" s="22" t="inlineStr">
        <is>
          <t>2023년 07월</t>
        </is>
      </c>
      <c r="E373" s="28" t="n">
        <v>23000</v>
      </c>
      <c r="F373" s="28" t="n">
        <v>20700</v>
      </c>
      <c r="G373" s="29" t="n">
        <v>22</v>
      </c>
      <c r="H373" s="29" t="n">
        <v>660</v>
      </c>
      <c r="I373" s="21" t="inlineStr">
        <is>
          <t>2023</t>
        </is>
      </c>
      <c r="J373" s="21" t="inlineStr">
        <is>
          <t xml:space="preserve"> 0</t>
        </is>
      </c>
      <c r="K373" s="30">
        <f>(E373-F373)/IF(E373&gt;0,E373,1)</f>
        <v/>
      </c>
    </row>
    <row r="374">
      <c r="A374" s="22" t="inlineStr">
        <is>
          <t>콘텐츠 디자인 with 나노 바나나</t>
        </is>
      </c>
      <c r="B374" s="22" t="inlineStr">
        <is>
          <t>홍순성</t>
        </is>
      </c>
      <c r="C374" s="22" t="inlineStr">
        <is>
          <t>한빛미디어</t>
        </is>
      </c>
      <c r="D374" s="22" t="inlineStr">
        <is>
          <t>2026년 04월</t>
        </is>
      </c>
      <c r="E374" s="28" t="n">
        <v>28000</v>
      </c>
      <c r="F374" s="28" t="n">
        <v>25200</v>
      </c>
      <c r="G374" s="29" t="n">
        <v>13</v>
      </c>
      <c r="H374" s="29" t="n">
        <v>486</v>
      </c>
      <c r="I374" s="21" t="inlineStr">
        <is>
          <t>2026</t>
        </is>
      </c>
      <c r="J374" s="21" t="inlineStr">
        <is>
          <t xml:space="preserve"> 0</t>
        </is>
      </c>
      <c r="K374" s="30">
        <f>(E374-F374)/IF(E374&gt;0,E374,1)</f>
        <v/>
      </c>
    </row>
    <row r="375">
      <c r="A375" s="22" t="inlineStr">
        <is>
          <t>AI가 고객을 데려오는 시대</t>
        </is>
      </c>
      <c r="B375" s="22" t="inlineStr">
        <is>
          <t>최재용, 권혁용, 김상순, 김진수, 이세라, 정보 더 보기/감추기, 최재용, 권혁용, 김상순, 김진수, 이세라, 이은정, 장선경, 정현정, 차승희, 최동진, 최소은, 김진선</t>
        </is>
      </c>
      <c r="C375" s="22" t="inlineStr">
        <is>
          <t>미디어북</t>
        </is>
      </c>
      <c r="D375" s="22" t="inlineStr">
        <is>
          <t>2026년 03월</t>
        </is>
      </c>
      <c r="E375" s="28" t="n">
        <v>20000</v>
      </c>
      <c r="F375" s="28" t="n">
        <v>20000</v>
      </c>
      <c r="G375" s="29" t="n">
        <v>4</v>
      </c>
      <c r="H375" s="29" t="n">
        <v>588</v>
      </c>
      <c r="I375" s="21" t="inlineStr">
        <is>
          <t>2026</t>
        </is>
      </c>
      <c r="J375" s="21" t="inlineStr">
        <is>
          <t xml:space="preserve"> 0</t>
        </is>
      </c>
      <c r="K375" s="30">
        <f>(E375-F375)/IF(E375&gt;0,E375,1)</f>
        <v/>
      </c>
    </row>
    <row r="376">
      <c r="A376" s="22" t="inlineStr">
        <is>
          <t>생명과학을 위한 딥러닝</t>
        </is>
      </c>
      <c r="B376" s="22" t="inlineStr">
        <is>
          <t>바라스 람순다르, 피터 이스트먼, 패트릭 월터스, 비제이 판데, 김태윤</t>
        </is>
      </c>
      <c r="C376" s="22" t="inlineStr">
        <is>
          <t>에이콘출판사</t>
        </is>
      </c>
      <c r="D376" s="22" t="inlineStr">
        <is>
          <t>2020년 08월</t>
        </is>
      </c>
      <c r="E376" s="28" t="n">
        <v>25000</v>
      </c>
      <c r="F376" s="28" t="n">
        <v>22500</v>
      </c>
      <c r="G376" s="29" t="n">
        <v>0</v>
      </c>
      <c r="H376" s="29" t="n">
        <v>600</v>
      </c>
      <c r="I376" s="21" t="inlineStr">
        <is>
          <t>2020</t>
        </is>
      </c>
      <c r="J376" s="21" t="inlineStr">
        <is>
          <t xml:space="preserve"> 0</t>
        </is>
      </c>
      <c r="K376" s="30">
        <f>(E376-F376)/IF(E376&gt;0,E376,1)</f>
        <v/>
      </c>
    </row>
    <row r="377">
      <c r="A377" s="22" t="inlineStr">
        <is>
          <t>LEVELIT 유니티와 OpenAI API로 만드는 인공지능 NPC</t>
        </is>
      </c>
      <c r="B377" s="22" t="inlineStr">
        <is>
          <t>박재환, 황유라</t>
        </is>
      </c>
      <c r="C377" s="22" t="inlineStr">
        <is>
          <t>제이펍</t>
        </is>
      </c>
      <c r="D377" s="22" t="inlineStr">
        <is>
          <t>2026년 01월</t>
        </is>
      </c>
      <c r="E377" s="28" t="n">
        <v>36000</v>
      </c>
      <c r="F377" s="28" t="n">
        <v>32400</v>
      </c>
      <c r="G377" s="29" t="n">
        <v>3</v>
      </c>
      <c r="H377" s="29" t="n">
        <v>582</v>
      </c>
      <c r="I377" s="21" t="inlineStr">
        <is>
          <t>2026</t>
        </is>
      </c>
      <c r="J377" s="21" t="inlineStr">
        <is>
          <t xml:space="preserve"> 0</t>
        </is>
      </c>
      <c r="K377" s="30">
        <f>(E377-F377)/IF(E377&gt;0,E377,1)</f>
        <v/>
      </c>
    </row>
    <row r="378">
      <c r="A378" s="22" t="inlineStr">
        <is>
          <t>스프링 AI 인 액션</t>
        </is>
      </c>
      <c r="B378" s="22" t="inlineStr">
        <is>
          <t>크레이그 월즈, 류광, 307번역랩</t>
        </is>
      </c>
      <c r="C378" s="22" t="inlineStr">
        <is>
          <t>위키북스</t>
        </is>
      </c>
      <c r="D378" s="22" t="inlineStr">
        <is>
          <t>2026년 04월</t>
        </is>
      </c>
      <c r="E378" s="28" t="n">
        <v>32000</v>
      </c>
      <c r="F378" s="28" t="n">
        <v>28800</v>
      </c>
      <c r="G378" s="29" t="n">
        <v>0</v>
      </c>
      <c r="H378" s="29" t="n">
        <v>426</v>
      </c>
      <c r="I378" s="21" t="inlineStr">
        <is>
          <t>2026</t>
        </is>
      </c>
      <c r="J378" s="21" t="inlineStr">
        <is>
          <t xml:space="preserve"> 0</t>
        </is>
      </c>
      <c r="K378" s="30">
        <f>(E378-F378)/IF(E378&gt;0,E378,1)</f>
        <v/>
      </c>
    </row>
    <row r="379">
      <c r="A379" s="22" t="inlineStr">
        <is>
          <t>교실에서 바로 쓰는 챗GPT 교사 활용법</t>
        </is>
      </c>
      <c r="B379" s="22" t="inlineStr">
        <is>
          <t>유수근</t>
        </is>
      </c>
      <c r="C379" s="22" t="inlineStr">
        <is>
          <t>앤써북</t>
        </is>
      </c>
      <c r="D379" s="22" t="inlineStr">
        <is>
          <t>2025년 01월</t>
        </is>
      </c>
      <c r="E379" s="28" t="n">
        <v>19800</v>
      </c>
      <c r="F379" s="28" t="n">
        <v>17820</v>
      </c>
      <c r="G379" s="29" t="n">
        <v>22</v>
      </c>
      <c r="H379" s="29" t="n">
        <v>3312</v>
      </c>
      <c r="I379" s="21" t="inlineStr">
        <is>
          <t>2025</t>
        </is>
      </c>
      <c r="J379" s="21" t="inlineStr">
        <is>
          <t xml:space="preserve"> 0</t>
        </is>
      </c>
      <c r="K379" s="30">
        <f>(E379-F379)/IF(E379&gt;0,E379,1)</f>
        <v/>
      </c>
    </row>
    <row r="380">
      <c r="A380" s="22" t="inlineStr">
        <is>
          <t>실전 금융 머신러닝 완벽 분석</t>
        </is>
      </c>
      <c r="B380" s="22" t="inlineStr">
        <is>
          <t>마르코스 로페즈 데 프라도, 이병욱, 이기홍, 하석근</t>
        </is>
      </c>
      <c r="C380" s="22" t="inlineStr">
        <is>
          <t>에이콘출판사</t>
        </is>
      </c>
      <c r="D380" s="22" t="inlineStr">
        <is>
          <t>2018년 11월</t>
        </is>
      </c>
      <c r="E380" s="28" t="n">
        <v>40000</v>
      </c>
      <c r="F380" s="28" t="n">
        <v>36000</v>
      </c>
      <c r="G380" s="29" t="n">
        <v>8</v>
      </c>
      <c r="H380" s="29" t="n">
        <v>420</v>
      </c>
      <c r="I380" s="21" t="inlineStr">
        <is>
          <t>2018</t>
        </is>
      </c>
      <c r="J380" s="21" t="inlineStr">
        <is>
          <t xml:space="preserve"> 1</t>
        </is>
      </c>
      <c r="K380" s="30">
        <f>(E380-F380)/IF(E380&gt;0,E380,1)</f>
        <v/>
      </c>
    </row>
    <row r="381">
      <c r="A381" s="22" t="inlineStr">
        <is>
          <t>AI x 창의성: 미술·혁신·교육</t>
        </is>
      </c>
      <c r="B381" s="22" t="inlineStr">
        <is>
          <t>박지숙</t>
        </is>
      </c>
      <c r="C381" s="22" t="inlineStr">
        <is>
          <t>아트브릿지</t>
        </is>
      </c>
      <c r="D381" s="22" t="inlineStr">
        <is>
          <t>2025년 04월</t>
        </is>
      </c>
      <c r="E381" s="28" t="n">
        <v>19800</v>
      </c>
      <c r="F381" s="28" t="n">
        <v>17820</v>
      </c>
      <c r="G381" s="29" t="n">
        <v>0</v>
      </c>
      <c r="H381" s="29" t="n">
        <v>504</v>
      </c>
      <c r="I381" s="21" t="inlineStr">
        <is>
          <t>2025</t>
        </is>
      </c>
      <c r="J381" s="21" t="inlineStr">
        <is>
          <t xml:space="preserve"> 0</t>
        </is>
      </c>
      <c r="K381" s="30">
        <f>(E381-F381)/IF(E381&gt;0,E381,1)</f>
        <v/>
      </c>
    </row>
    <row r="382">
      <c r="A382" s="22" t="inlineStr">
        <is>
          <t>직장인을 위한 챗GPT</t>
        </is>
      </c>
      <c r="B382" s="22" t="inlineStr">
        <is>
          <t>이안 클레이턴, 김상규</t>
        </is>
      </c>
      <c r="C382" s="22" t="inlineStr">
        <is>
          <t>한빛미디어</t>
        </is>
      </c>
      <c r="D382" s="22" t="inlineStr">
        <is>
          <t>2023년 05월</t>
        </is>
      </c>
      <c r="E382" s="28" t="n">
        <v>18000</v>
      </c>
      <c r="F382" s="28" t="n">
        <v>16200</v>
      </c>
      <c r="G382" s="29" t="n">
        <v>40</v>
      </c>
      <c r="H382" s="29" t="n">
        <v>354</v>
      </c>
      <c r="I382" s="21" t="inlineStr">
        <is>
          <t>2023</t>
        </is>
      </c>
      <c r="J382" s="21" t="inlineStr">
        <is>
          <t xml:space="preserve"> 0</t>
        </is>
      </c>
      <c r="K382" s="30">
        <f>(E382-F382)/IF(E382&gt;0,E382,1)</f>
        <v/>
      </c>
    </row>
    <row r="383">
      <c r="A383" s="22" t="inlineStr">
        <is>
          <t>생성형 AI 활용 취업 컨설팅 실전 가이드</t>
        </is>
      </c>
      <c r="B383" s="22" t="inlineStr">
        <is>
          <t>서춘현</t>
        </is>
      </c>
      <c r="C383" s="22" t="inlineStr">
        <is>
          <t>엘리트코리아</t>
        </is>
      </c>
      <c r="D383" s="22" t="inlineStr">
        <is>
          <t>2025년 11월</t>
        </is>
      </c>
      <c r="E383" s="28" t="n">
        <v>18000</v>
      </c>
      <c r="F383" s="28" t="n">
        <v>16200</v>
      </c>
      <c r="G383" s="29" t="n">
        <v>2</v>
      </c>
      <c r="H383" s="29" t="n">
        <v>336</v>
      </c>
      <c r="I383" s="21" t="inlineStr">
        <is>
          <t>2025</t>
        </is>
      </c>
      <c r="J383" s="21" t="inlineStr">
        <is>
          <t xml:space="preserve"> 1</t>
        </is>
      </c>
      <c r="K383" s="30">
        <f>(E383-F383)/IF(E383&gt;0,E383,1)</f>
        <v/>
      </c>
    </row>
    <row r="384">
      <c r="A384" s="22" t="inlineStr">
        <is>
          <t>AI 트랜스포메이션</t>
        </is>
      </c>
      <c r="B384" s="22" t="inlineStr">
        <is>
          <t>신항식</t>
        </is>
      </c>
      <c r="C384" s="22" t="inlineStr">
        <is>
          <t>BOOKK(부크크)</t>
        </is>
      </c>
      <c r="D384" s="22" t="inlineStr">
        <is>
          <t>2026년 04월</t>
        </is>
      </c>
      <c r="E384" s="28" t="n">
        <v>24500</v>
      </c>
      <c r="F384" s="28" t="n">
        <v>24500</v>
      </c>
      <c r="G384" s="29" t="n">
        <v>5</v>
      </c>
      <c r="H384" s="29" t="n">
        <v>210</v>
      </c>
      <c r="I384" s="21" t="inlineStr">
        <is>
          <t>2026</t>
        </is>
      </c>
      <c r="J384" s="21" t="inlineStr">
        <is>
          <t xml:space="preserve"> 0</t>
        </is>
      </c>
      <c r="K384" s="30">
        <f>(E384-F384)/IF(E384&gt;0,E384,1)</f>
        <v/>
      </c>
    </row>
    <row r="385">
      <c r="A385" s="22" t="inlineStr">
        <is>
          <t>모두를 위한 최신 ChatGPT 프롬프트 엔지니어링</t>
        </is>
      </c>
      <c r="B385" s="22" t="inlineStr">
        <is>
          <t>김진, 최정아</t>
        </is>
      </c>
      <c r="C385" s="22" t="inlineStr">
        <is>
          <t>마소캠퍼스</t>
        </is>
      </c>
      <c r="D385" s="22" t="inlineStr">
        <is>
          <t>2025년 06월</t>
        </is>
      </c>
      <c r="E385" s="28" t="n">
        <v>20000</v>
      </c>
      <c r="F385" s="28" t="n">
        <v>18000</v>
      </c>
      <c r="G385" s="29" t="n">
        <v>1</v>
      </c>
      <c r="H385" s="29" t="n">
        <v>1374</v>
      </c>
      <c r="I385" s="21" t="inlineStr">
        <is>
          <t>2025</t>
        </is>
      </c>
      <c r="J385" s="21" t="inlineStr">
        <is>
          <t xml:space="preserve"> 0</t>
        </is>
      </c>
      <c r="K385" s="30">
        <f>(E385-F385)/IF(E385&gt;0,E385,1)</f>
        <v/>
      </c>
    </row>
    <row r="386">
      <c r="A386" s="22" t="inlineStr">
        <is>
          <t>AI 게임 개발 시작</t>
        </is>
      </c>
      <c r="B386" s="22" t="inlineStr">
        <is>
          <t>김정태</t>
        </is>
      </c>
      <c r="C386" s="22" t="inlineStr">
        <is>
          <t>홍릉</t>
        </is>
      </c>
      <c r="D386" s="22" t="inlineStr">
        <is>
          <t>2026년 05월</t>
        </is>
      </c>
      <c r="E386" s="28" t="n">
        <v>25000</v>
      </c>
      <c r="F386" s="28" t="n">
        <v>25000</v>
      </c>
      <c r="G386" s="29" t="n">
        <v>0</v>
      </c>
      <c r="H386" s="29" t="n">
        <v>168</v>
      </c>
      <c r="I386" s="21" t="inlineStr">
        <is>
          <t>2026</t>
        </is>
      </c>
      <c r="J386" s="21" t="inlineStr">
        <is>
          <t xml:space="preserve"> 0</t>
        </is>
      </c>
      <c r="K386" s="30">
        <f>(E386-F386)/IF(E386&gt;0,E386,1)</f>
        <v/>
      </c>
    </row>
    <row r="387">
      <c r="A387" s="22" t="inlineStr">
        <is>
          <t>테슬라처럼 만드는 비전 자율주행 피지컬 AI</t>
        </is>
      </c>
      <c r="B387" s="22" t="inlineStr">
        <is>
          <t>이석창</t>
        </is>
      </c>
      <c r="C387" s="22" t="inlineStr">
        <is>
          <t>BOOKK(부크크)</t>
        </is>
      </c>
      <c r="D387" s="22" t="inlineStr">
        <is>
          <t>2026년 05월</t>
        </is>
      </c>
      <c r="E387" s="28" t="n">
        <v>28000</v>
      </c>
      <c r="F387" s="28" t="n">
        <v>28000</v>
      </c>
      <c r="G387" s="29" t="n">
        <v>0</v>
      </c>
      <c r="H387" s="29" t="n">
        <v>186</v>
      </c>
      <c r="I387" s="21" t="inlineStr">
        <is>
          <t>2026</t>
        </is>
      </c>
      <c r="J387" s="21" t="inlineStr">
        <is>
          <t xml:space="preserve"> 0</t>
        </is>
      </c>
      <c r="K387" s="30">
        <f>(E387-F387)/IF(E387&gt;0,E387,1)</f>
        <v/>
      </c>
    </row>
    <row r="388">
      <c r="A388" s="22" t="inlineStr">
        <is>
          <t>코딩 자율학습 잔재미코딩의 파이썬 데이터 분석 입문</t>
        </is>
      </c>
      <c r="B388" s="22" t="inlineStr">
        <is>
          <t>Dave Lee</t>
        </is>
      </c>
      <c r="C388" s="22" t="inlineStr">
        <is>
          <t>길벗</t>
        </is>
      </c>
      <c r="D388" s="22" t="inlineStr">
        <is>
          <t>2025년 04월</t>
        </is>
      </c>
      <c r="E388" s="28" t="n">
        <v>26000</v>
      </c>
      <c r="F388" s="28" t="n">
        <v>23400</v>
      </c>
      <c r="G388" s="29" t="n">
        <v>32</v>
      </c>
      <c r="H388" s="29" t="n">
        <v>1254</v>
      </c>
      <c r="I388" s="21" t="inlineStr">
        <is>
          <t>2025</t>
        </is>
      </c>
      <c r="J388" s="21" t="inlineStr">
        <is>
          <t xml:space="preserve"> 0</t>
        </is>
      </c>
      <c r="K388" s="30">
        <f>(E388-F388)/IF(E388&gt;0,E388,1)</f>
        <v/>
      </c>
    </row>
    <row r="389">
      <c r="A389" s="22" t="inlineStr">
        <is>
          <t>QA를 넘어 개발자도 알아야 할 AI 에이전트 품질 가이드</t>
        </is>
      </c>
      <c r="B389" s="22" t="inlineStr">
        <is>
          <t>정상미, 김성수</t>
        </is>
      </c>
      <c r="C389" s="22" t="inlineStr">
        <is>
          <t>프리렉</t>
        </is>
      </c>
      <c r="D389" s="22" t="inlineStr">
        <is>
          <t>2026년 02월</t>
        </is>
      </c>
      <c r="E389" s="28" t="n">
        <v>28000</v>
      </c>
      <c r="F389" s="28" t="n">
        <v>25200</v>
      </c>
      <c r="G389" s="29" t="n">
        <v>1</v>
      </c>
      <c r="H389" s="29" t="n">
        <v>1260</v>
      </c>
      <c r="I389" s="21" t="inlineStr">
        <is>
          <t>2026</t>
        </is>
      </c>
      <c r="J389" s="21" t="inlineStr">
        <is>
          <t xml:space="preserve"> 0</t>
        </is>
      </c>
      <c r="K389" s="30">
        <f>(E389-F389)/IF(E389&gt;0,E389,1)</f>
        <v/>
      </c>
    </row>
    <row r="390">
      <c r="A390" s="22" t="inlineStr">
        <is>
          <t>데이터 과학을 위한 통계</t>
        </is>
      </c>
      <c r="B390" s="22" t="inlineStr">
        <is>
          <t>피터 브루스, 앤드루 브루스, 피터 게데크, 이준용</t>
        </is>
      </c>
      <c r="C390" s="22" t="inlineStr">
        <is>
          <t>한빛미디어</t>
        </is>
      </c>
      <c r="D390" s="22" t="inlineStr">
        <is>
          <t>2021년 05월</t>
        </is>
      </c>
      <c r="E390" s="28" t="n">
        <v>34000</v>
      </c>
      <c r="F390" s="28" t="n">
        <v>30600</v>
      </c>
      <c r="G390" s="29" t="n">
        <v>19</v>
      </c>
      <c r="H390" s="29" t="n">
        <v>1014</v>
      </c>
      <c r="I390" s="21" t="inlineStr">
        <is>
          <t>2021</t>
        </is>
      </c>
      <c r="J390" s="21" t="inlineStr">
        <is>
          <t xml:space="preserve"> 0</t>
        </is>
      </c>
      <c r="K390" s="30">
        <f>(E390-F390)/IF(E390&gt;0,E390,1)</f>
        <v/>
      </c>
    </row>
    <row r="391">
      <c r="A391" s="22" t="inlineStr">
        <is>
          <t>우리, 프로그래머들 We, Programmers</t>
        </is>
      </c>
      <c r="B391" s="22" t="inlineStr">
        <is>
          <t>로버트 C. 마틴, 최희철</t>
        </is>
      </c>
      <c r="C391" s="22" t="inlineStr">
        <is>
          <t>길벗</t>
        </is>
      </c>
      <c r="D391" s="22" t="inlineStr">
        <is>
          <t>2026년 01월</t>
        </is>
      </c>
      <c r="E391" s="28" t="n">
        <v>31000</v>
      </c>
      <c r="F391" s="28" t="n">
        <v>27900</v>
      </c>
      <c r="G391" s="29" t="n">
        <v>19</v>
      </c>
      <c r="H391" s="29" t="n">
        <v>2154</v>
      </c>
      <c r="I391" s="21" t="inlineStr">
        <is>
          <t>2026</t>
        </is>
      </c>
      <c r="J391" s="21" t="inlineStr">
        <is>
          <t xml:space="preserve"> 0</t>
        </is>
      </c>
      <c r="K391" s="30">
        <f>(E391-F391)/IF(E391&gt;0,E391,1)</f>
        <v/>
      </c>
    </row>
    <row r="392">
      <c r="A392" s="22" t="inlineStr">
        <is>
          <t>30일 완성 제미나이 업무 혁명</t>
        </is>
      </c>
      <c r="B392" s="22" t="inlineStr">
        <is>
          <t>AI싱크클럽(이재만)</t>
        </is>
      </c>
      <c r="C392" s="22" t="inlineStr">
        <is>
          <t>루비페이퍼</t>
        </is>
      </c>
      <c r="D392" s="22" t="inlineStr">
        <is>
          <t>2026년 04월</t>
        </is>
      </c>
      <c r="E392" s="28" t="n">
        <v>26000</v>
      </c>
      <c r="F392" s="28" t="n">
        <v>23400</v>
      </c>
      <c r="G392" s="29" t="n">
        <v>45</v>
      </c>
      <c r="H392" s="29" t="n">
        <v>954</v>
      </c>
      <c r="I392" s="21" t="inlineStr">
        <is>
          <t>2026</t>
        </is>
      </c>
      <c r="J392" s="21" t="inlineStr">
        <is>
          <t xml:space="preserve"> 0</t>
        </is>
      </c>
      <c r="K392" s="30">
        <f>(E392-F392)/IF(E392&gt;0,E392,1)</f>
        <v/>
      </c>
    </row>
    <row r="393">
      <c r="A393" s="22" t="inlineStr">
        <is>
          <t>대규모 언어 모델, 핵심만 빠르게!</t>
        </is>
      </c>
      <c r="B393" s="22" t="inlineStr">
        <is>
          <t>안드리 부르코프, 박해선</t>
        </is>
      </c>
      <c r="C393" s="22" t="inlineStr">
        <is>
          <t>인사이트(insight)</t>
        </is>
      </c>
      <c r="D393" s="22" t="inlineStr">
        <is>
          <t>2025년 10월</t>
        </is>
      </c>
      <c r="E393" s="28" t="n">
        <v>24000</v>
      </c>
      <c r="F393" s="28" t="n">
        <v>21600</v>
      </c>
      <c r="G393" s="29" t="n">
        <v>1</v>
      </c>
      <c r="H393" s="29" t="n">
        <v>972</v>
      </c>
      <c r="I393" s="21" t="inlineStr">
        <is>
          <t>2025</t>
        </is>
      </c>
      <c r="J393" s="21" t="inlineStr">
        <is>
          <t xml:space="preserve"> 1</t>
        </is>
      </c>
      <c r="K393" s="30">
        <f>(E393-F393)/IF(E393&gt;0,E393,1)</f>
        <v/>
      </c>
    </row>
    <row r="394">
      <c r="A394" s="22" t="inlineStr">
        <is>
          <t>한 권으로 끝내는 실전 LLM 파인튜닝</t>
        </is>
      </c>
      <c r="B394" s="22" t="inlineStr">
        <is>
          <t>강다솔</t>
        </is>
      </c>
      <c r="C394" s="22" t="inlineStr">
        <is>
          <t>위키북스</t>
        </is>
      </c>
      <c r="D394" s="22" t="inlineStr">
        <is>
          <t>2026년 02월</t>
        </is>
      </c>
      <c r="E394" s="28" t="n">
        <v>32000</v>
      </c>
      <c r="F394" s="28" t="n">
        <v>28800</v>
      </c>
      <c r="G394" s="29" t="n">
        <v>0</v>
      </c>
      <c r="H394" s="29" t="n">
        <v>1014</v>
      </c>
      <c r="I394" s="21" t="inlineStr">
        <is>
          <t>2026</t>
        </is>
      </c>
      <c r="J394" s="21" t="inlineStr">
        <is>
          <t xml:space="preserve"> 0</t>
        </is>
      </c>
      <c r="K394" s="30">
        <f>(E394-F394)/IF(E394&gt;0,E394,1)</f>
        <v/>
      </c>
    </row>
    <row r="395">
      <c r="A395" s="22" t="inlineStr">
        <is>
          <t>보고서 기획서 고민 없이 시작해서 30분 만에 끝내주는 프롬프트 책</t>
        </is>
      </c>
      <c r="B395" s="22" t="inlineStr">
        <is>
          <t>박경수</t>
        </is>
      </c>
      <c r="C395" s="22" t="inlineStr">
        <is>
          <t>한빛비즈</t>
        </is>
      </c>
      <c r="D395" s="22" t="inlineStr">
        <is>
          <t>2025년 08월</t>
        </is>
      </c>
      <c r="E395" s="28" t="n">
        <v>22000</v>
      </c>
      <c r="F395" s="28" t="n">
        <v>19800</v>
      </c>
      <c r="G395" s="29" t="n">
        <v>16</v>
      </c>
      <c r="H395" s="29" t="n">
        <v>3420</v>
      </c>
      <c r="I395" s="21" t="inlineStr">
        <is>
          <t>2025</t>
        </is>
      </c>
      <c r="J395" s="21" t="inlineStr">
        <is>
          <t xml:space="preserve"> 0</t>
        </is>
      </c>
      <c r="K395" s="30">
        <f>(E395-F395)/IF(E395&gt;0,E395,1)</f>
        <v/>
      </c>
    </row>
    <row r="396">
      <c r="A396" s="22" t="inlineStr">
        <is>
          <t>돈 되는 AI, 어디서부터 무엇을 어떻게 해야 할까</t>
        </is>
      </c>
      <c r="B396" s="22" t="inlineStr">
        <is>
          <t>장동인</t>
        </is>
      </c>
      <c r="C396" s="22" t="inlineStr">
        <is>
          <t>리코멘드</t>
        </is>
      </c>
      <c r="D396" s="22" t="inlineStr">
        <is>
          <t>2025년 09월</t>
        </is>
      </c>
      <c r="E396" s="28" t="n">
        <v>25000</v>
      </c>
      <c r="F396" s="28" t="n">
        <v>22500</v>
      </c>
      <c r="G396" s="29" t="n">
        <v>7</v>
      </c>
      <c r="H396" s="29" t="n">
        <v>4362</v>
      </c>
      <c r="I396" s="21" t="inlineStr">
        <is>
          <t>2025</t>
        </is>
      </c>
      <c r="J396" s="21" t="inlineStr">
        <is>
          <t xml:space="preserve"> 0</t>
        </is>
      </c>
      <c r="K396" s="30">
        <f>(E396-F396)/IF(E396&gt;0,E396,1)</f>
        <v/>
      </c>
    </row>
    <row r="397">
      <c r="A397" s="22" t="inlineStr">
        <is>
          <t>AI가 바꾸는 일터의 미래</t>
        </is>
      </c>
      <c r="B397" s="22" t="inlineStr">
        <is>
          <t>김성준</t>
        </is>
      </c>
      <c r="C397" s="22" t="inlineStr">
        <is>
          <t>포르체</t>
        </is>
      </c>
      <c r="D397" s="22" t="inlineStr">
        <is>
          <t>2025년 08월</t>
        </is>
      </c>
      <c r="E397" s="28" t="n">
        <v>20000</v>
      </c>
      <c r="F397" s="28" t="n">
        <v>18000</v>
      </c>
      <c r="G397" s="29" t="n">
        <v>19</v>
      </c>
      <c r="H397" s="29" t="n">
        <v>2406</v>
      </c>
      <c r="I397" s="21" t="inlineStr">
        <is>
          <t>2025</t>
        </is>
      </c>
      <c r="J397" s="21" t="inlineStr">
        <is>
          <t xml:space="preserve"> 0</t>
        </is>
      </c>
      <c r="K397" s="30">
        <f>(E397-F397)/IF(E397&gt;0,E397,1)</f>
        <v/>
      </c>
    </row>
    <row r="398">
      <c r="A398" s="22" t="inlineStr">
        <is>
          <t>엔트리 인공지능 with 햄스터 로봇</t>
        </is>
      </c>
      <c r="B398" s="22" t="inlineStr">
        <is>
          <t>강윤지, 박찬규, 강성웅, 김원유, 심재민, 정보 더 보기/감추기, 강윤지, 박찬규, 강성웅, 김원유, 심재민, 김연구, 홍성용, 김경상, 정인재, 박광현</t>
        </is>
      </c>
      <c r="C398" s="22" t="inlineStr">
        <is>
          <t>영진닷컴</t>
        </is>
      </c>
      <c r="D398" s="22" t="inlineStr">
        <is>
          <t>2024년 05월</t>
        </is>
      </c>
      <c r="E398" s="28" t="n">
        <v>18000</v>
      </c>
      <c r="F398" s="28" t="n">
        <v>16200</v>
      </c>
      <c r="G398" s="29" t="n">
        <v>4</v>
      </c>
      <c r="H398" s="29" t="n">
        <v>1182</v>
      </c>
      <c r="I398" s="21" t="inlineStr">
        <is>
          <t>2024</t>
        </is>
      </c>
      <c r="J398" s="21" t="inlineStr">
        <is>
          <t xml:space="preserve"> 0</t>
        </is>
      </c>
      <c r="K398" s="30">
        <f>(E398-F398)/IF(E398&gt;0,E398,1)</f>
        <v/>
      </c>
    </row>
    <row r="399">
      <c r="A399" s="22" t="inlineStr">
        <is>
          <t>EBS 수학과 함께하는 AI 기초</t>
        </is>
      </c>
      <c r="B399" s="22" t="inlineStr">
        <is>
          <t>EBS</t>
        </is>
      </c>
      <c r="C399" s="22" t="inlineStr">
        <is>
          <t>한국교육방송공사</t>
        </is>
      </c>
      <c r="D399" s="22" t="inlineStr">
        <is>
          <t>2020년 09월</t>
        </is>
      </c>
      <c r="E399" s="28" t="n">
        <v>12000</v>
      </c>
      <c r="F399" s="28" t="n">
        <v>11400</v>
      </c>
      <c r="G399" s="29" t="n">
        <v>22</v>
      </c>
      <c r="H399" s="29" t="n">
        <v>1026</v>
      </c>
      <c r="I399" s="21" t="inlineStr">
        <is>
          <t>2020</t>
        </is>
      </c>
      <c r="J399" s="21" t="inlineStr">
        <is>
          <t xml:space="preserve"> 0</t>
        </is>
      </c>
      <c r="K399" s="30">
        <f>(E399-F399)/IF(E399&gt;0,E399,1)</f>
        <v/>
      </c>
    </row>
    <row r="400">
      <c r="A400" s="22" t="inlineStr">
        <is>
          <t>10일 만에 익히는 파이토치 딥러닝</t>
        </is>
      </c>
      <c r="B400" s="22" t="inlineStr">
        <is>
          <t>한기영</t>
        </is>
      </c>
      <c r="C400" s="22" t="inlineStr">
        <is>
          <t>인사이트(insight)</t>
        </is>
      </c>
      <c r="D400" s="22" t="inlineStr">
        <is>
          <t>2025년 12월</t>
        </is>
      </c>
      <c r="E400" s="28" t="n">
        <v>27000</v>
      </c>
      <c r="F400" s="28" t="n">
        <v>24300</v>
      </c>
      <c r="G400" s="29" t="n">
        <v>2</v>
      </c>
      <c r="H400" s="29" t="n">
        <v>798</v>
      </c>
      <c r="I400" s="21" t="inlineStr">
        <is>
          <t>2025</t>
        </is>
      </c>
      <c r="J400" s="21" t="inlineStr">
        <is>
          <t xml:space="preserve"> 1</t>
        </is>
      </c>
      <c r="K400" s="30">
        <f>(E400-F400)/IF(E400&gt;0,E400,1)</f>
        <v/>
      </c>
    </row>
    <row r="401">
      <c r="A401" s="22" t="inlineStr">
        <is>
          <t>챗GPT와 함께 배우는 인공지능 엔트리 마스터하기</t>
        </is>
      </c>
      <c r="B401" s="22" t="inlineStr">
        <is>
          <t>김종훈, 김현경, 김동건</t>
        </is>
      </c>
      <c r="C401" s="22" t="inlineStr">
        <is>
          <t>골든래빗</t>
        </is>
      </c>
      <c r="D401" s="22" t="inlineStr">
        <is>
          <t>2025년 03월</t>
        </is>
      </c>
      <c r="E401" s="28" t="n">
        <v>22000</v>
      </c>
      <c r="F401" s="28" t="n">
        <v>19800</v>
      </c>
      <c r="G401" s="29" t="n">
        <v>0</v>
      </c>
      <c r="H401" s="29" t="n">
        <v>804</v>
      </c>
      <c r="I401" s="21" t="inlineStr">
        <is>
          <t>2025</t>
        </is>
      </c>
      <c r="J401" s="21" t="inlineStr">
        <is>
          <t xml:space="preserve"> 0</t>
        </is>
      </c>
      <c r="K401" s="30">
        <f>(E401-F401)/IF(E401&gt;0,E401,1)</f>
        <v/>
      </c>
    </row>
    <row r="402">
      <c r="A402" s="22" t="inlineStr">
        <is>
          <t>개발자를 위한 실전 선형대수학</t>
        </is>
      </c>
      <c r="B402" s="22" t="inlineStr">
        <is>
          <t>마이크 X 코헨, 장정호</t>
        </is>
      </c>
      <c r="C402" s="22" t="inlineStr">
        <is>
          <t>한빛미디어</t>
        </is>
      </c>
      <c r="D402" s="22" t="inlineStr">
        <is>
          <t>2023년 09월</t>
        </is>
      </c>
      <c r="E402" s="28" t="n">
        <v>28000</v>
      </c>
      <c r="F402" s="28" t="n">
        <v>25200</v>
      </c>
      <c r="G402" s="29" t="n">
        <v>36</v>
      </c>
      <c r="H402" s="29" t="n">
        <v>1938</v>
      </c>
      <c r="I402" s="21" t="inlineStr">
        <is>
          <t>2023</t>
        </is>
      </c>
      <c r="J402" s="21" t="inlineStr">
        <is>
          <t xml:space="preserve"> 0</t>
        </is>
      </c>
      <c r="K402" s="30">
        <f>(E402-F402)/IF(E402&gt;0,E402,1)</f>
        <v/>
      </c>
    </row>
    <row r="403">
      <c r="A403" s="22" t="inlineStr">
        <is>
          <t>데이터시각화를 하는 가장 쉬운 방법 by 구글 루커 스튜디오</t>
        </is>
      </c>
      <c r="B403" s="22" t="inlineStr">
        <is>
          <t>천영훈</t>
        </is>
      </c>
      <c r="C403" s="22" t="inlineStr">
        <is>
          <t>디지털북스</t>
        </is>
      </c>
      <c r="D403" s="22" t="inlineStr">
        <is>
          <t>2024년 12월</t>
        </is>
      </c>
      <c r="E403" s="28" t="n">
        <v>20000</v>
      </c>
      <c r="F403" s="28" t="n">
        <v>18000</v>
      </c>
      <c r="G403" s="29" t="n">
        <v>2</v>
      </c>
      <c r="H403" s="29" t="n">
        <v>714</v>
      </c>
      <c r="I403" s="21" t="inlineStr">
        <is>
          <t>2024</t>
        </is>
      </c>
      <c r="J403" s="21" t="inlineStr">
        <is>
          <t xml:space="preserve"> 1</t>
        </is>
      </c>
      <c r="K403" s="30">
        <f>(E403-F403)/IF(E403&gt;0,E403,1)</f>
        <v/>
      </c>
    </row>
    <row r="404">
      <c r="A404" s="22" t="inlineStr">
        <is>
          <t>26개 프로젝트로 끝내는 콘텐츠 디자인 with 챗GPT</t>
        </is>
      </c>
      <c r="B404" s="22" t="inlineStr">
        <is>
          <t>홍순성</t>
        </is>
      </c>
      <c r="C404" s="22" t="inlineStr">
        <is>
          <t>한빛미디어</t>
        </is>
      </c>
      <c r="D404" s="22" t="inlineStr">
        <is>
          <t>2025년 07월</t>
        </is>
      </c>
      <c r="E404" s="28" t="n">
        <v>28000</v>
      </c>
      <c r="F404" s="28" t="n">
        <v>25200</v>
      </c>
      <c r="G404" s="29" t="n">
        <v>17</v>
      </c>
      <c r="H404" s="29" t="n">
        <v>1686</v>
      </c>
      <c r="I404" s="21" t="inlineStr">
        <is>
          <t>2025</t>
        </is>
      </c>
      <c r="J404" s="21" t="inlineStr">
        <is>
          <t xml:space="preserve"> 0</t>
        </is>
      </c>
      <c r="K404" s="30">
        <f>(E404-F404)/IF(E404&gt;0,E404,1)</f>
        <v/>
      </c>
    </row>
    <row r="405">
      <c r="A405" s="22" t="inlineStr">
        <is>
          <t>이미지 처리 바이블</t>
        </is>
      </c>
      <c r="B405" s="22" t="inlineStr">
        <is>
          <t>류태선, 콥스랩 연구원</t>
        </is>
      </c>
      <c r="C405" s="22" t="inlineStr">
        <is>
          <t>길벗</t>
        </is>
      </c>
      <c r="D405" s="22" t="inlineStr">
        <is>
          <t>2024년 04월</t>
        </is>
      </c>
      <c r="E405" s="28" t="n">
        <v>44000</v>
      </c>
      <c r="F405" s="28" t="n">
        <v>39600</v>
      </c>
      <c r="G405" s="29" t="n">
        <v>15</v>
      </c>
      <c r="H405" s="29" t="n">
        <v>636</v>
      </c>
      <c r="I405" s="21" t="inlineStr">
        <is>
          <t>2024</t>
        </is>
      </c>
      <c r="J405" s="21" t="inlineStr">
        <is>
          <t xml:space="preserve"> 0</t>
        </is>
      </c>
      <c r="K405" s="30">
        <f>(E405-F405)/IF(E405&gt;0,E405,1)</f>
        <v/>
      </c>
    </row>
    <row r="406">
      <c r="A406" s="22" t="inlineStr">
        <is>
          <t>데이터 품질의 비밀</t>
        </is>
      </c>
      <c r="B406" s="22" t="inlineStr">
        <is>
          <t>바 모세스, 라이어 개비쉬, 몰리 보르웨르크, 데이터야놀자</t>
        </is>
      </c>
      <c r="C406" s="22" t="inlineStr">
        <is>
          <t>디코딩</t>
        </is>
      </c>
      <c r="D406" s="22" t="inlineStr">
        <is>
          <t>2023년 04월</t>
        </is>
      </c>
      <c r="E406" s="28" t="n">
        <v>28000</v>
      </c>
      <c r="F406" s="28" t="n">
        <v>25200</v>
      </c>
      <c r="G406" s="29" t="n">
        <v>23</v>
      </c>
      <c r="H406" s="29" t="n">
        <v>600</v>
      </c>
      <c r="I406" s="21" t="inlineStr">
        <is>
          <t>2023</t>
        </is>
      </c>
      <c r="J406" s="21" t="inlineStr">
        <is>
          <t xml:space="preserve"> 0</t>
        </is>
      </c>
      <c r="K406" s="30">
        <f>(E406-F406)/IF(E406&gt;0,E406,1)</f>
        <v/>
      </c>
    </row>
    <row r="407">
      <c r="A407" s="22" t="inlineStr">
        <is>
          <t>당신은 AI를 어디까지 믿을 수 있나요?</t>
        </is>
      </c>
      <c r="B407" s="22" t="inlineStr">
        <is>
          <t>박찬선</t>
        </is>
      </c>
      <c r="C407" s="22" t="inlineStr">
        <is>
          <t>이지스퍼블리싱</t>
        </is>
      </c>
      <c r="D407" s="22" t="inlineStr">
        <is>
          <t>2025년 06월</t>
        </is>
      </c>
      <c r="E407" s="28" t="n">
        <v>16800</v>
      </c>
      <c r="F407" s="28" t="n">
        <v>15120</v>
      </c>
      <c r="G407" s="29" t="n">
        <v>31</v>
      </c>
      <c r="H407" s="29" t="n">
        <v>561</v>
      </c>
      <c r="I407" s="21" t="inlineStr">
        <is>
          <t>2025</t>
        </is>
      </c>
      <c r="J407" s="21" t="inlineStr">
        <is>
          <t xml:space="preserve"> 0</t>
        </is>
      </c>
      <c r="K407" s="30">
        <f>(E407-F407)/IF(E407&gt;0,E407,1)</f>
        <v/>
      </c>
    </row>
    <row r="408">
      <c r="A408" s="22" t="inlineStr">
        <is>
          <t>AI 작화법</t>
        </is>
      </c>
      <c r="B408" s="22" t="inlineStr">
        <is>
          <t>하묘</t>
        </is>
      </c>
      <c r="C408" s="22" t="inlineStr">
        <is>
          <t>성안당</t>
        </is>
      </c>
      <c r="D408" s="22" t="inlineStr">
        <is>
          <t>2025년 08월</t>
        </is>
      </c>
      <c r="E408" s="28" t="n">
        <v>25000</v>
      </c>
      <c r="F408" s="28" t="n">
        <v>22500</v>
      </c>
      <c r="G408" s="29" t="n">
        <v>33</v>
      </c>
      <c r="H408" s="29" t="n">
        <v>396</v>
      </c>
      <c r="I408" s="21" t="inlineStr">
        <is>
          <t>2025</t>
        </is>
      </c>
      <c r="J408" s="21" t="inlineStr">
        <is>
          <t xml:space="preserve"> 0</t>
        </is>
      </c>
      <c r="K408" s="30">
        <f>(E408-F408)/IF(E408&gt;0,E408,1)</f>
        <v/>
      </c>
    </row>
    <row r="409">
      <c r="A409" s="22" t="inlineStr">
        <is>
          <t>25가지 문제로 배우는 LLM 입문 with 파이썬</t>
        </is>
      </c>
      <c r="B409" s="22" t="inlineStr">
        <is>
          <t>요시키 간다, 임선집</t>
        </is>
      </c>
      <c r="C409" s="22" t="inlineStr">
        <is>
          <t>루비페이퍼</t>
        </is>
      </c>
      <c r="D409" s="22" t="inlineStr">
        <is>
          <t>2024년 07월</t>
        </is>
      </c>
      <c r="E409" s="28" t="n">
        <v>28000</v>
      </c>
      <c r="F409" s="28" t="n">
        <v>25200</v>
      </c>
      <c r="G409" s="29" t="n">
        <v>9</v>
      </c>
      <c r="H409" s="29" t="n">
        <v>432</v>
      </c>
      <c r="I409" s="21" t="inlineStr">
        <is>
          <t>2024</t>
        </is>
      </c>
      <c r="J409" s="21" t="inlineStr">
        <is>
          <t xml:space="preserve"> 0</t>
        </is>
      </c>
      <c r="K409" s="30">
        <f>(E409-F409)/IF(E409&gt;0,E409,1)</f>
        <v/>
      </c>
    </row>
    <row r="410">
      <c r="A410" s="22" t="inlineStr">
        <is>
          <t>7가지 생성 AI로 영상 제작 &amp; 편집하기 with 챗GPT &amp; 미드저니 &amp; 런웨이</t>
        </is>
      </c>
      <c r="B410" s="22" t="inlineStr">
        <is>
          <t>홍순성</t>
        </is>
      </c>
      <c r="C410" s="22" t="inlineStr">
        <is>
          <t>한빛미디어</t>
        </is>
      </c>
      <c r="D410" s="22" t="inlineStr">
        <is>
          <t>2024년 12월</t>
        </is>
      </c>
      <c r="E410" s="28" t="n">
        <v>25000</v>
      </c>
      <c r="F410" s="28" t="n">
        <v>22500</v>
      </c>
      <c r="G410" s="29" t="n">
        <v>18</v>
      </c>
      <c r="H410" s="29" t="n">
        <v>2670</v>
      </c>
      <c r="I410" s="21" t="inlineStr">
        <is>
          <t>2024</t>
        </is>
      </c>
      <c r="J410" s="21" t="inlineStr">
        <is>
          <t xml:space="preserve"> 1</t>
        </is>
      </c>
      <c r="K410" s="30">
        <f>(E410-F410)/IF(E410&gt;0,E410,1)</f>
        <v/>
      </c>
    </row>
    <row r="411">
      <c r="A411" s="22" t="inlineStr">
        <is>
          <t>오늘 바로 활용하는 챗GPT</t>
        </is>
      </c>
      <c r="B411" s="22" t="inlineStr">
        <is>
          <t>권은정, 권지선, 박준원</t>
        </is>
      </c>
      <c r="C411" s="22" t="inlineStr">
        <is>
          <t>앤써북</t>
        </is>
      </c>
      <c r="D411" s="22" t="inlineStr">
        <is>
          <t>2024년 06월</t>
        </is>
      </c>
      <c r="E411" s="28" t="n">
        <v>16700</v>
      </c>
      <c r="F411" s="28" t="n">
        <v>15030</v>
      </c>
      <c r="G411" s="29" t="n">
        <v>7</v>
      </c>
      <c r="H411" s="29" t="n">
        <v>348</v>
      </c>
      <c r="I411" s="21" t="inlineStr">
        <is>
          <t>2024</t>
        </is>
      </c>
      <c r="J411" s="21" t="inlineStr">
        <is>
          <t xml:space="preserve"> 0</t>
        </is>
      </c>
      <c r="K411" s="30">
        <f>(E411-F411)/IF(E411&gt;0,E411,1)</f>
        <v/>
      </c>
    </row>
    <row r="412">
      <c r="A412" s="22" t="inlineStr">
        <is>
          <t>일잘러의 비밀, 챗GPT와 GPTs로 나만의 AI 챗봇 만들기</t>
        </is>
      </c>
      <c r="B412" s="22" t="inlineStr">
        <is>
          <t>이경록, 김정욱</t>
        </is>
      </c>
      <c r="C412" s="22" t="inlineStr">
        <is>
          <t>한빛미디어</t>
        </is>
      </c>
      <c r="D412" s="22" t="inlineStr">
        <is>
          <t>2025년 02월</t>
        </is>
      </c>
      <c r="E412" s="28" t="n">
        <v>24000</v>
      </c>
      <c r="F412" s="28" t="n">
        <v>21600</v>
      </c>
      <c r="G412" s="29" t="n">
        <v>27</v>
      </c>
      <c r="H412" s="29" t="n">
        <v>1992</v>
      </c>
      <c r="I412" s="21" t="inlineStr">
        <is>
          <t>2025</t>
        </is>
      </c>
      <c r="J412" s="21" t="inlineStr">
        <is>
          <t xml:space="preserve"> 0</t>
        </is>
      </c>
      <c r="K412" s="30">
        <f>(E412-F412)/IF(E412&gt;0,E412,1)</f>
        <v/>
      </c>
    </row>
    <row r="413">
      <c r="A413" s="22" t="inlineStr">
        <is>
          <t>인공지능을 활용한 사회과학 연구방법</t>
        </is>
      </c>
      <c r="B413" s="22" t="inlineStr">
        <is>
          <t>김태용</t>
        </is>
      </c>
      <c r="C413" s="22" t="inlineStr">
        <is>
          <t>학지사</t>
        </is>
      </c>
      <c r="D413" s="22" t="inlineStr">
        <is>
          <t>2024년 04월</t>
        </is>
      </c>
      <c r="E413" s="28" t="n">
        <v>28000</v>
      </c>
      <c r="F413" s="28" t="n">
        <v>25200</v>
      </c>
      <c r="G413" s="29" t="n">
        <v>2</v>
      </c>
      <c r="H413" s="29" t="n">
        <v>354</v>
      </c>
      <c r="I413" s="21" t="inlineStr">
        <is>
          <t>2024</t>
        </is>
      </c>
      <c r="J413" s="21" t="inlineStr">
        <is>
          <t xml:space="preserve"> 0</t>
        </is>
      </c>
      <c r="K413" s="30">
        <f>(E413-F413)/IF(E413&gt;0,E413,1)</f>
        <v/>
      </c>
    </row>
    <row r="414">
      <c r="A414" s="22" t="inlineStr">
        <is>
          <t>아는 만큼 보이는 생성형 AI</t>
        </is>
      </c>
      <c r="B414" s="22" t="inlineStr">
        <is>
          <t>김주영</t>
        </is>
      </c>
      <c r="C414" s="22" t="inlineStr">
        <is>
          <t>길벗</t>
        </is>
      </c>
      <c r="D414" s="22" t="inlineStr">
        <is>
          <t>2025년 07월</t>
        </is>
      </c>
      <c r="E414" s="28" t="n">
        <v>22000</v>
      </c>
      <c r="F414" s="28" t="n">
        <v>19800</v>
      </c>
      <c r="G414" s="29" t="n">
        <v>26</v>
      </c>
      <c r="H414" s="29" t="n">
        <v>1614</v>
      </c>
      <c r="I414" s="21" t="inlineStr">
        <is>
          <t>2025</t>
        </is>
      </c>
      <c r="J414" s="21" t="inlineStr">
        <is>
          <t xml:space="preserve"> 0</t>
        </is>
      </c>
      <c r="K414" s="30">
        <f>(E414-F414)/IF(E414&gt;0,E414,1)</f>
        <v/>
      </c>
    </row>
    <row r="415">
      <c r="A415" s="22" t="inlineStr">
        <is>
          <t>생성형AI 프롬프트 디자인</t>
        </is>
      </c>
      <c r="B415" s="22" t="inlineStr">
        <is>
          <t>한국생성형AI연구원</t>
        </is>
      </c>
      <c r="C415" s="22" t="inlineStr">
        <is>
          <t>광문각출판미디어</t>
        </is>
      </c>
      <c r="D415" s="22" t="inlineStr">
        <is>
          <t>2026년 02월</t>
        </is>
      </c>
      <c r="E415" s="28" t="n">
        <v>30000</v>
      </c>
      <c r="F415" s="28" t="n">
        <v>30000</v>
      </c>
      <c r="G415" s="29" t="n">
        <v>0</v>
      </c>
      <c r="H415" s="29" t="n">
        <v>276</v>
      </c>
      <c r="I415" s="21" t="inlineStr">
        <is>
          <t>2026</t>
        </is>
      </c>
      <c r="J415" s="21" t="inlineStr">
        <is>
          <t xml:space="preserve"> 0</t>
        </is>
      </c>
      <c r="K415" s="30">
        <f>(E415-F415)/IF(E415&gt;0,E415,1)</f>
        <v/>
      </c>
    </row>
    <row r="416">
      <c r="A416" s="22" t="inlineStr">
        <is>
          <t>AI 수학 개념만이라도 충분하다</t>
        </is>
      </c>
      <c r="B416" s="22" t="inlineStr">
        <is>
          <t>김용현</t>
        </is>
      </c>
      <c r="C416" s="22" t="inlineStr">
        <is>
          <t>골든벨</t>
        </is>
      </c>
      <c r="D416" s="22" t="inlineStr">
        <is>
          <t>2026년 03월</t>
        </is>
      </c>
      <c r="E416" s="28" t="n">
        <v>20000</v>
      </c>
      <c r="F416" s="28" t="n">
        <v>19000</v>
      </c>
      <c r="G416" s="29" t="n">
        <v>2</v>
      </c>
      <c r="H416" s="29" t="n">
        <v>549</v>
      </c>
      <c r="I416" s="21" t="inlineStr">
        <is>
          <t>2026</t>
        </is>
      </c>
      <c r="J416" s="21" t="inlineStr">
        <is>
          <t xml:space="preserve"> 0</t>
        </is>
      </c>
      <c r="K416" s="30">
        <f>(E416-F416)/IF(E416&gt;0,E416,1)</f>
        <v/>
      </c>
    </row>
    <row r="417">
      <c r="A417" s="22" t="inlineStr">
        <is>
          <t>아두이노로 만드는 스마트 자동차</t>
        </is>
      </c>
      <c r="B417" s="22" t="inlineStr">
        <is>
          <t>장문철</t>
        </is>
      </c>
      <c r="C417" s="22" t="inlineStr">
        <is>
          <t>먼슬리북스</t>
        </is>
      </c>
      <c r="D417" s="22" t="inlineStr">
        <is>
          <t>2025년 03월</t>
        </is>
      </c>
      <c r="E417" s="28" t="n">
        <v>23500</v>
      </c>
      <c r="F417" s="28" t="n">
        <v>21150</v>
      </c>
      <c r="G417" s="29" t="n">
        <v>6</v>
      </c>
      <c r="H417" s="29" t="n">
        <v>312</v>
      </c>
      <c r="I417" s="21" t="inlineStr">
        <is>
          <t>2025</t>
        </is>
      </c>
      <c r="J417" s="21" t="inlineStr">
        <is>
          <t xml:space="preserve"> 0</t>
        </is>
      </c>
      <c r="K417" s="30">
        <f>(E417-F417)/IF(E417&gt;0,E417,1)</f>
        <v/>
      </c>
    </row>
    <row r="418">
      <c r="A418" s="22" t="inlineStr">
        <is>
          <t>바로 써먹는 챗GPT 실무 활용법</t>
        </is>
      </c>
      <c r="B418" s="22" t="inlineStr">
        <is>
          <t>김규림, 문혜정, 이호진, 허필선</t>
        </is>
      </c>
      <c r="C418" s="22" t="inlineStr">
        <is>
          <t>행복한북창고</t>
        </is>
      </c>
      <c r="D418" s="22" t="inlineStr">
        <is>
          <t>2025년 10월</t>
        </is>
      </c>
      <c r="E418" s="28" t="n">
        <v>22000</v>
      </c>
      <c r="F418" s="28" t="n">
        <v>19800</v>
      </c>
      <c r="G418" s="29" t="n">
        <v>12</v>
      </c>
      <c r="H418" s="29" t="n">
        <v>417</v>
      </c>
      <c r="I418" s="21" t="inlineStr">
        <is>
          <t>2025</t>
        </is>
      </c>
      <c r="J418" s="21" t="inlineStr">
        <is>
          <t xml:space="preserve"> 1</t>
        </is>
      </c>
      <c r="K418" s="30">
        <f>(E418-F418)/IF(E418&gt;0,E418,1)</f>
        <v/>
      </c>
    </row>
    <row r="419">
      <c r="A419" s="22" t="inlineStr">
        <is>
          <t>저전력 AI 반도체</t>
        </is>
      </c>
      <c r="B419" s="22" t="inlineStr">
        <is>
          <t>최종수</t>
        </is>
      </c>
      <c r="C419" s="22" t="inlineStr">
        <is>
          <t>커뮤니케이션북스</t>
        </is>
      </c>
      <c r="D419" s="22" t="inlineStr">
        <is>
          <t>2025년 03월</t>
        </is>
      </c>
      <c r="E419" s="28" t="n">
        <v>12000</v>
      </c>
      <c r="F419" s="28" t="n">
        <v>12000</v>
      </c>
      <c r="G419" s="29" t="n">
        <v>0</v>
      </c>
      <c r="H419" s="29" t="n">
        <v>216</v>
      </c>
      <c r="I419" s="21" t="inlineStr">
        <is>
          <t>2025</t>
        </is>
      </c>
      <c r="J419" s="21" t="inlineStr">
        <is>
          <t xml:space="preserve"> 0</t>
        </is>
      </c>
      <c r="K419" s="30">
        <f>(E419-F419)/IF(E419&gt;0,E419,1)</f>
        <v/>
      </c>
    </row>
    <row r="420">
      <c r="A420" s="22" t="inlineStr">
        <is>
          <t>Play IT! AI이거다</t>
        </is>
      </c>
      <c r="B420" s="22" t="inlineStr">
        <is>
          <t>심재국, 이우진, 송민규, 유준희, 조광복, 정보 더 보기/감추기, 심재국, 이우진, 송민규, 유준희, 조광복, 허정수, 정익현, 조호근, 소한나, 설 희, 이슬비, 박성현, 온영범, 서한별</t>
        </is>
      </c>
      <c r="C420" s="22" t="inlineStr">
        <is>
          <t>퓨너스</t>
        </is>
      </c>
      <c r="D420" s="22" t="inlineStr">
        <is>
          <t>2026년 01월</t>
        </is>
      </c>
      <c r="E420" s="28" t="n">
        <v>25000</v>
      </c>
      <c r="F420" s="28" t="n">
        <v>22500</v>
      </c>
      <c r="G420" s="29" t="n">
        <v>0</v>
      </c>
      <c r="H420" s="29" t="n">
        <v>288</v>
      </c>
      <c r="I420" s="21" t="inlineStr">
        <is>
          <t>2026</t>
        </is>
      </c>
      <c r="J420" s="21" t="inlineStr">
        <is>
          <t xml:space="preserve"> 0</t>
        </is>
      </c>
      <c r="K420" s="30">
        <f>(E420-F420)/IF(E420&gt;0,E420,1)</f>
        <v/>
      </c>
    </row>
    <row r="421">
      <c r="A421" s="22" t="inlineStr">
        <is>
          <t>구글 AI 제미나이(Gemini) 200% 활용법</t>
        </is>
      </c>
      <c r="B421" s="22" t="inlineStr">
        <is>
          <t>정의</t>
        </is>
      </c>
      <c r="C421" s="22" t="inlineStr">
        <is>
          <t>BOOKK(부크크)</t>
        </is>
      </c>
      <c r="D421" s="22" t="inlineStr">
        <is>
          <t>2026년 04월</t>
        </is>
      </c>
      <c r="E421" s="28" t="n">
        <v>8800</v>
      </c>
      <c r="F421" s="28" t="n">
        <v>8800</v>
      </c>
      <c r="G421" s="29" t="n">
        <v>0</v>
      </c>
      <c r="H421" s="29" t="n">
        <v>216</v>
      </c>
      <c r="I421" s="21" t="inlineStr">
        <is>
          <t>2026</t>
        </is>
      </c>
      <c r="J421" s="21" t="inlineStr">
        <is>
          <t xml:space="preserve"> 0</t>
        </is>
      </c>
      <c r="K421" s="30">
        <f>(E421-F421)/IF(E421&gt;0,E421,1)</f>
        <v/>
      </c>
    </row>
    <row r="422">
      <c r="A422" s="22" t="inlineStr">
        <is>
          <t>이게 되네? 업무 자동화 미친 활용 앱스 스크립트 with 챗GPT</t>
        </is>
      </c>
      <c r="B422" s="22" t="inlineStr">
        <is>
          <t>서휘승</t>
        </is>
      </c>
      <c r="C422" s="22" t="inlineStr">
        <is>
          <t>골든래빗</t>
        </is>
      </c>
      <c r="D422" s="22" t="inlineStr">
        <is>
          <t>2024년 11월</t>
        </is>
      </c>
      <c r="E422" s="28" t="n">
        <v>32000</v>
      </c>
      <c r="F422" s="28" t="n">
        <v>28800</v>
      </c>
      <c r="G422" s="29" t="n">
        <v>3</v>
      </c>
      <c r="H422" s="29" t="n">
        <v>2514</v>
      </c>
      <c r="I422" s="21" t="inlineStr">
        <is>
          <t>2024</t>
        </is>
      </c>
      <c r="J422" s="21" t="inlineStr">
        <is>
          <t xml:space="preserve"> 1</t>
        </is>
      </c>
      <c r="K422" s="30">
        <f>(E422-F422)/IF(E422&gt;0,E422,1)</f>
        <v/>
      </c>
    </row>
    <row r="423">
      <c r="A423" s="22" t="inlineStr">
        <is>
          <t>AI와 청소년 윤리 교육</t>
        </is>
      </c>
      <c r="B423" s="22" t="inlineStr">
        <is>
          <t>고정아</t>
        </is>
      </c>
      <c r="C423" s="22" t="inlineStr">
        <is>
          <t>커뮤니케이션북스</t>
        </is>
      </c>
      <c r="D423" s="22" t="inlineStr">
        <is>
          <t>2026년 04월</t>
        </is>
      </c>
      <c r="E423" s="28" t="n">
        <v>12000</v>
      </c>
      <c r="F423" s="28" t="n">
        <v>12000</v>
      </c>
      <c r="G423" s="29" t="n">
        <v>0</v>
      </c>
      <c r="H423" s="29" t="n">
        <v>168</v>
      </c>
      <c r="I423" s="21" t="inlineStr">
        <is>
          <t>2026</t>
        </is>
      </c>
      <c r="J423" s="21" t="inlineStr">
        <is>
          <t xml:space="preserve"> 0</t>
        </is>
      </c>
      <c r="K423" s="30">
        <f>(E423-F423)/IF(E423&gt;0,E423,1)</f>
        <v/>
      </c>
    </row>
    <row r="424">
      <c r="A424" s="22" t="inlineStr">
        <is>
          <t>AI와 교사 평가의 재구성</t>
        </is>
      </c>
      <c r="B424" s="22" t="inlineStr">
        <is>
          <t>최진영</t>
        </is>
      </c>
      <c r="C424" s="22" t="inlineStr">
        <is>
          <t>커뮤니케이션북스</t>
        </is>
      </c>
      <c r="D424" s="22" t="inlineStr">
        <is>
          <t>2026년 04월</t>
        </is>
      </c>
      <c r="E424" s="28" t="n">
        <v>12000</v>
      </c>
      <c r="F424" s="28" t="n">
        <v>12000</v>
      </c>
      <c r="G424" s="29" t="n">
        <v>0</v>
      </c>
      <c r="H424" s="29" t="n">
        <v>168</v>
      </c>
      <c r="I424" s="21" t="inlineStr">
        <is>
          <t>2026</t>
        </is>
      </c>
      <c r="J424" s="21" t="inlineStr">
        <is>
          <t xml:space="preserve"> 0</t>
        </is>
      </c>
      <c r="K424" s="30">
        <f>(E424-F424)/IF(E424&gt;0,E424,1)</f>
        <v/>
      </c>
    </row>
    <row r="425">
      <c r="A425" s="22" t="inlineStr">
        <is>
          <t>요즘 바이브 코딩 v0 + 커서 입문 PRD 기획·개발·배포, 일주일 완성</t>
        </is>
      </c>
      <c r="B425" s="22" t="inlineStr">
        <is>
          <t>김동학</t>
        </is>
      </c>
      <c r="C425" s="22" t="inlineStr">
        <is>
          <t>골든래빗</t>
        </is>
      </c>
      <c r="D425" s="22" t="inlineStr">
        <is>
          <t>2026년 01월</t>
        </is>
      </c>
      <c r="E425" s="28" t="n">
        <v>28000</v>
      </c>
      <c r="F425" s="28" t="n">
        <v>25200</v>
      </c>
      <c r="G425" s="29" t="n">
        <v>7</v>
      </c>
      <c r="H425" s="29" t="n">
        <v>1434</v>
      </c>
      <c r="I425" s="21" t="inlineStr">
        <is>
          <t>2026</t>
        </is>
      </c>
      <c r="J425" s="21" t="inlineStr">
        <is>
          <t xml:space="preserve"> 0</t>
        </is>
      </c>
      <c r="K425" s="30">
        <f>(E425-F425)/IF(E425&gt;0,E425,1)</f>
        <v/>
      </c>
    </row>
    <row r="426">
      <c r="A426" s="22" t="inlineStr">
        <is>
          <t>만들면서 배우는 아두이노와 40개의 작품들</t>
        </is>
      </c>
      <c r="B426" s="22" t="inlineStr">
        <is>
          <t>장문철</t>
        </is>
      </c>
      <c r="C426" s="22" t="inlineStr">
        <is>
          <t>앤써북</t>
        </is>
      </c>
      <c r="D426" s="22" t="inlineStr">
        <is>
          <t>2024년 12월</t>
        </is>
      </c>
      <c r="E426" s="28" t="n">
        <v>25500</v>
      </c>
      <c r="F426" s="28" t="n">
        <v>22950</v>
      </c>
      <c r="G426" s="29" t="n">
        <v>3</v>
      </c>
      <c r="H426" s="29" t="n">
        <v>1632</v>
      </c>
      <c r="I426" s="21" t="inlineStr">
        <is>
          <t>2024</t>
        </is>
      </c>
      <c r="J426" s="21" t="inlineStr">
        <is>
          <t xml:space="preserve"> 1</t>
        </is>
      </c>
      <c r="K426" s="30">
        <f>(E426-F426)/IF(E426&gt;0,E426,1)</f>
        <v/>
      </c>
    </row>
    <row r="427">
      <c r="A427" s="22" t="inlineStr">
        <is>
          <t>난생처음 파이썬 프로그래밍</t>
        </is>
      </c>
      <c r="B427" s="22" t="inlineStr">
        <is>
          <t>우재남, 최민아</t>
        </is>
      </c>
      <c r="C427" s="22" t="inlineStr">
        <is>
          <t>한빛아카데미</t>
        </is>
      </c>
      <c r="D427" s="22" t="inlineStr">
        <is>
          <t>2021년 06월</t>
        </is>
      </c>
      <c r="E427" s="28" t="n">
        <v>24000</v>
      </c>
      <c r="F427" s="28" t="n">
        <v>24000</v>
      </c>
      <c r="G427" s="29" t="n">
        <v>18</v>
      </c>
      <c r="H427" s="29" t="n">
        <v>4896</v>
      </c>
      <c r="I427" s="21" t="inlineStr">
        <is>
          <t>2021</t>
        </is>
      </c>
      <c r="J427" s="21" t="inlineStr">
        <is>
          <t xml:space="preserve"> 0</t>
        </is>
      </c>
      <c r="K427" s="30">
        <f>(E427-F427)/IF(E427&gt;0,E427,1)</f>
        <v/>
      </c>
    </row>
    <row r="428">
      <c r="A428" s="22" t="inlineStr">
        <is>
          <t>트랜스포머를 활용한 자연어 처리</t>
        </is>
      </c>
      <c r="B428" s="22" t="inlineStr">
        <is>
          <t>루이스 턴스톨, 레안드로 폰 베라, 토마스 울프, 박해선</t>
        </is>
      </c>
      <c r="C428" s="22" t="inlineStr">
        <is>
          <t>한빛미디어</t>
        </is>
      </c>
      <c r="D428" s="22" t="inlineStr">
        <is>
          <t>2022년 11월</t>
        </is>
      </c>
      <c r="E428" s="28" t="n">
        <v>39000</v>
      </c>
      <c r="F428" s="28" t="n">
        <v>35100</v>
      </c>
      <c r="G428" s="29" t="n">
        <v>44</v>
      </c>
      <c r="H428" s="29" t="n">
        <v>1182</v>
      </c>
      <c r="I428" s="21" t="inlineStr">
        <is>
          <t>2022</t>
        </is>
      </c>
      <c r="J428" s="21" t="inlineStr">
        <is>
          <t xml:space="preserve"> 1</t>
        </is>
      </c>
      <c r="K428" s="30">
        <f>(E428-F428)/IF(E428&gt;0,E428,1)</f>
        <v/>
      </c>
    </row>
    <row r="429">
      <c r="A429" s="22" t="inlineStr">
        <is>
          <t>만들면서 배우는 라즈베리파이 5와 40개의 작품들</t>
        </is>
      </c>
      <c r="B429" s="22" t="inlineStr">
        <is>
          <t>장문철, 다두이노</t>
        </is>
      </c>
      <c r="C429" s="22" t="inlineStr">
        <is>
          <t>앤써북</t>
        </is>
      </c>
      <c r="D429" s="22" t="inlineStr">
        <is>
          <t>2024년 03월</t>
        </is>
      </c>
      <c r="E429" s="28" t="n">
        <v>22000</v>
      </c>
      <c r="F429" s="28" t="n">
        <v>19800</v>
      </c>
      <c r="G429" s="29" t="n">
        <v>3</v>
      </c>
      <c r="H429" s="29" t="n">
        <v>1266</v>
      </c>
      <c r="I429" s="21" t="inlineStr">
        <is>
          <t>2024</t>
        </is>
      </c>
      <c r="J429" s="21" t="inlineStr">
        <is>
          <t xml:space="preserve"> 0</t>
        </is>
      </c>
      <c r="K429" s="30">
        <f>(E429-F429)/IF(E429&gt;0,E429,1)</f>
        <v/>
      </c>
    </row>
    <row r="430">
      <c r="A430" s="22" t="inlineStr">
        <is>
          <t>이토록 쉬운 RAG 시스템 구축을 위한 랭체인 실전 가이드</t>
        </is>
      </c>
      <c r="B430" s="22" t="inlineStr">
        <is>
          <t>윤성재</t>
        </is>
      </c>
      <c r="C430" s="22" t="inlineStr">
        <is>
          <t>루비페이퍼</t>
        </is>
      </c>
      <c r="D430" s="22" t="inlineStr">
        <is>
          <t>2024년 10월</t>
        </is>
      </c>
      <c r="E430" s="28" t="n">
        <v>26000</v>
      </c>
      <c r="F430" s="28" t="n">
        <v>23400</v>
      </c>
      <c r="G430" s="29" t="n">
        <v>22</v>
      </c>
      <c r="H430" s="29" t="n">
        <v>1548</v>
      </c>
      <c r="I430" s="21" t="inlineStr">
        <is>
          <t>2024</t>
        </is>
      </c>
      <c r="J430" s="21" t="inlineStr">
        <is>
          <t xml:space="preserve"> 1</t>
        </is>
      </c>
      <c r="K430" s="30">
        <f>(E430-F430)/IF(E430&gt;0,E430,1)</f>
        <v/>
      </c>
    </row>
    <row r="431">
      <c r="A431" s="22" t="inlineStr">
        <is>
          <t>AI가 바꾸는 학교 수업 챗GPT 교육 활용</t>
        </is>
      </c>
      <c r="B431" s="22" t="inlineStr">
        <is>
          <t>오창근, 장윤제</t>
        </is>
      </c>
      <c r="C431" s="22" t="inlineStr">
        <is>
          <t>성안당</t>
        </is>
      </c>
      <c r="D431" s="22" t="inlineStr">
        <is>
          <t>2023년 10월</t>
        </is>
      </c>
      <c r="E431" s="28" t="n">
        <v>23000</v>
      </c>
      <c r="F431" s="28" t="n">
        <v>20700</v>
      </c>
      <c r="G431" s="29" t="n">
        <v>56</v>
      </c>
      <c r="H431" s="29" t="n">
        <v>1320</v>
      </c>
      <c r="I431" s="21" t="inlineStr">
        <is>
          <t>2023</t>
        </is>
      </c>
      <c r="J431" s="21" t="inlineStr">
        <is>
          <t xml:space="preserve"> 1</t>
        </is>
      </c>
      <c r="K431" s="30">
        <f>(E431-F431)/IF(E431&gt;0,E431,1)</f>
        <v/>
      </c>
    </row>
    <row r="432">
      <c r="A432" s="22" t="inlineStr">
        <is>
          <t>두근두근 C언어 with 챗GPT</t>
        </is>
      </c>
      <c r="B432" s="22" t="inlineStr">
        <is>
          <t>천인국</t>
        </is>
      </c>
      <c r="C432" s="22" t="inlineStr">
        <is>
          <t>생능출판사</t>
        </is>
      </c>
      <c r="D432" s="22" t="inlineStr">
        <is>
          <t>2024년 07월</t>
        </is>
      </c>
      <c r="E432" s="28" t="n">
        <v>32000</v>
      </c>
      <c r="F432" s="28" t="n">
        <v>32000</v>
      </c>
      <c r="G432" s="29" t="n">
        <v>0</v>
      </c>
      <c r="H432" s="29" t="n">
        <v>1170</v>
      </c>
      <c r="I432" s="21" t="inlineStr">
        <is>
          <t>2024</t>
        </is>
      </c>
      <c r="J432" s="21" t="inlineStr">
        <is>
          <t xml:space="preserve"> 0</t>
        </is>
      </c>
      <c r="K432" s="30">
        <f>(E432-F432)/IF(E432&gt;0,E432,1)</f>
        <v/>
      </c>
    </row>
    <row r="433">
      <c r="A433" s="22" t="inlineStr">
        <is>
          <t>챗GPT와 함께하는 주식 데이터 분석</t>
        </is>
      </c>
      <c r="B433" s="22" t="inlineStr">
        <is>
          <t>이진규, 김동준</t>
        </is>
      </c>
      <c r="C433" s="22" t="inlineStr">
        <is>
          <t>영진닷컴</t>
        </is>
      </c>
      <c r="D433" s="22" t="inlineStr">
        <is>
          <t>2025년 08월</t>
        </is>
      </c>
      <c r="E433" s="28" t="n">
        <v>22000</v>
      </c>
      <c r="F433" s="28" t="n">
        <v>19800</v>
      </c>
      <c r="G433" s="29" t="n">
        <v>22</v>
      </c>
      <c r="H433" s="29" t="n">
        <v>2262</v>
      </c>
      <c r="I433" s="21" t="inlineStr">
        <is>
          <t>2025</t>
        </is>
      </c>
      <c r="J433" s="21" t="inlineStr">
        <is>
          <t xml:space="preserve"> 0</t>
        </is>
      </c>
      <c r="K433" s="30">
        <f>(E433-F433)/IF(E433&gt;0,E433,1)</f>
        <v/>
      </c>
    </row>
    <row r="434">
      <c r="A434" s="22" t="inlineStr">
        <is>
          <t>혼자서도 척척 해내는 AI 에이전트 만들기 with 랭체인 &amp; 랭그래프</t>
        </is>
      </c>
      <c r="B434" s="22" t="inlineStr">
        <is>
          <t>강병진</t>
        </is>
      </c>
      <c r="C434" s="22" t="inlineStr">
        <is>
          <t>제이펍</t>
        </is>
      </c>
      <c r="D434" s="22" t="inlineStr">
        <is>
          <t>2026년 01월</t>
        </is>
      </c>
      <c r="E434" s="28" t="n">
        <v>28000</v>
      </c>
      <c r="F434" s="28" t="n">
        <v>25200</v>
      </c>
      <c r="G434" s="29" t="n">
        <v>4</v>
      </c>
      <c r="H434" s="29" t="n">
        <v>1074</v>
      </c>
      <c r="I434" s="21" t="inlineStr">
        <is>
          <t>2026</t>
        </is>
      </c>
      <c r="J434" s="21" t="inlineStr">
        <is>
          <t xml:space="preserve"> 0</t>
        </is>
      </c>
      <c r="K434" s="30">
        <f>(E434-F434)/IF(E434&gt;0,E434,1)</f>
        <v/>
      </c>
    </row>
    <row r="435">
      <c r="A435" s="22" t="inlineStr">
        <is>
          <t>AI 에디터 커서 Cursor 완벽 가이드</t>
        </is>
      </c>
      <c r="B435" s="22" t="inlineStr">
        <is>
          <t>키노시타 유이치로, 김모세</t>
        </is>
      </c>
      <c r="C435" s="22" t="inlineStr">
        <is>
          <t>영진닷컴</t>
        </is>
      </c>
      <c r="D435" s="22" t="inlineStr">
        <is>
          <t>2025년 07월</t>
        </is>
      </c>
      <c r="E435" s="28" t="n">
        <v>22000</v>
      </c>
      <c r="F435" s="28" t="n">
        <v>19800</v>
      </c>
      <c r="G435" s="29" t="n">
        <v>8</v>
      </c>
      <c r="H435" s="29" t="n">
        <v>3366</v>
      </c>
      <c r="I435" s="21" t="inlineStr">
        <is>
          <t>2025</t>
        </is>
      </c>
      <c r="J435" s="21" t="inlineStr">
        <is>
          <t xml:space="preserve"> 0</t>
        </is>
      </c>
      <c r="K435" s="30">
        <f>(E435-F435)/IF(E435&gt;0,E435,1)</f>
        <v/>
      </c>
    </row>
    <row r="436">
      <c r="A436" s="22" t="inlineStr">
        <is>
          <t>7가지 프로젝트로 배우는 LLM AI 에이전트 개발</t>
        </is>
      </c>
      <c r="B436" s="22" t="inlineStr">
        <is>
          <t>황자, 김진호</t>
        </is>
      </c>
      <c r="C436" s="22" t="inlineStr">
        <is>
          <t>제이펍</t>
        </is>
      </c>
      <c r="D436" s="22" t="inlineStr">
        <is>
          <t>2025년 04월</t>
        </is>
      </c>
      <c r="E436" s="28" t="n">
        <v>36000</v>
      </c>
      <c r="F436" s="28" t="n">
        <v>32400</v>
      </c>
      <c r="G436" s="29" t="n">
        <v>5</v>
      </c>
      <c r="H436" s="29" t="n">
        <v>2346</v>
      </c>
      <c r="I436" s="21" t="inlineStr">
        <is>
          <t>2025</t>
        </is>
      </c>
      <c r="J436" s="21" t="inlineStr">
        <is>
          <t xml:space="preserve"> 0</t>
        </is>
      </c>
      <c r="K436" s="30">
        <f>(E436-F436)/IF(E436&gt;0,E436,1)</f>
        <v/>
      </c>
    </row>
    <row r="437">
      <c r="A437" s="22" t="inlineStr">
        <is>
          <t>일반통계학</t>
        </is>
      </c>
      <c r="B437" s="22" t="inlineStr">
        <is>
          <t>서울대학교 자연과학대학 통계학과</t>
        </is>
      </c>
      <c r="C437" s="22" t="inlineStr">
        <is>
          <t>한빛아카데미</t>
        </is>
      </c>
      <c r="D437" s="22" t="inlineStr">
        <is>
          <t>2025년 03월</t>
        </is>
      </c>
      <c r="E437" s="28" t="n">
        <v>35000</v>
      </c>
      <c r="F437" s="28" t="n">
        <v>35000</v>
      </c>
      <c r="G437" s="29" t="n">
        <v>0</v>
      </c>
      <c r="H437" s="29" t="n">
        <v>2082</v>
      </c>
      <c r="I437" s="21" t="inlineStr">
        <is>
          <t>2025</t>
        </is>
      </c>
      <c r="J437" s="21" t="inlineStr">
        <is>
          <t xml:space="preserve"> 0</t>
        </is>
      </c>
      <c r="K437" s="30">
        <f>(E437-F437)/IF(E437&gt;0,E437,1)</f>
        <v/>
      </c>
    </row>
    <row r="438">
      <c r="A438" s="22" t="inlineStr">
        <is>
          <t>누구나 쉽게 배우는 인공지능 스타트 with 챗GPT</t>
        </is>
      </c>
      <c r="B438" s="22" t="inlineStr">
        <is>
          <t>박동규</t>
        </is>
      </c>
      <c r="C438" s="22" t="inlineStr">
        <is>
          <t>인피니티북스</t>
        </is>
      </c>
      <c r="D438" s="22" t="inlineStr">
        <is>
          <t>2025년 01월</t>
        </is>
      </c>
      <c r="E438" s="28" t="n">
        <v>29000</v>
      </c>
      <c r="F438" s="28" t="n">
        <v>29000</v>
      </c>
      <c r="G438" s="29" t="n">
        <v>1</v>
      </c>
      <c r="H438" s="29" t="n">
        <v>3174</v>
      </c>
      <c r="I438" s="21" t="inlineStr">
        <is>
          <t>2025</t>
        </is>
      </c>
      <c r="J438" s="21" t="inlineStr">
        <is>
          <t xml:space="preserve"> 0</t>
        </is>
      </c>
      <c r="K438" s="30">
        <f>(E438-F438)/IF(E438&gt;0,E438,1)</f>
        <v/>
      </c>
    </row>
    <row r="439">
      <c r="A439" s="22" t="inlineStr">
        <is>
          <t>AI 리터러시</t>
        </is>
      </c>
      <c r="B439" s="22" t="inlineStr">
        <is>
          <t>이선종, 이창우, 강승희</t>
        </is>
      </c>
      <c r="C439" s="22" t="inlineStr">
        <is>
          <t>영진닷컴</t>
        </is>
      </c>
      <c r="D439" s="22" t="inlineStr">
        <is>
          <t>2025년 12월</t>
        </is>
      </c>
      <c r="E439" s="28" t="n">
        <v>22000</v>
      </c>
      <c r="F439" s="28" t="n">
        <v>19800</v>
      </c>
      <c r="G439" s="29" t="n">
        <v>3</v>
      </c>
      <c r="H439" s="29" t="n">
        <v>1146</v>
      </c>
      <c r="I439" s="21" t="inlineStr">
        <is>
          <t>2025</t>
        </is>
      </c>
      <c r="J439" s="21" t="inlineStr">
        <is>
          <t xml:space="preserve"> 1</t>
        </is>
      </c>
      <c r="K439" s="30">
        <f>(E439-F439)/IF(E439&gt;0,E439,1)</f>
        <v/>
      </c>
    </row>
    <row r="440">
      <c r="A440" s="22" t="inlineStr">
        <is>
          <t>LUVIT♥ 파이썬으로 만드는 초경량 한국어 LLM 챗봇</t>
        </is>
      </c>
      <c r="B440" s="22" t="inlineStr">
        <is>
          <t>김규석, 서예진, 정태양</t>
        </is>
      </c>
      <c r="C440" s="22" t="inlineStr">
        <is>
          <t>제이펍</t>
        </is>
      </c>
      <c r="D440" s="22" t="inlineStr">
        <is>
          <t>2026년 01월</t>
        </is>
      </c>
      <c r="E440" s="28" t="n">
        <v>28000</v>
      </c>
      <c r="F440" s="28" t="n">
        <v>25200</v>
      </c>
      <c r="G440" s="29" t="n">
        <v>1</v>
      </c>
      <c r="H440" s="29" t="n">
        <v>1056</v>
      </c>
      <c r="I440" s="21" t="inlineStr">
        <is>
          <t>2026</t>
        </is>
      </c>
      <c r="J440" s="21" t="inlineStr">
        <is>
          <t xml:space="preserve"> 0</t>
        </is>
      </c>
      <c r="K440" s="30">
        <f>(E440-F440)/IF(E440&gt;0,E440,1)</f>
        <v/>
      </c>
    </row>
    <row r="441">
      <c r="A441" s="22" t="inlineStr">
        <is>
          <t>할루시네이션을 줄여주는 프롬프트 엔지니어링</t>
        </is>
      </c>
      <c r="B441" s="22" t="inlineStr">
        <is>
          <t>한성민</t>
        </is>
      </c>
      <c r="C441" s="22" t="inlineStr">
        <is>
          <t>한빛미디어</t>
        </is>
      </c>
      <c r="D441" s="22" t="inlineStr">
        <is>
          <t>2025년 09월</t>
        </is>
      </c>
      <c r="E441" s="28" t="n">
        <v>32000</v>
      </c>
      <c r="F441" s="28" t="n">
        <v>28800</v>
      </c>
      <c r="G441" s="29" t="n">
        <v>6</v>
      </c>
      <c r="H441" s="29" t="n">
        <v>834</v>
      </c>
      <c r="I441" s="21" t="inlineStr">
        <is>
          <t>2025</t>
        </is>
      </c>
      <c r="J441" s="21" t="inlineStr">
        <is>
          <t xml:space="preserve"> 0</t>
        </is>
      </c>
      <c r="K441" s="30">
        <f>(E441-F441)/IF(E441&gt;0,E441,1)</f>
        <v/>
      </c>
    </row>
    <row r="442">
      <c r="A442" s="22" t="inlineStr">
        <is>
          <t>이토록 쉬운 10가지 프로젝트로 끝내는 트랜스포머 활용 가이드 with 파이토치</t>
        </is>
      </c>
      <c r="B442" s="22" t="inlineStr">
        <is>
          <t>프렘 팀시나, 임선집</t>
        </is>
      </c>
      <c r="C442" s="22" t="inlineStr">
        <is>
          <t>루비페이퍼</t>
        </is>
      </c>
      <c r="D442" s="22" t="inlineStr">
        <is>
          <t>2025년 02월</t>
        </is>
      </c>
      <c r="E442" s="28" t="n">
        <v>28000</v>
      </c>
      <c r="F442" s="28" t="n">
        <v>25200</v>
      </c>
      <c r="G442" s="29" t="n">
        <v>11</v>
      </c>
      <c r="H442" s="29" t="n">
        <v>792</v>
      </c>
      <c r="I442" s="21" t="inlineStr">
        <is>
          <t>2025</t>
        </is>
      </c>
      <c r="J442" s="21" t="inlineStr">
        <is>
          <t xml:space="preserve"> 0</t>
        </is>
      </c>
      <c r="K442" s="30">
        <f>(E442-F442)/IF(E442&gt;0,E442,1)</f>
        <v/>
      </c>
    </row>
    <row r="443">
      <c r="A443" s="22" t="inlineStr">
        <is>
          <t>챗GPT, 저는 이렇게 쓰고 있어요</t>
        </is>
      </c>
      <c r="B443" s="22" t="inlineStr">
        <is>
          <t>최소영</t>
        </is>
      </c>
      <c r="C443" s="22" t="inlineStr">
        <is>
          <t>길벗</t>
        </is>
      </c>
      <c r="D443" s="22" t="inlineStr">
        <is>
          <t>2025년 11월</t>
        </is>
      </c>
      <c r="E443" s="28" t="n">
        <v>18800</v>
      </c>
      <c r="F443" s="28" t="n">
        <v>16920</v>
      </c>
      <c r="G443" s="29" t="n">
        <v>40</v>
      </c>
      <c r="H443" s="29" t="n">
        <v>4416</v>
      </c>
      <c r="I443" s="21" t="inlineStr">
        <is>
          <t>2025</t>
        </is>
      </c>
      <c r="J443" s="21" t="inlineStr">
        <is>
          <t xml:space="preserve"> 1</t>
        </is>
      </c>
      <c r="K443" s="30">
        <f>(E443-F443)/IF(E443&gt;0,E443,1)</f>
        <v/>
      </c>
    </row>
    <row r="444">
      <c r="A444" s="22" t="inlineStr">
        <is>
          <t>AI 중심 대학</t>
        </is>
      </c>
      <c r="B444" s="22" t="inlineStr">
        <is>
          <t>장준호</t>
        </is>
      </c>
      <c r="C444" s="22" t="inlineStr">
        <is>
          <t>연암사</t>
        </is>
      </c>
      <c r="D444" s="22" t="inlineStr">
        <is>
          <t>2026년 03월</t>
        </is>
      </c>
      <c r="E444" s="28" t="n">
        <v>18900</v>
      </c>
      <c r="F444" s="28" t="n">
        <v>17010</v>
      </c>
      <c r="G444" s="29" t="n">
        <v>8</v>
      </c>
      <c r="H444" s="29" t="n">
        <v>918</v>
      </c>
      <c r="I444" s="21" t="inlineStr">
        <is>
          <t>2026</t>
        </is>
      </c>
      <c r="J444" s="21" t="inlineStr">
        <is>
          <t xml:space="preserve"> 0</t>
        </is>
      </c>
      <c r="K444" s="30">
        <f>(E444-F444)/IF(E444&gt;0,E444,1)</f>
        <v/>
      </c>
    </row>
    <row r="445">
      <c r="A445" s="22" t="inlineStr">
        <is>
          <t>알아서 잘하는 에이전틱 AI 시스템 구축하기</t>
        </is>
      </c>
      <c r="B445" s="22" t="inlineStr">
        <is>
          <t>안자나바 비스와스, 릭 탈루크다르, 김모세</t>
        </is>
      </c>
      <c r="C445" s="22" t="inlineStr">
        <is>
          <t>제이펍</t>
        </is>
      </c>
      <c r="D445" s="22" t="inlineStr">
        <is>
          <t>2025년 09월</t>
        </is>
      </c>
      <c r="E445" s="28" t="n">
        <v>28000</v>
      </c>
      <c r="F445" s="28" t="n">
        <v>25200</v>
      </c>
      <c r="G445" s="29" t="n">
        <v>3</v>
      </c>
      <c r="H445" s="29" t="n">
        <v>3060</v>
      </c>
      <c r="I445" s="21" t="inlineStr">
        <is>
          <t>2025</t>
        </is>
      </c>
      <c r="J445" s="21" t="inlineStr">
        <is>
          <t xml:space="preserve"> 0</t>
        </is>
      </c>
      <c r="K445" s="30">
        <f>(E445-F445)/IF(E445&gt;0,E445,1)</f>
        <v/>
      </c>
    </row>
    <row r="446">
      <c r="A446" s="22" t="inlineStr">
        <is>
          <t>AI를 활용한 경영전략 수립</t>
        </is>
      </c>
      <c r="B446" s="22" t="inlineStr">
        <is>
          <t>은종성</t>
        </is>
      </c>
      <c r="C446" s="22" t="inlineStr">
        <is>
          <t>책길</t>
        </is>
      </c>
      <c r="D446" s="22" t="inlineStr">
        <is>
          <t>2025년 02월</t>
        </is>
      </c>
      <c r="E446" s="28" t="n">
        <v>19800</v>
      </c>
      <c r="F446" s="28" t="n">
        <v>17820</v>
      </c>
      <c r="G446" s="29" t="n">
        <v>11</v>
      </c>
      <c r="H446" s="29" t="n">
        <v>774</v>
      </c>
      <c r="I446" s="21" t="inlineStr">
        <is>
          <t>2025</t>
        </is>
      </c>
      <c r="J446" s="21" t="inlineStr">
        <is>
          <t xml:space="preserve"> 0</t>
        </is>
      </c>
      <c r="K446" s="30">
        <f>(E446-F446)/IF(E446&gt;0,E446,1)</f>
        <v/>
      </c>
    </row>
    <row r="447">
      <c r="A447" s="22" t="inlineStr">
        <is>
          <t>디지털포렌식 인 케이스</t>
        </is>
      </c>
      <c r="B447" s="22" t="inlineStr">
        <is>
          <t>천성덕</t>
        </is>
      </c>
      <c r="C447" s="22" t="inlineStr">
        <is>
          <t>에스엠디자인</t>
        </is>
      </c>
      <c r="D447" s="22" t="inlineStr">
        <is>
          <t>2024년 12월</t>
        </is>
      </c>
      <c r="E447" s="28" t="n">
        <v>45000</v>
      </c>
      <c r="F447" s="28" t="n">
        <v>40500</v>
      </c>
      <c r="G447" s="29" t="n">
        <v>0</v>
      </c>
      <c r="H447" s="29" t="n">
        <v>675</v>
      </c>
      <c r="I447" s="21" t="inlineStr">
        <is>
          <t>2024</t>
        </is>
      </c>
      <c r="J447" s="21" t="inlineStr">
        <is>
          <t xml:space="preserve"> 1</t>
        </is>
      </c>
      <c r="K447" s="30">
        <f>(E447-F447)/IF(E447&gt;0,E447,1)</f>
        <v/>
      </c>
    </row>
    <row r="448">
      <c r="A448" s="22" t="inlineStr">
        <is>
          <t>챗GPT API를 활용한 챗봇 만들기</t>
        </is>
      </c>
      <c r="B448" s="22" t="inlineStr">
        <is>
          <t>이승우</t>
        </is>
      </c>
      <c r="C448" s="22" t="inlineStr">
        <is>
          <t>한빛미디어</t>
        </is>
      </c>
      <c r="D448" s="22" t="inlineStr">
        <is>
          <t>2024년 08월</t>
        </is>
      </c>
      <c r="E448" s="28" t="n">
        <v>32000</v>
      </c>
      <c r="F448" s="28" t="n">
        <v>28800</v>
      </c>
      <c r="G448" s="29" t="n">
        <v>17</v>
      </c>
      <c r="H448" s="29" t="n">
        <v>870</v>
      </c>
      <c r="I448" s="21" t="inlineStr">
        <is>
          <t>2024</t>
        </is>
      </c>
      <c r="J448" s="21" t="inlineStr">
        <is>
          <t xml:space="preserve"> 0</t>
        </is>
      </c>
      <c r="K448" s="30">
        <f>(E448-F448)/IF(E448&gt;0,E448,1)</f>
        <v/>
      </c>
    </row>
    <row r="449">
      <c r="A449" s="22" t="inlineStr">
        <is>
          <t>파이썬 증권 데이터 분석</t>
        </is>
      </c>
      <c r="B449" s="22" t="inlineStr">
        <is>
          <t>김황후</t>
        </is>
      </c>
      <c r="C449" s="22" t="inlineStr">
        <is>
          <t>한빛미디어</t>
        </is>
      </c>
      <c r="D449" s="22" t="inlineStr">
        <is>
          <t>2020년 07월</t>
        </is>
      </c>
      <c r="E449" s="28" t="n">
        <v>32000</v>
      </c>
      <c r="F449" s="28" t="n">
        <v>28800</v>
      </c>
      <c r="G449" s="29" t="n">
        <v>40</v>
      </c>
      <c r="H449" s="29" t="n">
        <v>624</v>
      </c>
      <c r="I449" s="21" t="inlineStr">
        <is>
          <t>2020</t>
        </is>
      </c>
      <c r="J449" s="21" t="inlineStr">
        <is>
          <t xml:space="preserve"> 0</t>
        </is>
      </c>
      <c r="K449" s="30">
        <f>(E449-F449)/IF(E449&gt;0,E449,1)</f>
        <v/>
      </c>
    </row>
    <row r="450">
      <c r="A450" s="22" t="inlineStr">
        <is>
          <t>강화 학습</t>
        </is>
      </c>
      <c r="B450" s="22" t="inlineStr">
        <is>
          <t>오일석</t>
        </is>
      </c>
      <c r="C450" s="22" t="inlineStr">
        <is>
          <t>한빛아카데미</t>
        </is>
      </c>
      <c r="D450" s="22" t="inlineStr">
        <is>
          <t>2025년 07월</t>
        </is>
      </c>
      <c r="E450" s="28" t="n">
        <v>38000</v>
      </c>
      <c r="F450" s="28" t="n">
        <v>38000</v>
      </c>
      <c r="G450" s="29" t="n">
        <v>0</v>
      </c>
      <c r="H450" s="29" t="n">
        <v>642</v>
      </c>
      <c r="I450" s="21" t="inlineStr">
        <is>
          <t>2025</t>
        </is>
      </c>
      <c r="J450" s="21" t="inlineStr">
        <is>
          <t xml:space="preserve"> 0</t>
        </is>
      </c>
      <c r="K450" s="30">
        <f>(E450-F450)/IF(E450&gt;0,E450,1)</f>
        <v/>
      </c>
    </row>
    <row r="451">
      <c r="A451" s="22" t="inlineStr">
        <is>
          <t>MLOps 구축 가이드북</t>
        </is>
      </c>
      <c r="B451" s="22" t="inlineStr">
        <is>
          <t>김남기</t>
        </is>
      </c>
      <c r="C451" s="22" t="inlineStr">
        <is>
          <t>루비페이퍼</t>
        </is>
      </c>
      <c r="D451" s="22" t="inlineStr">
        <is>
          <t>2024년 07월</t>
        </is>
      </c>
      <c r="E451" s="28" t="n">
        <v>36000</v>
      </c>
      <c r="F451" s="28" t="n">
        <v>32400</v>
      </c>
      <c r="G451" s="29" t="n">
        <v>3</v>
      </c>
      <c r="H451" s="29" t="n">
        <v>558</v>
      </c>
      <c r="I451" s="21" t="inlineStr">
        <is>
          <t>2024</t>
        </is>
      </c>
      <c r="J451" s="21" t="inlineStr">
        <is>
          <t xml:space="preserve"> 0</t>
        </is>
      </c>
      <c r="K451" s="30">
        <f>(E451-F451)/IF(E451&gt;0,E451,1)</f>
        <v/>
      </c>
    </row>
    <row r="452">
      <c r="A452" s="22" t="inlineStr">
        <is>
          <t>모두의 한국어 텍스트 분석 with 파이썬</t>
        </is>
      </c>
      <c r="B452" s="22" t="inlineStr">
        <is>
          <t>박조은, 송영숙</t>
        </is>
      </c>
      <c r="C452" s="22" t="inlineStr">
        <is>
          <t>길벗</t>
        </is>
      </c>
      <c r="D452" s="22" t="inlineStr">
        <is>
          <t>2023년 05월</t>
        </is>
      </c>
      <c r="E452" s="28" t="n">
        <v>27000</v>
      </c>
      <c r="F452" s="28" t="n">
        <v>24300</v>
      </c>
      <c r="G452" s="29" t="n">
        <v>19</v>
      </c>
      <c r="H452" s="29" t="n">
        <v>594</v>
      </c>
      <c r="I452" s="21" t="inlineStr">
        <is>
          <t>2023</t>
        </is>
      </c>
      <c r="J452" s="21" t="inlineStr">
        <is>
          <t xml:space="preserve"> 0</t>
        </is>
      </c>
      <c r="K452" s="30">
        <f>(E452-F452)/IF(E452&gt;0,E452,1)</f>
        <v/>
      </c>
    </row>
    <row r="453">
      <c r="A453" s="22" t="inlineStr">
        <is>
          <t>머신 러닝 교과서 with 파이썬, 사이킷런, 텐서플로</t>
        </is>
      </c>
      <c r="B453" s="22" t="inlineStr">
        <is>
          <t>세바스찬 라시카, 바히드 미자리리, 박해선</t>
        </is>
      </c>
      <c r="C453" s="22" t="inlineStr">
        <is>
          <t>길벗</t>
        </is>
      </c>
      <c r="D453" s="22" t="inlineStr">
        <is>
          <t>2021년 03월</t>
        </is>
      </c>
      <c r="E453" s="28" t="n">
        <v>44000</v>
      </c>
      <c r="F453" s="28" t="n">
        <v>39600</v>
      </c>
      <c r="G453" s="29" t="n">
        <v>13</v>
      </c>
      <c r="H453" s="29" t="n">
        <v>564</v>
      </c>
      <c r="I453" s="21" t="inlineStr">
        <is>
          <t>2021</t>
        </is>
      </c>
      <c r="J453" s="21" t="inlineStr">
        <is>
          <t xml:space="preserve"> 0</t>
        </is>
      </c>
      <c r="K453" s="30">
        <f>(E453-F453)/IF(E453&gt;0,E453,1)</f>
        <v/>
      </c>
    </row>
    <row r="454">
      <c r="A454" s="22" t="inlineStr">
        <is>
          <t>스마트폰이 사라진 교실</t>
        </is>
      </c>
      <c r="B454" s="22" t="inlineStr">
        <is>
          <t>구제원</t>
        </is>
      </c>
      <c r="C454" s="22" t="inlineStr">
        <is>
          <t>푸른칠판</t>
        </is>
      </c>
      <c r="D454" s="22" t="inlineStr">
        <is>
          <t>2026년 03월</t>
        </is>
      </c>
      <c r="E454" s="28" t="n">
        <v>18000</v>
      </c>
      <c r="F454" s="28" t="n">
        <v>16200</v>
      </c>
      <c r="G454" s="29" t="n">
        <v>15</v>
      </c>
      <c r="H454" s="29" t="n">
        <v>1230</v>
      </c>
      <c r="I454" s="21" t="inlineStr">
        <is>
          <t>2026</t>
        </is>
      </c>
      <c r="J454" s="21" t="inlineStr">
        <is>
          <t xml:space="preserve"> 0</t>
        </is>
      </c>
      <c r="K454" s="30">
        <f>(E454-F454)/IF(E454&gt;0,E454,1)</f>
        <v/>
      </c>
    </row>
    <row r="455">
      <c r="A455" s="22" t="inlineStr">
        <is>
          <t>딥러닝 제대로 이해하기</t>
        </is>
      </c>
      <c r="B455" s="22" t="inlineStr">
        <is>
          <t>사이먼 J. D. 프린스, 고연이</t>
        </is>
      </c>
      <c r="C455" s="22" t="inlineStr">
        <is>
          <t>제이펍</t>
        </is>
      </c>
      <c r="D455" s="22" t="inlineStr">
        <is>
          <t>2025년 08월</t>
        </is>
      </c>
      <c r="E455" s="28" t="n">
        <v>38000</v>
      </c>
      <c r="F455" s="28" t="n">
        <v>34200</v>
      </c>
      <c r="G455" s="29" t="n">
        <v>7</v>
      </c>
      <c r="H455" s="29" t="n">
        <v>2694</v>
      </c>
      <c r="I455" s="21" t="inlineStr">
        <is>
          <t>2025</t>
        </is>
      </c>
      <c r="J455" s="21" t="inlineStr">
        <is>
          <t xml:space="preserve"> 0</t>
        </is>
      </c>
      <c r="K455" s="30">
        <f>(E455-F455)/IF(E455&gt;0,E455,1)</f>
        <v/>
      </c>
    </row>
    <row r="456">
      <c r="A456" s="22" t="inlineStr">
        <is>
          <t>조코딩의 챗GPT API를 활용한 수익형 웹 서비스 만들기</t>
        </is>
      </c>
      <c r="B456" s="22" t="inlineStr">
        <is>
          <t>조동근</t>
        </is>
      </c>
      <c r="C456" s="22" t="inlineStr">
        <is>
          <t>한빛미디어</t>
        </is>
      </c>
      <c r="D456" s="22" t="inlineStr">
        <is>
          <t>2024년 01월</t>
        </is>
      </c>
      <c r="E456" s="28" t="n">
        <v>18000</v>
      </c>
      <c r="F456" s="28" t="n">
        <v>16200</v>
      </c>
      <c r="G456" s="29" t="n">
        <v>41</v>
      </c>
      <c r="H456" s="29" t="n">
        <v>456</v>
      </c>
      <c r="I456" s="21" t="inlineStr">
        <is>
          <t>2024</t>
        </is>
      </c>
      <c r="J456" s="21" t="inlineStr">
        <is>
          <t xml:space="preserve"> 0</t>
        </is>
      </c>
      <c r="K456" s="30">
        <f>(E456-F456)/IF(E456&gt;0,E456,1)</f>
        <v/>
      </c>
    </row>
    <row r="457">
      <c r="A457" s="22" t="inlineStr">
        <is>
          <t>챗GPT 공부 혁명</t>
        </is>
      </c>
      <c r="B457" s="22" t="inlineStr">
        <is>
          <t>전지영, 백수현, 이효진, 장수영, 손소영</t>
        </is>
      </c>
      <c r="C457" s="22" t="inlineStr">
        <is>
          <t>포르체</t>
        </is>
      </c>
      <c r="D457" s="22" t="inlineStr">
        <is>
          <t>2025년 08월</t>
        </is>
      </c>
      <c r="E457" s="28" t="n">
        <v>23000</v>
      </c>
      <c r="F457" s="28" t="n">
        <v>20700</v>
      </c>
      <c r="G457" s="29" t="n">
        <v>16</v>
      </c>
      <c r="H457" s="29" t="n">
        <v>1638</v>
      </c>
      <c r="I457" s="21" t="inlineStr">
        <is>
          <t>2025</t>
        </is>
      </c>
      <c r="J457" s="21" t="inlineStr">
        <is>
          <t xml:space="preserve"> 0</t>
        </is>
      </c>
      <c r="K457" s="30">
        <f>(E457-F457)/IF(E457&gt;0,E457,1)</f>
        <v/>
      </c>
    </row>
    <row r="458">
      <c r="A458" s="22" t="inlineStr">
        <is>
          <t>프롬프트 엔지니어링의 비밀</t>
        </is>
      </c>
      <c r="B458" s="22" t="inlineStr">
        <is>
          <t>길버트 미즈라히, 김진호</t>
        </is>
      </c>
      <c r="C458" s="22" t="inlineStr">
        <is>
          <t>길벗</t>
        </is>
      </c>
      <c r="D458" s="22" t="inlineStr">
        <is>
          <t>2024년 10월</t>
        </is>
      </c>
      <c r="E458" s="28" t="n">
        <v>25000</v>
      </c>
      <c r="F458" s="28" t="n">
        <v>22500</v>
      </c>
      <c r="G458" s="29" t="n">
        <v>23</v>
      </c>
      <c r="H458" s="29" t="n">
        <v>549</v>
      </c>
      <c r="I458" s="21" t="inlineStr">
        <is>
          <t>2024</t>
        </is>
      </c>
      <c r="J458" s="21" t="inlineStr">
        <is>
          <t xml:space="preserve"> 1</t>
        </is>
      </c>
      <c r="K458" s="30">
        <f>(E458-F458)/IF(E458&gt;0,E458,1)</f>
        <v/>
      </c>
    </row>
    <row r="459">
      <c r="A459" s="22" t="inlineStr">
        <is>
          <t>비전공자를 위한 생성형 AI·바이브코딩·DX/AX 기초 마스터 커리큘럼</t>
        </is>
      </c>
      <c r="B459" s="22" t="inlineStr">
        <is>
          <t>이승도</t>
        </is>
      </c>
      <c r="C459" s="22" t="inlineStr">
        <is>
          <t>책도사</t>
        </is>
      </c>
      <c r="D459" s="22" t="inlineStr">
        <is>
          <t>2026년 01월</t>
        </is>
      </c>
      <c r="E459" s="28" t="n">
        <v>23800</v>
      </c>
      <c r="F459" s="28" t="n">
        <v>21420</v>
      </c>
      <c r="G459" s="29" t="n">
        <v>1</v>
      </c>
      <c r="H459" s="29" t="n">
        <v>396</v>
      </c>
      <c r="I459" s="21" t="inlineStr">
        <is>
          <t>2026</t>
        </is>
      </c>
      <c r="J459" s="21" t="inlineStr">
        <is>
          <t xml:space="preserve"> 0</t>
        </is>
      </c>
      <c r="K459" s="30">
        <f>(E459-F459)/IF(E459&gt;0,E459,1)</f>
        <v/>
      </c>
    </row>
    <row r="460">
      <c r="A460" s="22" t="inlineStr">
        <is>
          <t>AX 시대, 기업의 승부수는 사업·서비스·조직의 AI 전환에 있다</t>
        </is>
      </c>
      <c r="B460" s="22" t="inlineStr">
        <is>
          <t>카지타니 켄토, 안동현</t>
        </is>
      </c>
      <c r="C460" s="22" t="inlineStr">
        <is>
          <t>프리렉</t>
        </is>
      </c>
      <c r="D460" s="22" t="inlineStr">
        <is>
          <t>2024년 08월</t>
        </is>
      </c>
      <c r="E460" s="28" t="n">
        <v>20000</v>
      </c>
      <c r="F460" s="28" t="n">
        <v>18000</v>
      </c>
      <c r="G460" s="29" t="n">
        <v>6</v>
      </c>
      <c r="H460" s="29" t="n">
        <v>417</v>
      </c>
      <c r="I460" s="21" t="inlineStr">
        <is>
          <t>2024</t>
        </is>
      </c>
      <c r="J460" s="21" t="inlineStr">
        <is>
          <t xml:space="preserve"> 0</t>
        </is>
      </c>
      <c r="K460" s="30">
        <f>(E460-F460)/IF(E460&gt;0,E460,1)</f>
        <v/>
      </c>
    </row>
    <row r="461">
      <c r="A461" s="22" t="inlineStr">
        <is>
          <t>AI 휴먼 코드</t>
        </is>
      </c>
      <c r="B461" s="22" t="inlineStr">
        <is>
          <t>디지털포용 언론인 포럼</t>
        </is>
      </c>
      <c r="C461" s="22" t="inlineStr">
        <is>
          <t>서교출판사</t>
        </is>
      </c>
      <c r="D461" s="22" t="inlineStr">
        <is>
          <t>2026년 03월</t>
        </is>
      </c>
      <c r="E461" s="28" t="n">
        <v>23500</v>
      </c>
      <c r="F461" s="28" t="n">
        <v>21150</v>
      </c>
      <c r="G461" s="29" t="n">
        <v>1</v>
      </c>
      <c r="H461" s="29" t="n">
        <v>636</v>
      </c>
      <c r="I461" s="21" t="inlineStr">
        <is>
          <t>2026</t>
        </is>
      </c>
      <c r="J461" s="21" t="inlineStr">
        <is>
          <t xml:space="preserve"> 0</t>
        </is>
      </c>
      <c r="K461" s="30">
        <f>(E461-F461)/IF(E461&gt;0,E461,1)</f>
        <v/>
      </c>
    </row>
    <row r="462">
      <c r="A462" s="22" t="inlineStr">
        <is>
          <t>OpenAI API와 파이썬으로 나만의 챗GPT 만들기</t>
        </is>
      </c>
      <c r="B462" s="22" t="inlineStr">
        <is>
          <t>후루카와 쇼이치, 오기와라 유이, 최용</t>
        </is>
      </c>
      <c r="C462" s="22" t="inlineStr">
        <is>
          <t>위키북스</t>
        </is>
      </c>
      <c r="D462" s="22" t="inlineStr">
        <is>
          <t>2024년 04월</t>
        </is>
      </c>
      <c r="E462" s="28" t="n">
        <v>24000</v>
      </c>
      <c r="F462" s="28" t="n">
        <v>21600</v>
      </c>
      <c r="G462" s="29" t="n">
        <v>7</v>
      </c>
      <c r="H462" s="29" t="n">
        <v>366</v>
      </c>
      <c r="I462" s="21" t="inlineStr">
        <is>
          <t>2024</t>
        </is>
      </c>
      <c r="J462" s="21" t="inlineStr">
        <is>
          <t xml:space="preserve"> 0</t>
        </is>
      </c>
      <c r="K462" s="30">
        <f>(E462-F462)/IF(E462&gt;0,E462,1)</f>
        <v/>
      </c>
    </row>
    <row r="463">
      <c r="A463" s="22" t="inlineStr">
        <is>
          <t>프롬프트를 만드는 프롬프트 GPTs &amp; Gems</t>
        </is>
      </c>
      <c r="B463" s="22" t="inlineStr">
        <is>
          <t>민진홍, 국난아, 김진수</t>
        </is>
      </c>
      <c r="C463" s="22" t="inlineStr">
        <is>
          <t>성안당</t>
        </is>
      </c>
      <c r="D463" s="22" t="inlineStr">
        <is>
          <t>2025년 12월</t>
        </is>
      </c>
      <c r="E463" s="28" t="n">
        <v>27000</v>
      </c>
      <c r="F463" s="28" t="n">
        <v>24300</v>
      </c>
      <c r="G463" s="29" t="n">
        <v>46</v>
      </c>
      <c r="H463" s="29" t="n">
        <v>1680</v>
      </c>
      <c r="I463" s="21" t="inlineStr">
        <is>
          <t>2025</t>
        </is>
      </c>
      <c r="J463" s="21" t="inlineStr">
        <is>
          <t xml:space="preserve"> 1</t>
        </is>
      </c>
      <c r="K463" s="30">
        <f>(E463-F463)/IF(E463&gt;0,E463,1)</f>
        <v/>
      </c>
    </row>
    <row r="464">
      <c r="A464" s="22" t="inlineStr">
        <is>
          <t>AI 광고 제작</t>
        </is>
      </c>
      <c r="B464" s="22" t="inlineStr">
        <is>
          <t>문수민, 민지영, 전은재, 최종수, 앤미디어</t>
        </is>
      </c>
      <c r="C464" s="22" t="inlineStr">
        <is>
          <t>길벗</t>
        </is>
      </c>
      <c r="D464" s="22" t="inlineStr">
        <is>
          <t>2025년 09월</t>
        </is>
      </c>
      <c r="E464" s="28" t="n">
        <v>27000</v>
      </c>
      <c r="F464" s="28" t="n">
        <v>24300</v>
      </c>
      <c r="G464" s="29" t="n">
        <v>41</v>
      </c>
      <c r="H464" s="29" t="n">
        <v>2616</v>
      </c>
      <c r="I464" s="21" t="inlineStr">
        <is>
          <t>2025</t>
        </is>
      </c>
      <c r="J464" s="21" t="inlineStr">
        <is>
          <t xml:space="preserve"> 0</t>
        </is>
      </c>
      <c r="K464" s="30">
        <f>(E464-F464)/IF(E464&gt;0,E464,1)</f>
        <v/>
      </c>
    </row>
    <row r="465">
      <c r="A465" s="22" t="inlineStr">
        <is>
          <t>퀀트의 세계</t>
        </is>
      </c>
      <c r="B465" s="22" t="inlineStr">
        <is>
          <t>홍창수</t>
        </is>
      </c>
      <c r="C465" s="22" t="inlineStr">
        <is>
          <t>에이콘출판사</t>
        </is>
      </c>
      <c r="D465" s="22" t="inlineStr">
        <is>
          <t>2022년 09월</t>
        </is>
      </c>
      <c r="E465" s="28" t="n">
        <v>28000</v>
      </c>
      <c r="F465" s="28" t="n">
        <v>25200</v>
      </c>
      <c r="G465" s="29" t="n">
        <v>4</v>
      </c>
      <c r="H465" s="29" t="n">
        <v>294</v>
      </c>
      <c r="I465" s="21" t="inlineStr">
        <is>
          <t>2022</t>
        </is>
      </c>
      <c r="J465" s="21" t="inlineStr">
        <is>
          <t xml:space="preserve"> 0</t>
        </is>
      </c>
      <c r="K465" s="30">
        <f>(E465-F465)/IF(E465&gt;0,E465,1)</f>
        <v/>
      </c>
    </row>
    <row r="466">
      <c r="A466" s="22" t="inlineStr">
        <is>
          <t>인공지능은 게임을 어떻게 움직이는가?</t>
        </is>
      </c>
      <c r="B466" s="22" t="inlineStr">
        <is>
          <t>미야케 요이치로, 안동현</t>
        </is>
      </c>
      <c r="C466" s="22" t="inlineStr">
        <is>
          <t>이지스퍼블리싱</t>
        </is>
      </c>
      <c r="D466" s="22" t="inlineStr">
        <is>
          <t>2022년 06월</t>
        </is>
      </c>
      <c r="E466" s="28" t="n">
        <v>18000</v>
      </c>
      <c r="F466" s="28" t="n">
        <v>16200</v>
      </c>
      <c r="G466" s="29" t="n">
        <v>8</v>
      </c>
      <c r="H466" s="29" t="n">
        <v>288</v>
      </c>
      <c r="I466" s="21" t="inlineStr">
        <is>
          <t>2022</t>
        </is>
      </c>
      <c r="J466" s="21" t="inlineStr">
        <is>
          <t xml:space="preserve"> 0</t>
        </is>
      </c>
      <c r="K466" s="30">
        <f>(E466-F466)/IF(E466&gt;0,E466,1)</f>
        <v/>
      </c>
    </row>
    <row r="467">
      <c r="A467" s="22" t="inlineStr">
        <is>
          <t>온디바이스 AI</t>
        </is>
      </c>
      <c r="B467" s="22" t="inlineStr">
        <is>
          <t>로런스 모로니, 곽도영, 박찬성</t>
        </is>
      </c>
      <c r="C467" s="22" t="inlineStr">
        <is>
          <t>한빛미디어</t>
        </is>
      </c>
      <c r="D467" s="22" t="inlineStr">
        <is>
          <t>2022년 11월</t>
        </is>
      </c>
      <c r="E467" s="28" t="n">
        <v>30000</v>
      </c>
      <c r="F467" s="28" t="n">
        <v>27000</v>
      </c>
      <c r="G467" s="29" t="n">
        <v>19</v>
      </c>
      <c r="H467" s="29" t="n">
        <v>294</v>
      </c>
      <c r="I467" s="21" t="inlineStr">
        <is>
          <t>2022</t>
        </is>
      </c>
      <c r="J467" s="21" t="inlineStr">
        <is>
          <t xml:space="preserve"> 1</t>
        </is>
      </c>
      <c r="K467" s="30">
        <f>(E467-F467)/IF(E467&gt;0,E467,1)</f>
        <v/>
      </c>
    </row>
    <row r="468">
      <c r="A468" s="22" t="inlineStr">
        <is>
          <t>인지와 인공지능</t>
        </is>
      </c>
      <c r="B468" s="22" t="inlineStr">
        <is>
          <t>캐서린 헤일스, 윤미선, 김은주, 오릿 핼펀, 문규민, 정보 더 보기/감추기, 캐서린 헤일스, 윤미선, 김은주, 오릿 핼펀, 문규민, 홍남희, 정희원, 이혜정, 송은주, 김지훈</t>
        </is>
      </c>
      <c r="C468" s="22" t="inlineStr">
        <is>
          <t>갈무리</t>
        </is>
      </c>
      <c r="D468" s="22" t="inlineStr">
        <is>
          <t>2025년 07월</t>
        </is>
      </c>
      <c r="E468" s="28" t="n">
        <v>19000</v>
      </c>
      <c r="F468" s="28" t="n">
        <v>17100</v>
      </c>
      <c r="G468" s="29" t="n">
        <v>0</v>
      </c>
      <c r="H468" s="29" t="n">
        <v>324</v>
      </c>
      <c r="I468" s="21" t="inlineStr">
        <is>
          <t>2025</t>
        </is>
      </c>
      <c r="J468" s="21" t="inlineStr">
        <is>
          <t xml:space="preserve"> 0</t>
        </is>
      </c>
      <c r="K468" s="30">
        <f>(E468-F468)/IF(E468&gt;0,E468,1)</f>
        <v/>
      </c>
    </row>
    <row r="469">
      <c r="A469" s="22" t="inlineStr">
        <is>
          <t>AI와 스마트팜</t>
        </is>
      </c>
      <c r="B469" s="22" t="inlineStr">
        <is>
          <t>이상연</t>
        </is>
      </c>
      <c r="C469" s="22" t="inlineStr">
        <is>
          <t>커뮤니케이션북스</t>
        </is>
      </c>
      <c r="D469" s="22" t="inlineStr">
        <is>
          <t>2025년 05월</t>
        </is>
      </c>
      <c r="E469" s="28" t="n">
        <v>12000</v>
      </c>
      <c r="F469" s="28" t="n">
        <v>12000</v>
      </c>
      <c r="G469" s="29" t="n">
        <v>0</v>
      </c>
      <c r="H469" s="29" t="n">
        <v>252</v>
      </c>
      <c r="I469" s="21" t="inlineStr">
        <is>
          <t>2025</t>
        </is>
      </c>
      <c r="J469" s="21" t="inlineStr">
        <is>
          <t xml:space="preserve"> 0</t>
        </is>
      </c>
      <c r="K469" s="30">
        <f>(E469-F469)/IF(E469&gt;0,E469,1)</f>
        <v/>
      </c>
    </row>
    <row r="470">
      <c r="A470" s="22" t="inlineStr">
        <is>
          <t>앱 인벤터 한 권으로 끝내기</t>
        </is>
      </c>
      <c r="B470" s="22" t="inlineStr">
        <is>
          <t>김홍순, 박지숙</t>
        </is>
      </c>
      <c r="C470" s="22" t="inlineStr">
        <is>
          <t>잇플ITPLE</t>
        </is>
      </c>
      <c r="D470" s="22" t="inlineStr">
        <is>
          <t>2023년 04월</t>
        </is>
      </c>
      <c r="E470" s="28" t="n">
        <v>28500</v>
      </c>
      <c r="F470" s="28" t="n">
        <v>25650</v>
      </c>
      <c r="G470" s="29" t="n">
        <v>18</v>
      </c>
      <c r="H470" s="29" t="n">
        <v>318</v>
      </c>
      <c r="I470" s="21" t="inlineStr">
        <is>
          <t>2023</t>
        </is>
      </c>
      <c r="J470" s="21" t="inlineStr">
        <is>
          <t xml:space="preserve"> 0</t>
        </is>
      </c>
      <c r="K470" s="30">
        <f>(E470-F470)/IF(E470&gt;0,E470,1)</f>
        <v/>
      </c>
    </row>
    <row r="471">
      <c r="A471" s="22" t="inlineStr">
        <is>
          <t>야사와 만화로 배우는 인공지능 1</t>
        </is>
      </c>
      <c r="B471" s="22" t="inlineStr">
        <is>
          <t>권건우, 허령</t>
        </is>
      </c>
      <c r="C471" s="22" t="inlineStr">
        <is>
          <t>루나파인북스</t>
        </is>
      </c>
      <c r="D471" s="22" t="inlineStr">
        <is>
          <t>2020년 08월</t>
        </is>
      </c>
      <c r="E471" s="28" t="n">
        <v>16000</v>
      </c>
      <c r="F471" s="28" t="n">
        <v>14400</v>
      </c>
      <c r="G471" s="29" t="n">
        <v>8</v>
      </c>
      <c r="H471" s="29" t="n">
        <v>312</v>
      </c>
      <c r="I471" s="21" t="inlineStr">
        <is>
          <t>2020</t>
        </is>
      </c>
      <c r="J471" s="21" t="inlineStr">
        <is>
          <t xml:space="preserve"> 0</t>
        </is>
      </c>
      <c r="K471" s="30">
        <f>(E471-F471)/IF(E471&gt;0,E471,1)</f>
        <v/>
      </c>
    </row>
    <row r="472">
      <c r="A472" s="22" t="inlineStr">
        <is>
          <t>MK에디션 CES 2026</t>
        </is>
      </c>
      <c r="B472" s="22" t="inlineStr">
        <is>
          <t>매일경제 CES 특별취재팀</t>
        </is>
      </c>
      <c r="C472" s="22" t="inlineStr">
        <is>
          <t>매일경제신문사</t>
        </is>
      </c>
      <c r="D472" s="22" t="inlineStr">
        <is>
          <t>2026년 01월</t>
        </is>
      </c>
      <c r="E472" s="28" t="n">
        <v>20000</v>
      </c>
      <c r="F472" s="28" t="n">
        <v>18000</v>
      </c>
      <c r="G472" s="29" t="n">
        <v>0</v>
      </c>
      <c r="H472" s="29" t="n">
        <v>2904</v>
      </c>
      <c r="I472" s="21" t="inlineStr">
        <is>
          <t>2026</t>
        </is>
      </c>
      <c r="J472" s="21" t="inlineStr">
        <is>
          <t xml:space="preserve"> 0</t>
        </is>
      </c>
      <c r="K472" s="30">
        <f>(E472-F472)/IF(E472&gt;0,E472,1)</f>
        <v/>
      </c>
    </row>
    <row r="473">
      <c r="A473" s="22" t="inlineStr">
        <is>
          <t>AI 영상제작</t>
        </is>
      </c>
      <c r="B473" s="22" t="inlineStr">
        <is>
          <t>유채린, 홍건표, 이승주, 이동현, 정동완</t>
        </is>
      </c>
      <c r="C473" s="22" t="inlineStr">
        <is>
          <t>진한엠앤비</t>
        </is>
      </c>
      <c r="D473" s="22" t="inlineStr">
        <is>
          <t>2025년 11월</t>
        </is>
      </c>
      <c r="E473" s="28" t="n">
        <v>32000</v>
      </c>
      <c r="F473" s="28" t="n">
        <v>30400</v>
      </c>
      <c r="G473" s="29" t="n">
        <v>1</v>
      </c>
      <c r="H473" s="29" t="n">
        <v>264</v>
      </c>
      <c r="I473" s="21" t="inlineStr">
        <is>
          <t>2025</t>
        </is>
      </c>
      <c r="J473" s="21" t="inlineStr">
        <is>
          <t xml:space="preserve"> 1</t>
        </is>
      </c>
      <c r="K473" s="30">
        <f>(E473-F473)/IF(E473&gt;0,E473,1)</f>
        <v/>
      </c>
    </row>
    <row r="474">
      <c r="A474" s="22" t="inlineStr">
        <is>
          <t>AI와 역사학</t>
        </is>
      </c>
      <c r="B474" s="22" t="inlineStr">
        <is>
          <t>이상국</t>
        </is>
      </c>
      <c r="C474" s="22" t="inlineStr">
        <is>
          <t>커뮤니케이션북스</t>
        </is>
      </c>
      <c r="D474" s="22" t="inlineStr">
        <is>
          <t>2024년 12월</t>
        </is>
      </c>
      <c r="E474" s="28" t="n">
        <v>12000</v>
      </c>
      <c r="F474" s="28" t="n">
        <v>11400</v>
      </c>
      <c r="G474" s="29" t="n">
        <v>0</v>
      </c>
      <c r="H474" s="29" t="n">
        <v>258</v>
      </c>
      <c r="I474" s="21" t="inlineStr">
        <is>
          <t>2024</t>
        </is>
      </c>
      <c r="J474" s="21" t="inlineStr">
        <is>
          <t xml:space="preserve"> 1</t>
        </is>
      </c>
      <c r="K474" s="30">
        <f>(E474-F474)/IF(E474&gt;0,E474,1)</f>
        <v/>
      </c>
    </row>
    <row r="475">
      <c r="A475" s="22" t="inlineStr">
        <is>
          <t>AI·머신 비전 시스템 구축 기술</t>
        </is>
      </c>
      <c r="B475" s="22" t="inlineStr">
        <is>
          <t>선권석</t>
        </is>
      </c>
      <c r="C475" s="22" t="inlineStr">
        <is>
          <t>동일출판사</t>
        </is>
      </c>
      <c r="D475" s="22" t="inlineStr">
        <is>
          <t>2024년 07월</t>
        </is>
      </c>
      <c r="E475" s="28" t="n">
        <v>34000</v>
      </c>
      <c r="F475" s="28" t="n">
        <v>34000</v>
      </c>
      <c r="G475" s="29" t="n">
        <v>0</v>
      </c>
      <c r="H475" s="29" t="n">
        <v>204</v>
      </c>
      <c r="I475" s="21" t="inlineStr">
        <is>
          <t>2024</t>
        </is>
      </c>
      <c r="J475" s="21" t="inlineStr">
        <is>
          <t xml:space="preserve"> 0</t>
        </is>
      </c>
      <c r="K475" s="30">
        <f>(E475-F475)/IF(E475&gt;0,E475,1)</f>
        <v/>
      </c>
    </row>
    <row r="476">
      <c r="A476" s="22" t="inlineStr">
        <is>
          <t>AI 명리학 사용법</t>
        </is>
      </c>
      <c r="B476" s="22" t="inlineStr">
        <is>
          <t>남다른, 김성주</t>
        </is>
      </c>
      <c r="C476" s="22" t="inlineStr">
        <is>
          <t>박영사</t>
        </is>
      </c>
      <c r="D476" s="22" t="inlineStr">
        <is>
          <t>2026년 05월</t>
        </is>
      </c>
      <c r="E476" s="28" t="n">
        <v>38000</v>
      </c>
      <c r="F476" s="28" t="n">
        <v>38000</v>
      </c>
      <c r="G476" s="29" t="n">
        <v>0</v>
      </c>
      <c r="H476" s="29" t="n">
        <v>270</v>
      </c>
      <c r="I476" s="21" t="inlineStr">
        <is>
          <t>2026</t>
        </is>
      </c>
      <c r="J476" s="21" t="inlineStr">
        <is>
          <t xml:space="preserve"> 0</t>
        </is>
      </c>
      <c r="K476" s="30">
        <f>(E476-F476)/IF(E476&gt;0,E476,1)</f>
        <v/>
      </c>
    </row>
    <row r="477">
      <c r="A477" s="22" t="inlineStr">
        <is>
          <t>AI와 알고리즘적 구제</t>
        </is>
      </c>
      <c r="B477" s="22" t="inlineStr">
        <is>
          <t>양문일</t>
        </is>
      </c>
      <c r="C477" s="22" t="inlineStr">
        <is>
          <t>커뮤니케이션북스</t>
        </is>
      </c>
      <c r="D477" s="22" t="inlineStr">
        <is>
          <t>2026년 05월</t>
        </is>
      </c>
      <c r="E477" s="28" t="n">
        <v>12000</v>
      </c>
      <c r="F477" s="28" t="n">
        <v>12000</v>
      </c>
      <c r="G477" s="29" t="n">
        <v>0</v>
      </c>
      <c r="H477" s="29" t="n">
        <v>210</v>
      </c>
      <c r="I477" s="21" t="inlineStr">
        <is>
          <t>2026</t>
        </is>
      </c>
      <c r="J477" s="21" t="inlineStr">
        <is>
          <t xml:space="preserve"> 0</t>
        </is>
      </c>
      <c r="K477" s="30">
        <f>(E477-F477)/IF(E477&gt;0,E477,1)</f>
        <v/>
      </c>
    </row>
    <row r="478">
      <c r="A478" s="22" t="inlineStr">
        <is>
          <t>처음 만나는 바이브 코딩 X MCP</t>
        </is>
      </c>
      <c r="B478" s="22" t="inlineStr">
        <is>
          <t>김동한</t>
        </is>
      </c>
      <c r="C478" s="22" t="inlineStr">
        <is>
          <t>(주)박영사</t>
        </is>
      </c>
      <c r="D478" s="22" t="inlineStr">
        <is>
          <t>2026년 03월</t>
        </is>
      </c>
      <c r="E478" s="28" t="n">
        <v>17000</v>
      </c>
      <c r="F478" s="28" t="n">
        <v>15300</v>
      </c>
      <c r="G478" s="29" t="n">
        <v>14</v>
      </c>
      <c r="H478" s="29" t="n">
        <v>300</v>
      </c>
      <c r="I478" s="21" t="inlineStr">
        <is>
          <t>2026</t>
        </is>
      </c>
      <c r="J478" s="21" t="inlineStr">
        <is>
          <t xml:space="preserve"> 0</t>
        </is>
      </c>
      <c r="K478" s="30">
        <f>(E478-F478)/IF(E478&gt;0,E478,1)</f>
        <v/>
      </c>
    </row>
    <row r="479">
      <c r="A479" s="22" t="inlineStr">
        <is>
          <t>챗GPT 입력 스킬 100</t>
        </is>
      </c>
      <c r="B479" s="22" t="inlineStr">
        <is>
          <t>윤창환</t>
        </is>
      </c>
      <c r="C479" s="22" t="inlineStr">
        <is>
          <t>지식과감성#</t>
        </is>
      </c>
      <c r="D479" s="22" t="inlineStr">
        <is>
          <t>2025년 04월</t>
        </is>
      </c>
      <c r="E479" s="28" t="n">
        <v>20000</v>
      </c>
      <c r="F479" s="28" t="n">
        <v>18000</v>
      </c>
      <c r="G479" s="29" t="n">
        <v>9</v>
      </c>
      <c r="H479" s="29" t="n">
        <v>408</v>
      </c>
      <c r="I479" s="21" t="inlineStr">
        <is>
          <t>2025</t>
        </is>
      </c>
      <c r="J479" s="21" t="inlineStr">
        <is>
          <t xml:space="preserve"> 0</t>
        </is>
      </c>
      <c r="K479" s="30">
        <f>(E479-F479)/IF(E479&gt;0,E479,1)</f>
        <v/>
      </c>
    </row>
    <row r="480">
      <c r="A480" s="22" t="inlineStr">
        <is>
          <t>허깅페이스로 배우는 멀티모달 모델</t>
        </is>
      </c>
      <c r="B480" s="22" t="inlineStr">
        <is>
          <t>이정인, 정우준</t>
        </is>
      </c>
      <c r="C480" s="22" t="inlineStr">
        <is>
          <t>디지털북스</t>
        </is>
      </c>
      <c r="D480" s="22" t="inlineStr">
        <is>
          <t>2026년 03월</t>
        </is>
      </c>
      <c r="E480" s="28" t="n">
        <v>22000</v>
      </c>
      <c r="F480" s="28" t="n">
        <v>19800</v>
      </c>
      <c r="G480" s="29" t="n">
        <v>2</v>
      </c>
      <c r="H480" s="29" t="n">
        <v>264</v>
      </c>
      <c r="I480" s="21" t="inlineStr">
        <is>
          <t>2026</t>
        </is>
      </c>
      <c r="J480" s="21" t="inlineStr">
        <is>
          <t xml:space="preserve"> 0</t>
        </is>
      </c>
      <c r="K480" s="30">
        <f>(E480-F480)/IF(E480&gt;0,E480,1)</f>
        <v/>
      </c>
    </row>
    <row r="481">
      <c r="A481" s="22" t="inlineStr">
        <is>
          <t>파이썬 + AI</t>
        </is>
      </c>
      <c r="B481" s="22" t="inlineStr">
        <is>
          <t>안용제, 김남규</t>
        </is>
      </c>
      <c r="C481" s="22" t="inlineStr">
        <is>
          <t>디지털북스</t>
        </is>
      </c>
      <c r="D481" s="22" t="inlineStr">
        <is>
          <t>2024년 07월</t>
        </is>
      </c>
      <c r="E481" s="28" t="n">
        <v>28000</v>
      </c>
      <c r="F481" s="28" t="n">
        <v>25200</v>
      </c>
      <c r="G481" s="29" t="n">
        <v>2</v>
      </c>
      <c r="H481" s="29" t="n">
        <v>198</v>
      </c>
      <c r="I481" s="21" t="inlineStr">
        <is>
          <t>2024</t>
        </is>
      </c>
      <c r="J481" s="21" t="inlineStr">
        <is>
          <t xml:space="preserve"> 0</t>
        </is>
      </c>
      <c r="K481" s="30">
        <f>(E481-F481)/IF(E481&gt;0,E481,1)</f>
        <v/>
      </c>
    </row>
    <row r="482">
      <c r="A482" s="22" t="inlineStr">
        <is>
          <t>AI와 다크팩토리</t>
        </is>
      </c>
      <c r="B482" s="22" t="inlineStr">
        <is>
          <t>박인선</t>
        </is>
      </c>
      <c r="C482" s="22" t="inlineStr">
        <is>
          <t>커뮤니케이션북스</t>
        </is>
      </c>
      <c r="D482" s="22" t="inlineStr">
        <is>
          <t>2026년 04월</t>
        </is>
      </c>
      <c r="E482" s="28" t="n">
        <v>12000</v>
      </c>
      <c r="F482" s="28" t="n">
        <v>12000</v>
      </c>
      <c r="G482" s="29" t="n">
        <v>0</v>
      </c>
      <c r="H482" s="29" t="n">
        <v>204</v>
      </c>
      <c r="I482" s="21" t="inlineStr">
        <is>
          <t>2026</t>
        </is>
      </c>
      <c r="J482" s="21" t="inlineStr">
        <is>
          <t xml:space="preserve"> 0</t>
        </is>
      </c>
      <c r="K482" s="30">
        <f>(E482-F482)/IF(E482&gt;0,E482,1)</f>
        <v/>
      </c>
    </row>
    <row r="483">
      <c r="A483" s="22" t="inlineStr">
        <is>
          <t>AI 부동산 서비스와 내 집 마련</t>
        </is>
      </c>
      <c r="B483" s="22" t="inlineStr">
        <is>
          <t>심규진, 김민성</t>
        </is>
      </c>
      <c r="C483" s="22" t="inlineStr">
        <is>
          <t>커뮤니케이션북스</t>
        </is>
      </c>
      <c r="D483" s="22" t="inlineStr">
        <is>
          <t>2026년 04월</t>
        </is>
      </c>
      <c r="E483" s="28" t="n">
        <v>12000</v>
      </c>
      <c r="F483" s="28" t="n">
        <v>12000</v>
      </c>
      <c r="G483" s="29" t="n">
        <v>0</v>
      </c>
      <c r="H483" s="29" t="n">
        <v>162</v>
      </c>
      <c r="I483" s="21" t="inlineStr">
        <is>
          <t>2026</t>
        </is>
      </c>
      <c r="J483" s="21" t="inlineStr">
        <is>
          <t xml:space="preserve"> 0</t>
        </is>
      </c>
      <c r="K483" s="30">
        <f>(E483-F483)/IF(E483&gt;0,E483,1)</f>
        <v/>
      </c>
    </row>
    <row r="484">
      <c r="A484" s="22" t="inlineStr">
        <is>
          <t>AI와 양자컴퓨터</t>
        </is>
      </c>
      <c r="B484" s="22" t="inlineStr">
        <is>
          <t>최종수</t>
        </is>
      </c>
      <c r="C484" s="22" t="inlineStr">
        <is>
          <t>커뮤니케이션북스</t>
        </is>
      </c>
      <c r="D484" s="22" t="inlineStr">
        <is>
          <t>2026년 01월</t>
        </is>
      </c>
      <c r="E484" s="28" t="n">
        <v>12000</v>
      </c>
      <c r="F484" s="28" t="n">
        <v>12000</v>
      </c>
      <c r="G484" s="29" t="n">
        <v>0</v>
      </c>
      <c r="H484" s="29" t="n">
        <v>150</v>
      </c>
      <c r="I484" s="21" t="inlineStr">
        <is>
          <t>2026</t>
        </is>
      </c>
      <c r="J484" s="21" t="inlineStr">
        <is>
          <t xml:space="preserve"> 0</t>
        </is>
      </c>
      <c r="K484" s="30">
        <f>(E484-F484)/IF(E484&gt;0,E484,1)</f>
        <v/>
      </c>
    </row>
    <row r="485">
      <c r="A485" s="22" t="inlineStr">
        <is>
          <t>AI와 조직 문화</t>
        </is>
      </c>
      <c r="B485" s="22" t="inlineStr">
        <is>
          <t>배득형, 이중학</t>
        </is>
      </c>
      <c r="C485" s="22" t="inlineStr">
        <is>
          <t>커뮤니케이션북스</t>
        </is>
      </c>
      <c r="D485" s="22" t="inlineStr">
        <is>
          <t>2026년 04월</t>
        </is>
      </c>
      <c r="E485" s="28" t="n">
        <v>12000</v>
      </c>
      <c r="F485" s="28" t="n">
        <v>12000</v>
      </c>
      <c r="G485" s="29" t="n">
        <v>0</v>
      </c>
      <c r="H485" s="29" t="n">
        <v>108</v>
      </c>
      <c r="I485" s="21" t="inlineStr">
        <is>
          <t>2026</t>
        </is>
      </c>
      <c r="J485" s="21" t="inlineStr">
        <is>
          <t xml:space="preserve"> 0</t>
        </is>
      </c>
      <c r="K485" s="30">
        <f>(E485-F485)/IF(E485&gt;0,E485,1)</f>
        <v/>
      </c>
    </row>
    <row r="486">
      <c r="A486" s="22" t="inlineStr">
        <is>
          <t>자율 운항 선박</t>
        </is>
      </c>
      <c r="B486" s="22" t="inlineStr">
        <is>
          <t>남궁호, 김주성, 이진석, 장다운</t>
        </is>
      </c>
      <c r="C486" s="22" t="inlineStr">
        <is>
          <t>커뮤니케이션북스</t>
        </is>
      </c>
      <c r="D486" s="22" t="inlineStr">
        <is>
          <t>2026년 03월</t>
        </is>
      </c>
      <c r="E486" s="28" t="n">
        <v>12000</v>
      </c>
      <c r="F486" s="28" t="n">
        <v>12000</v>
      </c>
      <c r="G486" s="29" t="n">
        <v>0</v>
      </c>
      <c r="H486" s="29" t="n">
        <v>180</v>
      </c>
      <c r="I486" s="21" t="inlineStr">
        <is>
          <t>2026</t>
        </is>
      </c>
      <c r="J486" s="21" t="inlineStr">
        <is>
          <t xml:space="preserve"> 0</t>
        </is>
      </c>
      <c r="K486" s="30">
        <f>(E486-F486)/IF(E486&gt;0,E486,1)</f>
        <v/>
      </c>
    </row>
    <row r="487">
      <c r="A487" s="22" t="inlineStr">
        <is>
          <t>공간데이터사이언스</t>
        </is>
      </c>
      <c r="B487" s="22" t="inlineStr">
        <is>
          <t>에드저 페베스마, 로저 비반드, 이상일</t>
        </is>
      </c>
      <c r="C487" s="22" t="inlineStr">
        <is>
          <t>푸른길</t>
        </is>
      </c>
      <c r="D487" s="22" t="inlineStr">
        <is>
          <t>2026년 02월</t>
        </is>
      </c>
      <c r="E487" s="28" t="n">
        <v>36000</v>
      </c>
      <c r="F487" s="28" t="n">
        <v>32400</v>
      </c>
      <c r="G487" s="29" t="n">
        <v>0</v>
      </c>
      <c r="H487" s="29" t="n">
        <v>132</v>
      </c>
      <c r="I487" s="21" t="inlineStr">
        <is>
          <t>2026</t>
        </is>
      </c>
      <c r="J487" s="21" t="inlineStr">
        <is>
          <t xml:space="preserve"> 0</t>
        </is>
      </c>
      <c r="K487" s="30">
        <f>(E487-F487)/IF(E487&gt;0,E487,1)</f>
        <v/>
      </c>
    </row>
    <row r="488">
      <c r="A488" s="22" t="inlineStr">
        <is>
          <t>실전 ComfyUI</t>
        </is>
      </c>
      <c r="B488" s="22" t="inlineStr">
        <is>
          <t>우희철</t>
        </is>
      </c>
      <c r="C488" s="22" t="inlineStr">
        <is>
          <t>디지털북스</t>
        </is>
      </c>
      <c r="D488" s="22" t="inlineStr">
        <is>
          <t>2025년 04월</t>
        </is>
      </c>
      <c r="E488" s="28" t="n">
        <v>25000</v>
      </c>
      <c r="F488" s="28" t="n">
        <v>22500</v>
      </c>
      <c r="G488" s="29" t="n">
        <v>1</v>
      </c>
      <c r="H488" s="29" t="n">
        <v>1248</v>
      </c>
      <c r="I488" s="21" t="inlineStr">
        <is>
          <t>2025</t>
        </is>
      </c>
      <c r="J488" s="21" t="inlineStr">
        <is>
          <t xml:space="preserve"> 0</t>
        </is>
      </c>
      <c r="K488" s="30">
        <f>(E488-F488)/IF(E488&gt;0,E488,1)</f>
        <v/>
      </c>
    </row>
    <row r="489">
      <c r="A489" s="22" t="inlineStr">
        <is>
          <t>메타버스와 AI 콘텐츠</t>
        </is>
      </c>
      <c r="B489" s="22" t="inlineStr">
        <is>
          <t>정윤경</t>
        </is>
      </c>
      <c r="C489" s="22" t="inlineStr">
        <is>
          <t>커뮤니케이션북스</t>
        </is>
      </c>
      <c r="D489" s="22" t="inlineStr">
        <is>
          <t>2026년 04월</t>
        </is>
      </c>
      <c r="E489" s="28" t="n">
        <v>12000</v>
      </c>
      <c r="F489" s="28" t="n">
        <v>12000</v>
      </c>
      <c r="G489" s="29" t="n">
        <v>0</v>
      </c>
      <c r="H489" s="29" t="n">
        <v>114</v>
      </c>
      <c r="I489" s="21" t="inlineStr">
        <is>
          <t>2026</t>
        </is>
      </c>
      <c r="J489" s="21" t="inlineStr">
        <is>
          <t xml:space="preserve"> 0</t>
        </is>
      </c>
      <c r="K489" s="30">
        <f>(E489-F489)/IF(E489&gt;0,E489,1)</f>
        <v/>
      </c>
    </row>
    <row r="490">
      <c r="A490" s="22" t="inlineStr">
        <is>
          <t>AI와 회화 문화유산 복원</t>
        </is>
      </c>
      <c r="B490" s="22" t="inlineStr">
        <is>
          <t>정두희</t>
        </is>
      </c>
      <c r="C490" s="22" t="inlineStr">
        <is>
          <t>커뮤니케이션북스</t>
        </is>
      </c>
      <c r="D490" s="22" t="inlineStr">
        <is>
          <t>2026년 04월</t>
        </is>
      </c>
      <c r="E490" s="28" t="n">
        <v>12000</v>
      </c>
      <c r="F490" s="28" t="n">
        <v>12000</v>
      </c>
      <c r="G490" s="29" t="n">
        <v>0</v>
      </c>
      <c r="H490" s="29" t="n">
        <v>114</v>
      </c>
      <c r="I490" s="21" t="inlineStr">
        <is>
          <t>2026</t>
        </is>
      </c>
      <c r="J490" s="21" t="inlineStr">
        <is>
          <t xml:space="preserve"> 0</t>
        </is>
      </c>
      <c r="K490" s="30">
        <f>(E490-F490)/IF(E490&gt;0,E490,1)</f>
        <v/>
      </c>
    </row>
    <row r="491">
      <c r="A491" s="22" t="inlineStr">
        <is>
          <t>AI 자가 설계</t>
        </is>
      </c>
      <c r="B491" s="22" t="inlineStr">
        <is>
          <t>최성자</t>
        </is>
      </c>
      <c r="C491" s="22" t="inlineStr">
        <is>
          <t>커뮤니케이션북스</t>
        </is>
      </c>
      <c r="D491" s="22" t="inlineStr">
        <is>
          <t>2026년 04월</t>
        </is>
      </c>
      <c r="E491" s="28" t="n">
        <v>12000</v>
      </c>
      <c r="F491" s="28" t="n">
        <v>12000</v>
      </c>
      <c r="G491" s="29" t="n">
        <v>0</v>
      </c>
      <c r="H491" s="29" t="n">
        <v>114</v>
      </c>
      <c r="I491" s="21" t="inlineStr">
        <is>
          <t>2026</t>
        </is>
      </c>
      <c r="J491" s="21" t="inlineStr">
        <is>
          <t xml:space="preserve"> 0</t>
        </is>
      </c>
      <c r="K491" s="30">
        <f>(E491-F491)/IF(E491&gt;0,E491,1)</f>
        <v/>
      </c>
    </row>
    <row r="492">
      <c r="A492" s="22" t="inlineStr">
        <is>
          <t>AI와 사용자 경험</t>
        </is>
      </c>
      <c r="B492" s="22" t="inlineStr">
        <is>
          <t>이윤</t>
        </is>
      </c>
      <c r="C492" s="22" t="inlineStr">
        <is>
          <t>커뮤니케이션북스</t>
        </is>
      </c>
      <c r="D492" s="22" t="inlineStr">
        <is>
          <t>2026년 04월</t>
        </is>
      </c>
      <c r="E492" s="28" t="n">
        <v>12000</v>
      </c>
      <c r="F492" s="28" t="n">
        <v>12000</v>
      </c>
      <c r="G492" s="29" t="n">
        <v>0</v>
      </c>
      <c r="H492" s="29" t="n">
        <v>114</v>
      </c>
      <c r="I492" s="21" t="inlineStr">
        <is>
          <t>2026</t>
        </is>
      </c>
      <c r="J492" s="21" t="inlineStr">
        <is>
          <t xml:space="preserve"> 0</t>
        </is>
      </c>
      <c r="K492" s="30">
        <f>(E492-F492)/IF(E492&gt;0,E492,1)</f>
        <v/>
      </c>
    </row>
    <row r="493">
      <c r="A493" s="22" t="inlineStr">
        <is>
          <t>어린이를 위한 AI 리터러시</t>
        </is>
      </c>
      <c r="B493" s="22" t="inlineStr">
        <is>
          <t>심진아, 박수원</t>
        </is>
      </c>
      <c r="C493" s="22" t="inlineStr">
        <is>
          <t>커뮤니케이션북스</t>
        </is>
      </c>
      <c r="D493" s="22" t="inlineStr">
        <is>
          <t>2026년 03월</t>
        </is>
      </c>
      <c r="E493" s="28" t="n">
        <v>12000</v>
      </c>
      <c r="F493" s="28" t="n">
        <v>12000</v>
      </c>
      <c r="G493" s="29" t="n">
        <v>0</v>
      </c>
      <c r="H493" s="29" t="n">
        <v>114</v>
      </c>
      <c r="I493" s="21" t="inlineStr">
        <is>
          <t>2026</t>
        </is>
      </c>
      <c r="J493" s="21" t="inlineStr">
        <is>
          <t xml:space="preserve"> 0</t>
        </is>
      </c>
      <c r="K493" s="30">
        <f>(E493-F493)/IF(E493&gt;0,E493,1)</f>
        <v/>
      </c>
    </row>
    <row r="494">
      <c r="A494" s="22" t="inlineStr">
        <is>
          <t>AI 시대에 꼭 알아야 할 핵심 용어</t>
        </is>
      </c>
      <c r="B494" s="22" t="inlineStr">
        <is>
          <t>한국지능정보사회진흥원</t>
        </is>
      </c>
      <c r="C494" s="22" t="inlineStr">
        <is>
          <t>진한엠앤비</t>
        </is>
      </c>
      <c r="D494" s="22" t="inlineStr">
        <is>
          <t>2026년 01월</t>
        </is>
      </c>
      <c r="E494" s="28" t="n">
        <v>17000</v>
      </c>
      <c r="F494" s="28" t="n">
        <v>16150</v>
      </c>
      <c r="G494" s="29" t="n">
        <v>2</v>
      </c>
      <c r="H494" s="29" t="n">
        <v>102</v>
      </c>
      <c r="I494" s="21" t="inlineStr">
        <is>
          <t>2026</t>
        </is>
      </c>
      <c r="J494" s="21" t="inlineStr">
        <is>
          <t xml:space="preserve"> 0</t>
        </is>
      </c>
      <c r="K494" s="30">
        <f>(E494-F494)/IF(E494&gt;0,E494,1)</f>
        <v/>
      </c>
    </row>
    <row r="495">
      <c r="A495" s="22" t="inlineStr">
        <is>
          <t>AI와 시스템 다이내믹스 시뮬레이션</t>
        </is>
      </c>
      <c r="B495" s="22" t="inlineStr">
        <is>
          <t>최남희, 정관용, 원동욱, 김민</t>
        </is>
      </c>
      <c r="C495" s="22" t="inlineStr">
        <is>
          <t>서울경제경영</t>
        </is>
      </c>
      <c r="D495" s="22" t="inlineStr">
        <is>
          <t>2026년 05월</t>
        </is>
      </c>
      <c r="E495" s="28" t="n">
        <v>27000</v>
      </c>
      <c r="F495" s="28" t="n">
        <v>27000</v>
      </c>
      <c r="G495" s="29" t="n">
        <v>0</v>
      </c>
      <c r="H495" s="29" t="n">
        <v>84</v>
      </c>
      <c r="I495" s="21" t="inlineStr">
        <is>
          <t>2026</t>
        </is>
      </c>
      <c r="J495" s="21" t="inlineStr">
        <is>
          <t xml:space="preserve"> 0</t>
        </is>
      </c>
      <c r="K495" s="30">
        <f>(E495-F495)/IF(E495&gt;0,E495,1)</f>
        <v/>
      </c>
    </row>
    <row r="496">
      <c r="A496" s="22" t="inlineStr">
        <is>
          <t>뼛속까지 문과생도 단번에 이해하는 쉬운 말로 풀어 쓴 AI 기초 수학 이야기</t>
        </is>
      </c>
      <c r="B496" s="22" t="inlineStr">
        <is>
          <t>이승도</t>
        </is>
      </c>
      <c r="C496" s="22" t="inlineStr">
        <is>
          <t>책도사</t>
        </is>
      </c>
      <c r="D496" s="22" t="inlineStr">
        <is>
          <t>2026년 05월</t>
        </is>
      </c>
      <c r="E496" s="28" t="n">
        <v>11900</v>
      </c>
      <c r="F496" s="28" t="n">
        <v>10710</v>
      </c>
      <c r="G496" s="29" t="n">
        <v>0</v>
      </c>
      <c r="H496" s="29" t="n">
        <v>84</v>
      </c>
      <c r="I496" s="21" t="inlineStr">
        <is>
          <t>2026</t>
        </is>
      </c>
      <c r="J496" s="21" t="inlineStr">
        <is>
          <t xml:space="preserve"> 0</t>
        </is>
      </c>
      <c r="K496" s="30">
        <f>(E496-F496)/IF(E496&gt;0,E496,1)</f>
        <v/>
      </c>
    </row>
    <row r="497">
      <c r="A497" s="22" t="inlineStr">
        <is>
          <t>AI와 리더십 공학</t>
        </is>
      </c>
      <c r="B497" s="22" t="inlineStr">
        <is>
          <t>김문경</t>
        </is>
      </c>
      <c r="C497" s="22" t="inlineStr">
        <is>
          <t>커뮤니케이션북스</t>
        </is>
      </c>
      <c r="D497" s="22" t="inlineStr">
        <is>
          <t>2026년 05월</t>
        </is>
      </c>
      <c r="E497" s="28" t="n">
        <v>12000</v>
      </c>
      <c r="F497" s="28" t="n">
        <v>12000</v>
      </c>
      <c r="G497" s="29" t="n">
        <v>0</v>
      </c>
      <c r="H497" s="29" t="n">
        <v>84</v>
      </c>
      <c r="I497" s="21" t="inlineStr">
        <is>
          <t>2026</t>
        </is>
      </c>
      <c r="J497" s="21" t="inlineStr">
        <is>
          <t xml:space="preserve"> 0</t>
        </is>
      </c>
      <c r="K497" s="30">
        <f>(E497-F497)/IF(E497&gt;0,E497,1)</f>
        <v/>
      </c>
    </row>
    <row r="498">
      <c r="A498" s="22" t="inlineStr">
        <is>
          <t>AI와 규제샌드박스</t>
        </is>
      </c>
      <c r="B498" s="22" t="inlineStr">
        <is>
          <t>최해옥</t>
        </is>
      </c>
      <c r="C498" s="22" t="inlineStr">
        <is>
          <t>커뮤니케이션북스</t>
        </is>
      </c>
      <c r="D498" s="22" t="inlineStr">
        <is>
          <t>2026년 05월</t>
        </is>
      </c>
      <c r="E498" s="28" t="n">
        <v>12000</v>
      </c>
      <c r="F498" s="28" t="n">
        <v>12000</v>
      </c>
      <c r="G498" s="29" t="n">
        <v>0</v>
      </c>
      <c r="H498" s="29" t="n">
        <v>84</v>
      </c>
      <c r="I498" s="21" t="inlineStr">
        <is>
          <t>2026</t>
        </is>
      </c>
      <c r="J498" s="21" t="inlineStr">
        <is>
          <t xml:space="preserve"> 0</t>
        </is>
      </c>
      <c r="K498" s="30">
        <f>(E498-F498)/IF(E498&gt;0,E498,1)</f>
        <v/>
      </c>
    </row>
    <row r="499">
      <c r="A499" s="22" t="inlineStr">
        <is>
          <t>파이썬으로 시작하는 데이터 분석</t>
        </is>
      </c>
      <c r="B499" s="22" t="inlineStr">
        <is>
          <t>강지영</t>
        </is>
      </c>
      <c r="C499" s="22" t="inlineStr">
        <is>
          <t>아이리포</t>
        </is>
      </c>
      <c r="D499" s="22" t="inlineStr">
        <is>
          <t>2025년 11월</t>
        </is>
      </c>
      <c r="E499" s="28" t="n">
        <v>27000</v>
      </c>
      <c r="F499" s="28" t="n">
        <v>24300</v>
      </c>
      <c r="G499" s="29" t="n">
        <v>4</v>
      </c>
      <c r="H499" s="29" t="n">
        <v>1188</v>
      </c>
      <c r="I499" s="21" t="inlineStr">
        <is>
          <t>2025</t>
        </is>
      </c>
      <c r="J499" s="21" t="inlineStr">
        <is>
          <t xml:space="preserve"> 1</t>
        </is>
      </c>
      <c r="K499" s="30">
        <f>(E499-F499)/IF(E499&gt;0,E499,1)</f>
        <v/>
      </c>
    </row>
    <row r="500">
      <c r="A500" s="22" t="inlineStr">
        <is>
          <t>테디노트의 랭체인을 활용한 RAG 비법노트 [심화편]</t>
        </is>
      </c>
      <c r="B500" s="22" t="inlineStr">
        <is>
          <t>이경록</t>
        </is>
      </c>
      <c r="C500" s="22" t="inlineStr">
        <is>
          <t>리코멘드</t>
        </is>
      </c>
      <c r="D500" s="22" t="inlineStr">
        <is>
          <t>2025년 06월</t>
        </is>
      </c>
      <c r="E500" s="28" t="n">
        <v>28000</v>
      </c>
      <c r="F500" s="28" t="n">
        <v>25200</v>
      </c>
      <c r="G500" s="29" t="n">
        <v>1</v>
      </c>
      <c r="H500" s="29" t="n">
        <v>3366</v>
      </c>
      <c r="I500" s="21" t="inlineStr">
        <is>
          <t>2025</t>
        </is>
      </c>
      <c r="J500" s="21" t="inlineStr">
        <is>
          <t xml:space="preserve"> 0</t>
        </is>
      </c>
      <c r="K500" s="30">
        <f>(E500-F500)/IF(E500&gt;0,E500,1)</f>
        <v/>
      </c>
    </row>
    <row r="501">
      <c r="A501" s="22" t="inlineStr">
        <is>
          <t>챗GPT 질문의 기술</t>
        </is>
      </c>
      <c r="B501" s="22" t="inlineStr">
        <is>
          <t>이선종</t>
        </is>
      </c>
      <c r="C501" s="22" t="inlineStr">
        <is>
          <t>영진닷컴</t>
        </is>
      </c>
      <c r="D501" s="22" t="inlineStr">
        <is>
          <t>2024년 11월</t>
        </is>
      </c>
      <c r="E501" s="28" t="n">
        <v>22000</v>
      </c>
      <c r="F501" s="28" t="n">
        <v>19800</v>
      </c>
      <c r="G501" s="29" t="n">
        <v>6</v>
      </c>
      <c r="H501" s="29" t="n">
        <v>1116</v>
      </c>
      <c r="I501" s="21" t="inlineStr">
        <is>
          <t>2024</t>
        </is>
      </c>
      <c r="J501" s="21" t="inlineStr">
        <is>
          <t xml:space="preserve"> 1</t>
        </is>
      </c>
      <c r="K501" s="30">
        <f>(E501-F501)/IF(E501&gt;0,E501,1)</f>
        <v/>
      </c>
    </row>
    <row r="502">
      <c r="A502" s="22" t="inlineStr">
        <is>
          <t>VPython으로 시작하는 융합 시뮬레이션 수업</t>
        </is>
      </c>
      <c r="B502" s="22" t="inlineStr">
        <is>
          <t>송석리, 박솔애</t>
        </is>
      </c>
      <c r="C502" s="22" t="inlineStr">
        <is>
          <t>길벗</t>
        </is>
      </c>
      <c r="D502" s="22" t="inlineStr">
        <is>
          <t>2025년 09월</t>
        </is>
      </c>
      <c r="E502" s="28" t="n">
        <v>25000</v>
      </c>
      <c r="F502" s="28" t="n">
        <v>22500</v>
      </c>
      <c r="G502" s="29" t="n">
        <v>1</v>
      </c>
      <c r="H502" s="29" t="n">
        <v>4125</v>
      </c>
      <c r="I502" s="21" t="inlineStr">
        <is>
          <t>2025</t>
        </is>
      </c>
      <c r="J502" s="21" t="inlineStr">
        <is>
          <t xml:space="preserve"> 0</t>
        </is>
      </c>
      <c r="K502" s="30">
        <f>(E502-F502)/IF(E502&gt;0,E502,1)</f>
        <v/>
      </c>
    </row>
    <row r="503">
      <c r="A503" s="22" t="inlineStr">
        <is>
          <t>예제가 가득한 챗GPT 프롬프트 길라잡이</t>
        </is>
      </c>
      <c r="B503" s="22" t="inlineStr">
        <is>
          <t>이승우</t>
        </is>
      </c>
      <c r="C503" s="22" t="inlineStr">
        <is>
          <t>정보문화사</t>
        </is>
      </c>
      <c r="D503" s="22" t="inlineStr">
        <is>
          <t>2024년 05월</t>
        </is>
      </c>
      <c r="E503" s="28" t="n">
        <v>28000</v>
      </c>
      <c r="F503" s="28" t="n">
        <v>25200</v>
      </c>
      <c r="G503" s="29" t="n">
        <v>19</v>
      </c>
      <c r="H503" s="29" t="n">
        <v>942</v>
      </c>
      <c r="I503" s="21" t="inlineStr">
        <is>
          <t>2024</t>
        </is>
      </c>
      <c r="J503" s="21" t="inlineStr">
        <is>
          <t xml:space="preserve"> 0</t>
        </is>
      </c>
      <c r="K503" s="30">
        <f>(E503-F503)/IF(E503&gt;0,E503,1)</f>
        <v/>
      </c>
    </row>
    <row r="504">
      <c r="A504" s="22" t="inlineStr">
        <is>
          <t>실무로 통하는 LLM 애플리케이션 설계</t>
        </is>
      </c>
      <c r="B504" s="22" t="inlineStr">
        <is>
          <t>수하스 파이, 박조은</t>
        </is>
      </c>
      <c r="C504" s="22" t="inlineStr">
        <is>
          <t>한빛미디어</t>
        </is>
      </c>
      <c r="D504" s="22" t="inlineStr">
        <is>
          <t>2025년 10월</t>
        </is>
      </c>
      <c r="E504" s="28" t="n">
        <v>33000</v>
      </c>
      <c r="F504" s="28" t="n">
        <v>29700</v>
      </c>
      <c r="G504" s="29" t="n">
        <v>7</v>
      </c>
      <c r="H504" s="29" t="n">
        <v>984</v>
      </c>
      <c r="I504" s="21" t="inlineStr">
        <is>
          <t>2025</t>
        </is>
      </c>
      <c r="J504" s="21" t="inlineStr">
        <is>
          <t xml:space="preserve"> 1</t>
        </is>
      </c>
      <c r="K504" s="30">
        <f>(E504-F504)/IF(E504&gt;0,E504,1)</f>
        <v/>
      </c>
    </row>
    <row r="505">
      <c r="A505" s="22" t="inlineStr">
        <is>
          <t>딥러닝 파이토치 교과서</t>
        </is>
      </c>
      <c r="B505" s="22" t="inlineStr">
        <is>
          <t>서지영</t>
        </is>
      </c>
      <c r="C505" s="22" t="inlineStr">
        <is>
          <t>길벗</t>
        </is>
      </c>
      <c r="D505" s="22" t="inlineStr">
        <is>
          <t>2022년 03월</t>
        </is>
      </c>
      <c r="E505" s="28" t="n">
        <v>36000</v>
      </c>
      <c r="F505" s="28" t="n">
        <v>32400</v>
      </c>
      <c r="G505" s="29" t="n">
        <v>23</v>
      </c>
      <c r="H505" s="29" t="n">
        <v>942</v>
      </c>
      <c r="I505" s="21" t="inlineStr">
        <is>
          <t>2022</t>
        </is>
      </c>
      <c r="J505" s="21" t="inlineStr">
        <is>
          <t xml:space="preserve"> 0</t>
        </is>
      </c>
      <c r="K505" s="30">
        <f>(E505-F505)/IF(E505&gt;0,E505,1)</f>
        <v/>
      </c>
    </row>
    <row r="506">
      <c r="A506" s="22" t="inlineStr">
        <is>
          <t>머신러닝, 핵심만 빠르게!</t>
        </is>
      </c>
      <c r="B506" s="22" t="inlineStr">
        <is>
          <t>안드리 부르코프, 박해선</t>
        </is>
      </c>
      <c r="C506" s="22" t="inlineStr">
        <is>
          <t>인사이트(insight)</t>
        </is>
      </c>
      <c r="D506" s="22" t="inlineStr">
        <is>
          <t>2025년 10월</t>
        </is>
      </c>
      <c r="E506" s="28" t="n">
        <v>24000</v>
      </c>
      <c r="F506" s="28" t="n">
        <v>21600</v>
      </c>
      <c r="G506" s="29" t="n">
        <v>1</v>
      </c>
      <c r="H506" s="29" t="n">
        <v>876</v>
      </c>
      <c r="I506" s="21" t="inlineStr">
        <is>
          <t>2025</t>
        </is>
      </c>
      <c r="J506" s="21" t="inlineStr">
        <is>
          <t xml:space="preserve"> 1</t>
        </is>
      </c>
      <c r="K506" s="30">
        <f>(E506-F506)/IF(E506&gt;0,E506,1)</f>
        <v/>
      </c>
    </row>
    <row r="507">
      <c r="A507" s="22" t="inlineStr">
        <is>
          <t>컨텍스트 엔지니어링으로 완성하는 AI 에이전트</t>
        </is>
      </c>
      <c r="B507" s="22" t="inlineStr">
        <is>
          <t>박경민</t>
        </is>
      </c>
      <c r="C507" s="22" t="inlineStr">
        <is>
          <t>한빛미디어</t>
        </is>
      </c>
      <c r="D507" s="22" t="inlineStr">
        <is>
          <t>2025년 12월</t>
        </is>
      </c>
      <c r="E507" s="28" t="n">
        <v>30000</v>
      </c>
      <c r="F507" s="28" t="n">
        <v>27000</v>
      </c>
      <c r="G507" s="29" t="n">
        <v>13</v>
      </c>
      <c r="H507" s="29" t="n">
        <v>888</v>
      </c>
      <c r="I507" s="21" t="inlineStr">
        <is>
          <t>2025</t>
        </is>
      </c>
      <c r="J507" s="21" t="inlineStr">
        <is>
          <t xml:space="preserve"> 1</t>
        </is>
      </c>
      <c r="K507" s="30">
        <f>(E507-F507)/IF(E507&gt;0,E507,1)</f>
        <v/>
      </c>
    </row>
    <row r="508">
      <c r="A508" s="22" t="inlineStr">
        <is>
          <t>랭체인과 랭그래프로 구현하는 RAG·AI 에이전트 실전 입문</t>
        </is>
      </c>
      <c r="B508" s="22" t="inlineStr">
        <is>
          <t>니시미 마사히로, 요시다 신고, 오시마 유키, 최용</t>
        </is>
      </c>
      <c r="C508" s="22" t="inlineStr">
        <is>
          <t>위키북스</t>
        </is>
      </c>
      <c r="D508" s="22" t="inlineStr">
        <is>
          <t>2025년 06월</t>
        </is>
      </c>
      <c r="E508" s="28" t="n">
        <v>35000</v>
      </c>
      <c r="F508" s="28" t="n">
        <v>31500</v>
      </c>
      <c r="G508" s="29" t="n">
        <v>0</v>
      </c>
      <c r="H508" s="29" t="n">
        <v>1974</v>
      </c>
      <c r="I508" s="21" t="inlineStr">
        <is>
          <t>2025</t>
        </is>
      </c>
      <c r="J508" s="21" t="inlineStr">
        <is>
          <t xml:space="preserve"> 0</t>
        </is>
      </c>
      <c r="K508" s="30">
        <f>(E508-F508)/IF(E508&gt;0,E508,1)</f>
        <v/>
      </c>
    </row>
    <row r="509">
      <c r="A509" s="22" t="inlineStr">
        <is>
          <t>입문자를 위한 맞춤형 AI 프로그램 만들기</t>
        </is>
      </c>
      <c r="B509" s="22" t="inlineStr">
        <is>
          <t>다비드스튜디오</t>
        </is>
      </c>
      <c r="C509" s="22" t="inlineStr">
        <is>
          <t>길벗</t>
        </is>
      </c>
      <c r="D509" s="22" t="inlineStr">
        <is>
          <t>2025년 06월</t>
        </is>
      </c>
      <c r="E509" s="28" t="n">
        <v>28000</v>
      </c>
      <c r="F509" s="28" t="n">
        <v>25200</v>
      </c>
      <c r="G509" s="29" t="n">
        <v>14</v>
      </c>
      <c r="H509" s="29" t="n">
        <v>870</v>
      </c>
      <c r="I509" s="21" t="inlineStr">
        <is>
          <t>2025</t>
        </is>
      </c>
      <c r="J509" s="21" t="inlineStr">
        <is>
          <t xml:space="preserve"> 0</t>
        </is>
      </c>
      <c r="K509" s="30">
        <f>(E509-F509)/IF(E509&gt;0,E509,1)</f>
        <v/>
      </c>
    </row>
    <row r="510">
      <c r="A510" s="22" t="inlineStr">
        <is>
          <t>파이썬 데이터 분석가 되기+챗GPT</t>
        </is>
      </c>
      <c r="B510" s="22" t="inlineStr">
        <is>
          <t>셀레나</t>
        </is>
      </c>
      <c r="C510" s="22" t="inlineStr">
        <is>
          <t>골든래빗</t>
        </is>
      </c>
      <c r="D510" s="22" t="inlineStr">
        <is>
          <t>2024년 11월</t>
        </is>
      </c>
      <c r="E510" s="28" t="n">
        <v>26000</v>
      </c>
      <c r="F510" s="28" t="n">
        <v>23400</v>
      </c>
      <c r="G510" s="29" t="n">
        <v>0</v>
      </c>
      <c r="H510" s="29" t="n">
        <v>1014</v>
      </c>
      <c r="I510" s="21" t="inlineStr">
        <is>
          <t>2024</t>
        </is>
      </c>
      <c r="J510" s="21" t="inlineStr">
        <is>
          <t xml:space="preserve"> 1</t>
        </is>
      </c>
      <c r="K510" s="30">
        <f>(E510-F510)/IF(E510&gt;0,E510,1)</f>
        <v/>
      </c>
    </row>
    <row r="511">
      <c r="A511" s="22" t="inlineStr">
        <is>
          <t>생성형 AI 활용과 실습</t>
        </is>
      </c>
      <c r="B511" s="22" t="inlineStr">
        <is>
          <t>서지영</t>
        </is>
      </c>
      <c r="C511" s="22" t="inlineStr">
        <is>
          <t>한빛아카데미</t>
        </is>
      </c>
      <c r="D511" s="22" t="inlineStr">
        <is>
          <t>2025년 06월</t>
        </is>
      </c>
      <c r="E511" s="28" t="n">
        <v>25000</v>
      </c>
      <c r="F511" s="28" t="n">
        <v>25000</v>
      </c>
      <c r="G511" s="29" t="n">
        <v>0</v>
      </c>
      <c r="H511" s="29" t="n">
        <v>3396</v>
      </c>
      <c r="I511" s="21" t="inlineStr">
        <is>
          <t>2025</t>
        </is>
      </c>
      <c r="J511" s="21" t="inlineStr">
        <is>
          <t xml:space="preserve"> 0</t>
        </is>
      </c>
      <c r="K511" s="30">
        <f>(E511-F511)/IF(E511&gt;0,E511,1)</f>
        <v/>
      </c>
    </row>
    <row r="512">
      <c r="A512" s="22" t="inlineStr">
        <is>
          <t>김변호사의 스마트한 AI 활용법 2</t>
        </is>
      </c>
      <c r="B512" s="22" t="inlineStr">
        <is>
          <t>김변호사 팀</t>
        </is>
      </c>
      <c r="C512" s="22" t="inlineStr">
        <is>
          <t>박영사</t>
        </is>
      </c>
      <c r="D512" s="22" t="inlineStr">
        <is>
          <t>2026년 01월</t>
        </is>
      </c>
      <c r="E512" s="28" t="n">
        <v>24000</v>
      </c>
      <c r="F512" s="28" t="n">
        <v>24000</v>
      </c>
      <c r="G512" s="29" t="n">
        <v>2</v>
      </c>
      <c r="H512" s="29" t="n">
        <v>648</v>
      </c>
      <c r="I512" s="21" t="inlineStr">
        <is>
          <t>2026</t>
        </is>
      </c>
      <c r="J512" s="21" t="inlineStr">
        <is>
          <t xml:space="preserve"> 0</t>
        </is>
      </c>
      <c r="K512" s="30">
        <f>(E512-F512)/IF(E512&gt;0,E512,1)</f>
        <v/>
      </c>
    </row>
    <row r="513">
      <c r="A513" s="22" t="inlineStr">
        <is>
          <t>핵심 토픽 98개로 끝내는 정보관리기술사</t>
        </is>
      </c>
      <c r="B513" s="22" t="inlineStr">
        <is>
          <t>임호진</t>
        </is>
      </c>
      <c r="C513" s="22" t="inlineStr">
        <is>
          <t>성안당</t>
        </is>
      </c>
      <c r="D513" s="22" t="inlineStr">
        <is>
          <t>2023년 01월</t>
        </is>
      </c>
      <c r="E513" s="28" t="n">
        <v>55000</v>
      </c>
      <c r="F513" s="28" t="n">
        <v>49500</v>
      </c>
      <c r="G513" s="29" t="n">
        <v>4</v>
      </c>
      <c r="H513" s="29" t="n">
        <v>654</v>
      </c>
      <c r="I513" s="21" t="inlineStr">
        <is>
          <t>2023</t>
        </is>
      </c>
      <c r="J513" s="21" t="inlineStr">
        <is>
          <t xml:space="preserve"> 0</t>
        </is>
      </c>
      <c r="K513" s="30">
        <f>(E513-F513)/IF(E513&gt;0,E513,1)</f>
        <v/>
      </c>
    </row>
    <row r="514">
      <c r="A514" s="22" t="inlineStr">
        <is>
          <t>데이터베이스 인터널스</t>
        </is>
      </c>
      <c r="B514" s="22" t="inlineStr">
        <is>
          <t>알렉스 페트로프, 이우현, 이태휘</t>
        </is>
      </c>
      <c r="C514" s="22" t="inlineStr">
        <is>
          <t>에이콘출판사</t>
        </is>
      </c>
      <c r="D514" s="22" t="inlineStr">
        <is>
          <t>2021년 01월</t>
        </is>
      </c>
      <c r="E514" s="28" t="n">
        <v>35000</v>
      </c>
      <c r="F514" s="28" t="n">
        <v>31500</v>
      </c>
      <c r="G514" s="29" t="n">
        <v>2</v>
      </c>
      <c r="H514" s="29" t="n">
        <v>702</v>
      </c>
      <c r="I514" s="21" t="inlineStr">
        <is>
          <t>2021</t>
        </is>
      </c>
      <c r="J514" s="21" t="inlineStr">
        <is>
          <t xml:space="preserve"> 0</t>
        </is>
      </c>
      <c r="K514" s="30">
        <f>(E514-F514)/IF(E514&gt;0,E514,1)</f>
        <v/>
      </c>
    </row>
    <row r="515">
      <c r="A515" s="22" t="inlineStr">
        <is>
          <t>AI 3대 강국</t>
        </is>
      </c>
      <c r="B515" s="22" t="inlineStr">
        <is>
          <t>박영선</t>
        </is>
      </c>
      <c r="C515" s="22" t="inlineStr">
        <is>
          <t>나남출판사</t>
        </is>
      </c>
      <c r="D515" s="22" t="inlineStr">
        <is>
          <t>2025년 09월</t>
        </is>
      </c>
      <c r="E515" s="28" t="n">
        <v>18000</v>
      </c>
      <c r="F515" s="28" t="n">
        <v>16200</v>
      </c>
      <c r="G515" s="29" t="n">
        <v>0</v>
      </c>
      <c r="H515" s="29" t="n">
        <v>786</v>
      </c>
      <c r="I515" s="21" t="inlineStr">
        <is>
          <t>2025</t>
        </is>
      </c>
      <c r="J515" s="21" t="inlineStr">
        <is>
          <t xml:space="preserve"> 0</t>
        </is>
      </c>
      <c r="K515" s="30">
        <f>(E515-F515)/IF(E515&gt;0,E515,1)</f>
        <v/>
      </c>
    </row>
    <row r="516">
      <c r="A516" s="22" t="inlineStr">
        <is>
          <t>Do it! BERT와 GPT로 배우는 자연어 처리</t>
        </is>
      </c>
      <c r="B516" s="22" t="inlineStr">
        <is>
          <t>이기창</t>
        </is>
      </c>
      <c r="C516" s="22" t="inlineStr">
        <is>
          <t>이지스퍼블리싱</t>
        </is>
      </c>
      <c r="D516" s="22" t="inlineStr">
        <is>
          <t>2021년 12월</t>
        </is>
      </c>
      <c r="E516" s="28" t="n">
        <v>20000</v>
      </c>
      <c r="F516" s="28" t="n">
        <v>18000</v>
      </c>
      <c r="G516" s="29" t="n">
        <v>16</v>
      </c>
      <c r="H516" s="29" t="n">
        <v>906</v>
      </c>
      <c r="I516" s="21" t="inlineStr">
        <is>
          <t>2021</t>
        </is>
      </c>
      <c r="J516" s="21" t="inlineStr">
        <is>
          <t xml:space="preserve"> 1</t>
        </is>
      </c>
      <c r="K516" s="30">
        <f>(E516-F516)/IF(E516&gt;0,E516,1)</f>
        <v/>
      </c>
    </row>
    <row r="517">
      <c r="A517" s="22" t="inlineStr">
        <is>
          <t>챗GPT 업종별 사용설명서 증권·은행·보험</t>
        </is>
      </c>
      <c r="B517" s="22" t="inlineStr">
        <is>
          <t>송준용</t>
        </is>
      </c>
      <c r="C517" s="22" t="inlineStr">
        <is>
          <t>여의도책방</t>
        </is>
      </c>
      <c r="D517" s="22" t="inlineStr">
        <is>
          <t>2025년 08월</t>
        </is>
      </c>
      <c r="E517" s="28" t="n">
        <v>25000</v>
      </c>
      <c r="F517" s="28" t="n">
        <v>22500</v>
      </c>
      <c r="G517" s="29" t="n">
        <v>16</v>
      </c>
      <c r="H517" s="29" t="n">
        <v>648</v>
      </c>
      <c r="I517" s="21" t="inlineStr">
        <is>
          <t>2025</t>
        </is>
      </c>
      <c r="J517" s="21" t="inlineStr">
        <is>
          <t xml:space="preserve"> 0</t>
        </is>
      </c>
      <c r="K517" s="30">
        <f>(E517-F517)/IF(E517&gt;0,E517,1)</f>
        <v/>
      </c>
    </row>
    <row r="518">
      <c r="A518" s="22" t="inlineStr">
        <is>
          <t>DuckDB 인 액션</t>
        </is>
      </c>
      <c r="B518" s="22" t="inlineStr">
        <is>
          <t>마크 니드햄, 마이클 헝거, 마이클 시몬스, 김의윤</t>
        </is>
      </c>
      <c r="C518" s="22" t="inlineStr">
        <is>
          <t>인사이트(insight)</t>
        </is>
      </c>
      <c r="D518" s="22" t="inlineStr">
        <is>
          <t>2025년 05월</t>
        </is>
      </c>
      <c r="E518" s="28" t="n">
        <v>28000</v>
      </c>
      <c r="F518" s="28" t="n">
        <v>25200</v>
      </c>
      <c r="G518" s="29" t="n">
        <v>0</v>
      </c>
      <c r="H518" s="29" t="n">
        <v>516</v>
      </c>
      <c r="I518" s="21" t="inlineStr">
        <is>
          <t>2025</t>
        </is>
      </c>
      <c r="J518" s="21" t="inlineStr">
        <is>
          <t xml:space="preserve"> 0</t>
        </is>
      </c>
      <c r="K518" s="30">
        <f>(E518-F518)/IF(E518&gt;0,E518,1)</f>
        <v/>
      </c>
    </row>
    <row r="519">
      <c r="A519" s="22" t="inlineStr">
        <is>
          <t>아는 만큼 보이는 AI</t>
        </is>
      </c>
      <c r="B519" s="22" t="inlineStr">
        <is>
          <t>최기원</t>
        </is>
      </c>
      <c r="C519" s="22" t="inlineStr">
        <is>
          <t>길벗</t>
        </is>
      </c>
      <c r="D519" s="22" t="inlineStr">
        <is>
          <t>2024년 08월</t>
        </is>
      </c>
      <c r="E519" s="28" t="n">
        <v>19000</v>
      </c>
      <c r="F519" s="28" t="n">
        <v>17100</v>
      </c>
      <c r="G519" s="29" t="n">
        <v>23</v>
      </c>
      <c r="H519" s="29" t="n">
        <v>906</v>
      </c>
      <c r="I519" s="21" t="inlineStr">
        <is>
          <t>2024</t>
        </is>
      </c>
      <c r="J519" s="21" t="inlineStr">
        <is>
          <t xml:space="preserve"> 0</t>
        </is>
      </c>
      <c r="K519" s="30">
        <f>(E519-F519)/IF(E519&gt;0,E519,1)</f>
        <v/>
      </c>
    </row>
    <row r="520">
      <c r="A520" s="22" t="inlineStr">
        <is>
          <t>선생님을 위한 교육용 AI 챗봇 활용법</t>
        </is>
      </c>
      <c r="B520" s="22" t="inlineStr">
        <is>
          <t>임세범, 박지은, 나희정, 조정연</t>
        </is>
      </c>
      <c r="C520" s="22" t="inlineStr">
        <is>
          <t>앤써북</t>
        </is>
      </c>
      <c r="D520" s="22" t="inlineStr">
        <is>
          <t>2025년 06월</t>
        </is>
      </c>
      <c r="E520" s="28" t="n">
        <v>22500</v>
      </c>
      <c r="F520" s="28" t="n">
        <v>20250</v>
      </c>
      <c r="G520" s="29" t="n">
        <v>10</v>
      </c>
      <c r="H520" s="29" t="n">
        <v>1980</v>
      </c>
      <c r="I520" s="21" t="inlineStr">
        <is>
          <t>2025</t>
        </is>
      </c>
      <c r="J520" s="21" t="inlineStr">
        <is>
          <t xml:space="preserve"> 0</t>
        </is>
      </c>
      <c r="K520" s="30">
        <f>(E520-F520)/IF(E520&gt;0,E520,1)</f>
        <v/>
      </c>
    </row>
    <row r="521">
      <c r="A521" s="22" t="inlineStr">
        <is>
          <t>바로 배워 바로 쓰는 챗봇 수업디자인 A~Z</t>
        </is>
      </c>
      <c r="B521" s="22" t="inlineStr">
        <is>
          <t>김은현, 박소현, 백진희, 이서연, 이유진, 정보 더 보기/감추기, 김은현, 박소현, 백진희, 이서연, 이유진, 이효진, 정은서</t>
        </is>
      </c>
      <c r="C521" s="22" t="inlineStr">
        <is>
          <t>앤써북</t>
        </is>
      </c>
      <c r="D521" s="22" t="inlineStr">
        <is>
          <t>2026년 01월</t>
        </is>
      </c>
      <c r="E521" s="28" t="n">
        <v>24000</v>
      </c>
      <c r="F521" s="28" t="n">
        <v>21600</v>
      </c>
      <c r="G521" s="29" t="n">
        <v>9</v>
      </c>
      <c r="H521" s="29" t="n">
        <v>564</v>
      </c>
      <c r="I521" s="21" t="inlineStr">
        <is>
          <t>2026</t>
        </is>
      </c>
      <c r="J521" s="21" t="inlineStr">
        <is>
          <t xml:space="preserve"> 0</t>
        </is>
      </c>
      <c r="K521" s="30">
        <f>(E521-F521)/IF(E521&gt;0,E521,1)</f>
        <v/>
      </c>
    </row>
    <row r="522">
      <c r="A522" s="22" t="inlineStr">
        <is>
          <t>생성형 AI 업무 활용 정석 - 테스팅 업무 적용편</t>
        </is>
      </c>
      <c r="B522" s="22" t="inlineStr">
        <is>
          <t>권원일</t>
        </is>
      </c>
      <c r="C522" s="22" t="inlineStr">
        <is>
          <t>STA(소프트웨어테스팅연구소)</t>
        </is>
      </c>
      <c r="D522" s="22" t="inlineStr">
        <is>
          <t>2025년 06월</t>
        </is>
      </c>
      <c r="E522" s="28" t="n">
        <v>30000</v>
      </c>
      <c r="F522" s="28" t="n">
        <v>27000</v>
      </c>
      <c r="G522" s="29" t="n">
        <v>0</v>
      </c>
      <c r="H522" s="29" t="n">
        <v>648</v>
      </c>
      <c r="I522" s="21" t="inlineStr">
        <is>
          <t>2025</t>
        </is>
      </c>
      <c r="J522" s="21" t="inlineStr">
        <is>
          <t xml:space="preserve"> 0</t>
        </is>
      </c>
      <c r="K522" s="30">
        <f>(E522-F522)/IF(E522&gt;0,E522,1)</f>
        <v/>
      </c>
    </row>
    <row r="523">
      <c r="A523" s="22" t="inlineStr">
        <is>
          <t>그림으로 배우는 StatQuest 신경망 &amp; AI 강의</t>
        </is>
      </c>
      <c r="B523" s="22" t="inlineStr">
        <is>
          <t>조시 스타머, 김태헌</t>
        </is>
      </c>
      <c r="C523" s="22" t="inlineStr">
        <is>
          <t>제이펍</t>
        </is>
      </c>
      <c r="D523" s="22" t="inlineStr">
        <is>
          <t>2025년 11월</t>
        </is>
      </c>
      <c r="E523" s="28" t="n">
        <v>30000</v>
      </c>
      <c r="F523" s="28" t="n">
        <v>27000</v>
      </c>
      <c r="G523" s="29" t="n">
        <v>2</v>
      </c>
      <c r="H523" s="29" t="n">
        <v>552</v>
      </c>
      <c r="I523" s="21" t="inlineStr">
        <is>
          <t>2025</t>
        </is>
      </c>
      <c r="J523" s="21" t="inlineStr">
        <is>
          <t xml:space="preserve"> 1</t>
        </is>
      </c>
      <c r="K523" s="30">
        <f>(E523-F523)/IF(E523&gt;0,E523,1)</f>
        <v/>
      </c>
    </row>
    <row r="524">
      <c r="A524" s="22" t="inlineStr">
        <is>
          <t>단단한 머신러닝</t>
        </is>
      </c>
      <c r="B524" s="22" t="inlineStr">
        <is>
          <t>조우쯔화, 김태헌</t>
        </is>
      </c>
      <c r="C524" s="22" t="inlineStr">
        <is>
          <t>제이펍</t>
        </is>
      </c>
      <c r="D524" s="22" t="inlineStr">
        <is>
          <t>2020년 02월</t>
        </is>
      </c>
      <c r="E524" s="28" t="n">
        <v>30000</v>
      </c>
      <c r="F524" s="28" t="n">
        <v>27000</v>
      </c>
      <c r="G524" s="29" t="n">
        <v>15</v>
      </c>
      <c r="H524" s="29" t="n">
        <v>516</v>
      </c>
      <c r="I524" s="21" t="inlineStr">
        <is>
          <t>2020</t>
        </is>
      </c>
      <c r="J524" s="21" t="inlineStr">
        <is>
          <t xml:space="preserve"> 0</t>
        </is>
      </c>
      <c r="K524" s="30">
        <f>(E524-F524)/IF(E524&gt;0,E524,1)</f>
        <v/>
      </c>
    </row>
    <row r="525">
      <c r="A525" s="22" t="inlineStr">
        <is>
          <t>챗GPT는 거들 뿐, 생기부는 내가 쓴다</t>
        </is>
      </c>
      <c r="B525" s="22" t="inlineStr">
        <is>
          <t>장승아, 조원정</t>
        </is>
      </c>
      <c r="C525" s="22" t="inlineStr">
        <is>
          <t>위키북스</t>
        </is>
      </c>
      <c r="D525" s="22" t="inlineStr">
        <is>
          <t>2025년 09월</t>
        </is>
      </c>
      <c r="E525" s="28" t="n">
        <v>16000</v>
      </c>
      <c r="F525" s="28" t="n">
        <v>14400</v>
      </c>
      <c r="G525" s="29" t="n">
        <v>0</v>
      </c>
      <c r="H525" s="29" t="n">
        <v>2160</v>
      </c>
      <c r="I525" s="21" t="inlineStr">
        <is>
          <t>2025</t>
        </is>
      </c>
      <c r="J525" s="21" t="inlineStr">
        <is>
          <t xml:space="preserve"> 0</t>
        </is>
      </c>
      <c r="K525" s="30">
        <f>(E525-F525)/IF(E525&gt;0,E525,1)</f>
        <v/>
      </c>
    </row>
    <row r="526">
      <c r="A526" s="22" t="inlineStr">
        <is>
          <t>구독형 AI의 한계를 넘어선 로컬 LLM 구축 바이블</t>
        </is>
      </c>
      <c r="B526" s="22" t="inlineStr">
        <is>
          <t>김정수</t>
        </is>
      </c>
      <c r="C526" s="22" t="inlineStr">
        <is>
          <t>은빛나무</t>
        </is>
      </c>
      <c r="D526" s="22" t="inlineStr">
        <is>
          <t>2026년 01월</t>
        </is>
      </c>
      <c r="E526" s="28" t="n">
        <v>36000</v>
      </c>
      <c r="F526" s="28" t="n">
        <v>32400</v>
      </c>
      <c r="G526" s="29" t="n">
        <v>1</v>
      </c>
      <c r="H526" s="29" t="n">
        <v>486</v>
      </c>
      <c r="I526" s="21" t="inlineStr">
        <is>
          <t>2026</t>
        </is>
      </c>
      <c r="J526" s="21" t="inlineStr">
        <is>
          <t xml:space="preserve"> 0</t>
        </is>
      </c>
      <c r="K526" s="30">
        <f>(E526-F526)/IF(E526&gt;0,E526,1)</f>
        <v/>
      </c>
    </row>
    <row r="527">
      <c r="A527" s="22" t="inlineStr">
        <is>
          <t>인공지능을 위한 확률과 통계 with 파이썬</t>
        </is>
      </c>
      <c r="B527" s="22" t="inlineStr">
        <is>
          <t>이연우</t>
        </is>
      </c>
      <c r="C527" s="22" t="inlineStr">
        <is>
          <t>길벗캠퍼스</t>
        </is>
      </c>
      <c r="D527" s="22" t="inlineStr">
        <is>
          <t>2025년 07월</t>
        </is>
      </c>
      <c r="E527" s="28" t="n">
        <v>38000</v>
      </c>
      <c r="F527" s="28" t="n">
        <v>38000</v>
      </c>
      <c r="G527" s="29" t="n">
        <v>1</v>
      </c>
      <c r="H527" s="29" t="n">
        <v>522</v>
      </c>
      <c r="I527" s="21" t="inlineStr">
        <is>
          <t>2025</t>
        </is>
      </c>
      <c r="J527" s="21" t="inlineStr">
        <is>
          <t xml:space="preserve"> 0</t>
        </is>
      </c>
      <c r="K527" s="30">
        <f>(E527-F527)/IF(E527&gt;0,E527,1)</f>
        <v/>
      </c>
    </row>
    <row r="528">
      <c r="A528" s="22" t="inlineStr">
        <is>
          <t>어쩌다 AI, 실전으로 뛰어든 3년의 기록</t>
        </is>
      </c>
      <c r="B528" s="22" t="inlineStr">
        <is>
          <t>심형섭</t>
        </is>
      </c>
      <c r="C528" s="22" t="inlineStr">
        <is>
          <t>프리렉</t>
        </is>
      </c>
      <c r="D528" s="22" t="inlineStr">
        <is>
          <t>2025년 12월</t>
        </is>
      </c>
      <c r="E528" s="28" t="n">
        <v>22000</v>
      </c>
      <c r="F528" s="28" t="n">
        <v>19800</v>
      </c>
      <c r="G528" s="29" t="n">
        <v>17</v>
      </c>
      <c r="H528" s="29" t="n">
        <v>516</v>
      </c>
      <c r="I528" s="21" t="inlineStr">
        <is>
          <t>2025</t>
        </is>
      </c>
      <c r="J528" s="21" t="inlineStr">
        <is>
          <t xml:space="preserve"> 1</t>
        </is>
      </c>
      <c r="K528" s="30">
        <f>(E528-F528)/IF(E528&gt;0,E528,1)</f>
        <v/>
      </c>
    </row>
    <row r="529">
      <c r="A529" s="22" t="inlineStr">
        <is>
          <t>교사를 위한 NotebookLM 실전가이드</t>
        </is>
      </c>
      <c r="B529" s="22" t="inlineStr">
        <is>
          <t>정지영</t>
        </is>
      </c>
      <c r="C529" s="22" t="inlineStr">
        <is>
          <t>내하출판사</t>
        </is>
      </c>
      <c r="D529" s="22" t="inlineStr">
        <is>
          <t>2026년 03월</t>
        </is>
      </c>
      <c r="E529" s="28" t="n">
        <v>23000</v>
      </c>
      <c r="F529" s="28" t="n">
        <v>23000</v>
      </c>
      <c r="G529" s="29" t="n">
        <v>0</v>
      </c>
      <c r="H529" s="29" t="n">
        <v>384</v>
      </c>
      <c r="I529" s="21" t="inlineStr">
        <is>
          <t>2026</t>
        </is>
      </c>
      <c r="J529" s="21" t="inlineStr">
        <is>
          <t xml:space="preserve"> 0</t>
        </is>
      </c>
      <c r="K529" s="30">
        <f>(E529-F529)/IF(E529&gt;0,E529,1)</f>
        <v/>
      </c>
    </row>
    <row r="530">
      <c r="A530" s="22" t="inlineStr">
        <is>
          <t>업무에서 바로 써먹는 ChatGPT 생성형 AI 활용</t>
        </is>
      </c>
      <c r="B530" s="22" t="inlineStr">
        <is>
          <t>김명석</t>
        </is>
      </c>
      <c r="C530" s="22" t="inlineStr">
        <is>
          <t>광문각출판미디어</t>
        </is>
      </c>
      <c r="D530" s="22" t="inlineStr">
        <is>
          <t>2024년 06월</t>
        </is>
      </c>
      <c r="E530" s="28" t="n">
        <v>17000</v>
      </c>
      <c r="F530" s="28" t="n">
        <v>17000</v>
      </c>
      <c r="G530" s="29" t="n">
        <v>20</v>
      </c>
      <c r="H530" s="29" t="n">
        <v>438</v>
      </c>
      <c r="I530" s="21" t="inlineStr">
        <is>
          <t>2024</t>
        </is>
      </c>
      <c r="J530" s="21" t="inlineStr">
        <is>
          <t xml:space="preserve"> 0</t>
        </is>
      </c>
      <c r="K530" s="30">
        <f>(E530-F530)/IF(E530&gt;0,E530,1)</f>
        <v/>
      </c>
    </row>
    <row r="531">
      <c r="A531" s="22" t="inlineStr">
        <is>
          <t>쉽게 배우고 바로 쓰는 에듀테크 첫걸음</t>
        </is>
      </c>
      <c r="B531" s="22" t="inlineStr">
        <is>
          <t>조종현, 박미지, 김승길</t>
        </is>
      </c>
      <c r="C531" s="22" t="inlineStr">
        <is>
          <t>성안당</t>
        </is>
      </c>
      <c r="D531" s="22" t="inlineStr">
        <is>
          <t>2025년 11월</t>
        </is>
      </c>
      <c r="E531" s="28" t="n">
        <v>18000</v>
      </c>
      <c r="F531" s="28" t="n">
        <v>16200</v>
      </c>
      <c r="G531" s="29" t="n">
        <v>24</v>
      </c>
      <c r="H531" s="29" t="n">
        <v>2100</v>
      </c>
      <c r="I531" s="21" t="inlineStr">
        <is>
          <t>2025</t>
        </is>
      </c>
      <c r="J531" s="21" t="inlineStr">
        <is>
          <t xml:space="preserve"> 1</t>
        </is>
      </c>
      <c r="K531" s="30">
        <f>(E531-F531)/IF(E531&gt;0,E531,1)</f>
        <v/>
      </c>
    </row>
    <row r="532">
      <c r="A532" s="22" t="inlineStr">
        <is>
          <t>LLM 서비스 설계와 최적화</t>
        </is>
      </c>
      <c r="B532" s="22" t="inlineStr">
        <is>
          <t>슈레야스 수브라마니암, 김현준, 박은주</t>
        </is>
      </c>
      <c r="C532" s="22" t="inlineStr">
        <is>
          <t>한빛미디어</t>
        </is>
      </c>
      <c r="D532" s="22" t="inlineStr">
        <is>
          <t>2025년 04월</t>
        </is>
      </c>
      <c r="E532" s="28" t="n">
        <v>32000</v>
      </c>
      <c r="F532" s="28" t="n">
        <v>28800</v>
      </c>
      <c r="G532" s="29" t="n">
        <v>11</v>
      </c>
      <c r="H532" s="29" t="n">
        <v>384</v>
      </c>
      <c r="I532" s="21" t="inlineStr">
        <is>
          <t>2025</t>
        </is>
      </c>
      <c r="J532" s="21" t="inlineStr">
        <is>
          <t xml:space="preserve"> 0</t>
        </is>
      </c>
      <c r="K532" s="30">
        <f>(E532-F532)/IF(E532&gt;0,E532,1)</f>
        <v/>
      </c>
    </row>
    <row r="533">
      <c r="A533" s="22" t="inlineStr">
        <is>
          <t>AI 상식 사전</t>
        </is>
      </c>
      <c r="B533" s="22" t="inlineStr">
        <is>
          <t>김지현</t>
        </is>
      </c>
      <c r="C533" s="22" t="inlineStr">
        <is>
          <t>크레타</t>
        </is>
      </c>
      <c r="D533" s="22" t="inlineStr">
        <is>
          <t>2025년 06월</t>
        </is>
      </c>
      <c r="E533" s="28" t="n">
        <v>19800</v>
      </c>
      <c r="F533" s="28" t="n">
        <v>17820</v>
      </c>
      <c r="G533" s="29" t="n">
        <v>17</v>
      </c>
      <c r="H533" s="29" t="n">
        <v>1560</v>
      </c>
      <c r="I533" s="21" t="inlineStr">
        <is>
          <t>2025</t>
        </is>
      </c>
      <c r="J533" s="21" t="inlineStr">
        <is>
          <t xml:space="preserve"> 0</t>
        </is>
      </c>
      <c r="K533" s="30">
        <f>(E533-F533)/IF(E533&gt;0,E533,1)</f>
        <v/>
      </c>
    </row>
    <row r="534">
      <c r="A534" s="22" t="inlineStr">
        <is>
          <t>쉽고 빠르게 배우는 네이버 클라우드 플랫폼 인프라 엔지니어링</t>
        </is>
      </c>
      <c r="B534" s="22" t="inlineStr">
        <is>
          <t>정낙수, 강지나</t>
        </is>
      </c>
      <c r="C534" s="22" t="inlineStr">
        <is>
          <t>제이펍</t>
        </is>
      </c>
      <c r="D534" s="22" t="inlineStr">
        <is>
          <t>2026년 03월</t>
        </is>
      </c>
      <c r="E534" s="28" t="n">
        <v>30000</v>
      </c>
      <c r="F534" s="28" t="n">
        <v>27000</v>
      </c>
      <c r="G534" s="29" t="n">
        <v>4</v>
      </c>
      <c r="H534" s="29" t="n">
        <v>414</v>
      </c>
      <c r="I534" s="21" t="inlineStr">
        <is>
          <t>2026</t>
        </is>
      </c>
      <c r="J534" s="21" t="inlineStr">
        <is>
          <t xml:space="preserve"> 0</t>
        </is>
      </c>
      <c r="K534" s="30">
        <f>(E534-F534)/IF(E534&gt;0,E534,1)</f>
        <v/>
      </c>
    </row>
    <row r="535">
      <c r="A535" s="22" t="inlineStr">
        <is>
          <t>핸즈온 바이브 코딩</t>
        </is>
      </c>
      <c r="B535" s="22" t="inlineStr">
        <is>
          <t>정도현</t>
        </is>
      </c>
      <c r="C535" s="22" t="inlineStr">
        <is>
          <t>한빛미디어</t>
        </is>
      </c>
      <c r="D535" s="22" t="inlineStr">
        <is>
          <t>2025년 10월</t>
        </is>
      </c>
      <c r="E535" s="28" t="n">
        <v>22000</v>
      </c>
      <c r="F535" s="28" t="n">
        <v>19800</v>
      </c>
      <c r="G535" s="29" t="n">
        <v>32</v>
      </c>
      <c r="H535" s="29" t="n">
        <v>1680</v>
      </c>
      <c r="I535" s="21" t="inlineStr">
        <is>
          <t>2025</t>
        </is>
      </c>
      <c r="J535" s="21" t="inlineStr">
        <is>
          <t xml:space="preserve"> 1</t>
        </is>
      </c>
      <c r="K535" s="30">
        <f>(E535-F535)/IF(E535&gt;0,E535,1)</f>
        <v/>
      </c>
    </row>
    <row r="536">
      <c r="A536" s="22" t="inlineStr">
        <is>
          <t>살아 보니, 지능</t>
        </is>
      </c>
      <c r="B536" s="22" t="inlineStr">
        <is>
          <t>이권우, 이명현, 이정모, 정재승, 강양구</t>
        </is>
      </c>
      <c r="C536" s="22" t="inlineStr">
        <is>
          <t>어크로스</t>
        </is>
      </c>
      <c r="D536" s="22" t="inlineStr">
        <is>
          <t>2023년 12월</t>
        </is>
      </c>
      <c r="E536" s="28" t="n">
        <v>16800</v>
      </c>
      <c r="F536" s="28" t="n">
        <v>15120</v>
      </c>
      <c r="G536" s="29" t="n">
        <v>7</v>
      </c>
      <c r="H536" s="29" t="n">
        <v>510</v>
      </c>
      <c r="I536" s="21" t="inlineStr">
        <is>
          <t>2023</t>
        </is>
      </c>
      <c r="J536" s="21" t="inlineStr">
        <is>
          <t xml:space="preserve"> 1</t>
        </is>
      </c>
      <c r="K536" s="30">
        <f>(E536-F536)/IF(E536&gt;0,E536,1)</f>
        <v/>
      </c>
    </row>
    <row r="537">
      <c r="A537" s="22" t="inlineStr">
        <is>
          <t>AI 교양 수업</t>
        </is>
      </c>
      <c r="B537" s="22" t="inlineStr">
        <is>
          <t>최윤철</t>
        </is>
      </c>
      <c r="C537" s="22" t="inlineStr">
        <is>
          <t>생능북스</t>
        </is>
      </c>
      <c r="D537" s="22" t="inlineStr">
        <is>
          <t>2026년 04월</t>
        </is>
      </c>
      <c r="E537" s="28" t="n">
        <v>18500</v>
      </c>
      <c r="F537" s="28" t="n">
        <v>16650</v>
      </c>
      <c r="G537" s="29" t="n">
        <v>23</v>
      </c>
      <c r="H537" s="29" t="n">
        <v>372</v>
      </c>
      <c r="I537" s="21" t="inlineStr">
        <is>
          <t>2026</t>
        </is>
      </c>
      <c r="J537" s="21" t="inlineStr">
        <is>
          <t xml:space="preserve"> 0</t>
        </is>
      </c>
      <c r="K537" s="30">
        <f>(E537-F537)/IF(E537&gt;0,E537,1)</f>
        <v/>
      </c>
    </row>
    <row r="538">
      <c r="A538" s="22" t="inlineStr">
        <is>
          <t>직장인을 위한 미드저니 이미지 &amp; 영상 제작</t>
        </is>
      </c>
      <c r="B538" s="22" t="inlineStr">
        <is>
          <t>고희청, 박범희</t>
        </is>
      </c>
      <c r="C538" s="22" t="inlineStr">
        <is>
          <t>성안당</t>
        </is>
      </c>
      <c r="D538" s="22" t="inlineStr">
        <is>
          <t>2025년 11월</t>
        </is>
      </c>
      <c r="E538" s="28" t="n">
        <v>27000</v>
      </c>
      <c r="F538" s="28" t="n">
        <v>24300</v>
      </c>
      <c r="G538" s="29" t="n">
        <v>43</v>
      </c>
      <c r="H538" s="29" t="n">
        <v>390</v>
      </c>
      <c r="I538" s="21" t="inlineStr">
        <is>
          <t>2025</t>
        </is>
      </c>
      <c r="J538" s="21" t="inlineStr">
        <is>
          <t xml:space="preserve"> 1</t>
        </is>
      </c>
      <c r="K538" s="30">
        <f>(E538-F538)/IF(E538&gt;0,E538,1)</f>
        <v/>
      </c>
    </row>
    <row r="539">
      <c r="A539" s="22" t="inlineStr">
        <is>
          <t>요즘 우아한 AI 개발</t>
        </is>
      </c>
      <c r="B539" s="22" t="inlineStr">
        <is>
          <t>우아한형제들</t>
        </is>
      </c>
      <c r="C539" s="22" t="inlineStr">
        <is>
          <t>골든래빗</t>
        </is>
      </c>
      <c r="D539" s="22" t="inlineStr">
        <is>
          <t>2025년 04월</t>
        </is>
      </c>
      <c r="E539" s="28" t="n">
        <v>24000</v>
      </c>
      <c r="F539" s="28" t="n">
        <v>21600</v>
      </c>
      <c r="G539" s="29" t="n">
        <v>16</v>
      </c>
      <c r="H539" s="29" t="n">
        <v>3738</v>
      </c>
      <c r="I539" s="21" t="inlineStr">
        <is>
          <t>2025</t>
        </is>
      </c>
      <c r="J539" s="21" t="inlineStr">
        <is>
          <t xml:space="preserve"> 0</t>
        </is>
      </c>
      <c r="K539" s="30">
        <f>(E539-F539)/IF(E539&gt;0,E539,1)</f>
        <v/>
      </c>
    </row>
    <row r="540">
      <c r="A540" s="22" t="inlineStr">
        <is>
          <t>AI로 기획하라</t>
        </is>
      </c>
      <c r="B540" s="22" t="inlineStr">
        <is>
          <t>노중석</t>
        </is>
      </c>
      <c r="C540" s="22" t="inlineStr">
        <is>
          <t>두드림미디어</t>
        </is>
      </c>
      <c r="D540" s="22" t="inlineStr">
        <is>
          <t>2026년 01월</t>
        </is>
      </c>
      <c r="E540" s="28" t="n">
        <v>19800</v>
      </c>
      <c r="F540" s="28" t="n">
        <v>17820</v>
      </c>
      <c r="G540" s="29" t="n">
        <v>13</v>
      </c>
      <c r="H540" s="29" t="n">
        <v>402</v>
      </c>
      <c r="I540" s="21" t="inlineStr">
        <is>
          <t>2026</t>
        </is>
      </c>
      <c r="J540" s="21" t="inlineStr">
        <is>
          <t xml:space="preserve"> 0</t>
        </is>
      </c>
      <c r="K540" s="30">
        <f>(E540-F540)/IF(E540&gt;0,E540,1)</f>
        <v/>
      </c>
    </row>
    <row r="541">
      <c r="A541" s="22" t="inlineStr">
        <is>
          <t>AI 대전환 시대, 조직은 문화다</t>
        </is>
      </c>
      <c r="B541" s="22" t="inlineStr">
        <is>
          <t>김기진, 조원규, 임정훈, 김현, 박지연, 정보 더 보기/감추기, 김기진, 조원규, 임정훈, 김현, 박지연, 송구, 최선용, 정화연</t>
        </is>
      </c>
      <c r="C541" s="22" t="inlineStr">
        <is>
          <t>에릭스토리</t>
        </is>
      </c>
      <c r="D541" s="22" t="inlineStr">
        <is>
          <t>2025년 06월</t>
        </is>
      </c>
      <c r="E541" s="28" t="n">
        <v>17000</v>
      </c>
      <c r="F541" s="28" t="n">
        <v>15300</v>
      </c>
      <c r="G541" s="29" t="n">
        <v>0</v>
      </c>
      <c r="H541" s="29" t="n">
        <v>486</v>
      </c>
      <c r="I541" s="21" t="inlineStr">
        <is>
          <t>2025</t>
        </is>
      </c>
      <c r="J541" s="21" t="inlineStr">
        <is>
          <t xml:space="preserve"> 0</t>
        </is>
      </c>
      <c r="K541" s="30">
        <f>(E541-F541)/IF(E541&gt;0,E541,1)</f>
        <v/>
      </c>
    </row>
    <row r="542">
      <c r="A542" s="22" t="inlineStr">
        <is>
          <t>추천 시스템</t>
        </is>
      </c>
      <c r="B542" s="22" t="inlineStr">
        <is>
          <t>차루 아가르왈, 박희원, 이주희, 이진형</t>
        </is>
      </c>
      <c r="C542" s="22" t="inlineStr">
        <is>
          <t>에이콘출판사</t>
        </is>
      </c>
      <c r="D542" s="22" t="inlineStr">
        <is>
          <t>2021년 12월</t>
        </is>
      </c>
      <c r="E542" s="28" t="n">
        <v>40000</v>
      </c>
      <c r="F542" s="28" t="n">
        <v>36000</v>
      </c>
      <c r="G542" s="29" t="n">
        <v>5</v>
      </c>
      <c r="H542" s="29" t="n">
        <v>318</v>
      </c>
      <c r="I542" s="21" t="inlineStr">
        <is>
          <t>2021</t>
        </is>
      </c>
      <c r="J542" s="21" t="inlineStr">
        <is>
          <t xml:space="preserve"> 1</t>
        </is>
      </c>
      <c r="K542" s="30">
        <f>(E542-F542)/IF(E542&gt;0,E542,1)</f>
        <v/>
      </c>
    </row>
    <row r="543">
      <c r="A543" s="22" t="inlineStr">
        <is>
          <t>실무에서 바로 통하는 데이터 시각화 노하우</t>
        </is>
      </c>
      <c r="B543" s="22" t="inlineStr">
        <is>
          <t>전익진</t>
        </is>
      </c>
      <c r="C543" s="22" t="inlineStr">
        <is>
          <t>디스커버리미디어</t>
        </is>
      </c>
      <c r="D543" s="22" t="inlineStr">
        <is>
          <t>2024년 07월</t>
        </is>
      </c>
      <c r="E543" s="28" t="n">
        <v>22000</v>
      </c>
      <c r="F543" s="28" t="n">
        <v>19800</v>
      </c>
      <c r="G543" s="29" t="n">
        <v>2</v>
      </c>
      <c r="H543" s="29" t="n">
        <v>288</v>
      </c>
      <c r="I543" s="21" t="inlineStr">
        <is>
          <t>2024</t>
        </is>
      </c>
      <c r="J543" s="21" t="inlineStr">
        <is>
          <t xml:space="preserve"> 0</t>
        </is>
      </c>
      <c r="K543" s="30">
        <f>(E543-F543)/IF(E543&gt;0,E543,1)</f>
        <v/>
      </c>
    </row>
    <row r="544">
      <c r="A544" s="22" t="inlineStr">
        <is>
          <t>알아두면 평생 써먹는 인공지능(AI) 그림 수업</t>
        </is>
      </c>
      <c r="B544" s="22" t="inlineStr">
        <is>
          <t>이미앙, 이용태</t>
        </is>
      </c>
      <c r="C544" s="22" t="inlineStr">
        <is>
          <t>책바세</t>
        </is>
      </c>
      <c r="D544" s="22" t="inlineStr">
        <is>
          <t>2023년 11월</t>
        </is>
      </c>
      <c r="E544" s="28" t="n">
        <v>17000</v>
      </c>
      <c r="F544" s="28" t="n">
        <v>15300</v>
      </c>
      <c r="G544" s="29" t="n">
        <v>6</v>
      </c>
      <c r="H544" s="29" t="n">
        <v>414</v>
      </c>
      <c r="I544" s="21" t="inlineStr">
        <is>
          <t>2023</t>
        </is>
      </c>
      <c r="J544" s="21" t="inlineStr">
        <is>
          <t xml:space="preserve"> 1</t>
        </is>
      </c>
      <c r="K544" s="30">
        <f>(E544-F544)/IF(E544&gt;0,E544,1)</f>
        <v/>
      </c>
    </row>
    <row r="545">
      <c r="A545" s="22" t="inlineStr">
        <is>
          <t>제조AI빅데이터 분석기법 (코딩편)</t>
        </is>
      </c>
      <c r="B545" s="22" t="inlineStr">
        <is>
          <t>김일중, 유승화, 임성훈, 신민수, 박준용, 정보 더 보기/감추기, 김일중, 유승화, 임성훈, 신민수, 박준용, 권종원, 김흥남</t>
        </is>
      </c>
      <c r="C545" s="22" t="inlineStr">
        <is>
          <t>보민출판사</t>
        </is>
      </c>
      <c r="D545" s="22" t="inlineStr">
        <is>
          <t>2024년 05월</t>
        </is>
      </c>
      <c r="E545" s="28" t="n">
        <v>30000</v>
      </c>
      <c r="F545" s="28" t="n">
        <v>27000</v>
      </c>
      <c r="G545" s="29" t="n">
        <v>10</v>
      </c>
      <c r="H545" s="29" t="n">
        <v>288</v>
      </c>
      <c r="I545" s="21" t="inlineStr">
        <is>
          <t>2024</t>
        </is>
      </c>
      <c r="J545" s="21" t="inlineStr">
        <is>
          <t xml:space="preserve"> 0</t>
        </is>
      </c>
      <c r="K545" s="30">
        <f>(E545-F545)/IF(E545&gt;0,E545,1)</f>
        <v/>
      </c>
    </row>
    <row r="546">
      <c r="A546" s="22" t="inlineStr">
        <is>
          <t>AI시대 교육혁명 : 태재대학교</t>
        </is>
      </c>
      <c r="B546" s="22" t="inlineStr">
        <is>
          <t>염재호</t>
        </is>
      </c>
      <c r="C546" s="22" t="inlineStr">
        <is>
          <t>태재대학교출판문화원</t>
        </is>
      </c>
      <c r="D546" s="22" t="inlineStr">
        <is>
          <t>2026년 01월</t>
        </is>
      </c>
      <c r="E546" s="28" t="n">
        <v>15000</v>
      </c>
      <c r="F546" s="28" t="n">
        <v>13500</v>
      </c>
      <c r="G546" s="29" t="n">
        <v>0</v>
      </c>
      <c r="H546" s="29" t="n">
        <v>276</v>
      </c>
      <c r="I546" s="21" t="inlineStr">
        <is>
          <t>2026</t>
        </is>
      </c>
      <c r="J546" s="21" t="inlineStr">
        <is>
          <t xml:space="preserve"> 0</t>
        </is>
      </c>
      <c r="K546" s="30">
        <f>(E546-F546)/IF(E546&gt;0,E546,1)</f>
        <v/>
      </c>
    </row>
    <row r="547">
      <c r="A547" s="22" t="inlineStr">
        <is>
          <t>생성형 AI, AI STUDIOS로 인공지능 영상제작 -더 쉽고/더 빠르게-</t>
        </is>
      </c>
      <c r="B547" s="22" t="inlineStr">
        <is>
          <t>장세영, 안창현</t>
        </is>
      </c>
      <c r="C547" s="22" t="inlineStr">
        <is>
          <t>코드미디어</t>
        </is>
      </c>
      <c r="D547" s="22" t="inlineStr">
        <is>
          <t>2025년 03월</t>
        </is>
      </c>
      <c r="E547" s="28" t="n">
        <v>30000</v>
      </c>
      <c r="F547" s="28" t="n">
        <v>27000</v>
      </c>
      <c r="G547" s="29" t="n">
        <v>2</v>
      </c>
      <c r="H547" s="29" t="n">
        <v>330</v>
      </c>
      <c r="I547" s="21" t="inlineStr">
        <is>
          <t>2025</t>
        </is>
      </c>
      <c r="J547" s="21" t="inlineStr">
        <is>
          <t xml:space="preserve"> 0</t>
        </is>
      </c>
      <c r="K547" s="30">
        <f>(E547-F547)/IF(E547&gt;0,E547,1)</f>
        <v/>
      </c>
    </row>
    <row r="548">
      <c r="A548" s="22" t="inlineStr">
        <is>
          <t>데이터 과학 기반의 파이썬 빅데이터 분석</t>
        </is>
      </c>
      <c r="B548" s="22" t="inlineStr">
        <is>
          <t>이지영</t>
        </is>
      </c>
      <c r="C548" s="22" t="inlineStr">
        <is>
          <t>한빛아카데미</t>
        </is>
      </c>
      <c r="D548" s="22" t="inlineStr">
        <is>
          <t>2024년 11월</t>
        </is>
      </c>
      <c r="E548" s="28" t="n">
        <v>31000</v>
      </c>
      <c r="F548" s="28" t="n">
        <v>31000</v>
      </c>
      <c r="G548" s="29" t="n">
        <v>0</v>
      </c>
      <c r="H548" s="29" t="n">
        <v>1590</v>
      </c>
      <c r="I548" s="21" t="inlineStr">
        <is>
          <t>2024</t>
        </is>
      </c>
      <c r="J548" s="21" t="inlineStr">
        <is>
          <t xml:space="preserve"> 1</t>
        </is>
      </c>
      <c r="K548" s="30">
        <f>(E548-F548)/IF(E548&gt;0,E548,1)</f>
        <v/>
      </c>
    </row>
    <row r="549">
      <c r="A549" s="22" t="inlineStr">
        <is>
          <t>AI로 만드는 노래와 뮤직비디오</t>
        </is>
      </c>
      <c r="B549" s="22" t="inlineStr">
        <is>
          <t>전진규</t>
        </is>
      </c>
      <c r="C549" s="22" t="inlineStr">
        <is>
          <t>시대인</t>
        </is>
      </c>
      <c r="D549" s="22" t="inlineStr">
        <is>
          <t>2026년 04월</t>
        </is>
      </c>
      <c r="E549" s="28" t="n">
        <v>14000</v>
      </c>
      <c r="F549" s="28" t="n">
        <v>12600</v>
      </c>
      <c r="G549" s="29" t="n">
        <v>8</v>
      </c>
      <c r="H549" s="29" t="n">
        <v>228</v>
      </c>
      <c r="I549" s="21" t="inlineStr">
        <is>
          <t>2026</t>
        </is>
      </c>
      <c r="J549" s="21" t="inlineStr">
        <is>
          <t xml:space="preserve"> 0</t>
        </is>
      </c>
      <c r="K549" s="30">
        <f>(E549-F549)/IF(E549&gt;0,E549,1)</f>
        <v/>
      </c>
    </row>
    <row r="550">
      <c r="A550" s="22" t="inlineStr">
        <is>
          <t>AI 비즈니스 정복하기</t>
        </is>
      </c>
      <c r="B550" s="22" t="inlineStr">
        <is>
          <t>오석현</t>
        </is>
      </c>
      <c r="C550" s="22" t="inlineStr">
        <is>
          <t>고북이</t>
        </is>
      </c>
      <c r="D550" s="22" t="inlineStr">
        <is>
          <t>2026년 03월</t>
        </is>
      </c>
      <c r="E550" s="28" t="n">
        <v>25000</v>
      </c>
      <c r="F550" s="28" t="n">
        <v>22500</v>
      </c>
      <c r="G550" s="29" t="n">
        <v>5</v>
      </c>
      <c r="H550" s="29" t="n">
        <v>438</v>
      </c>
      <c r="I550" s="21" t="inlineStr">
        <is>
          <t>2026</t>
        </is>
      </c>
      <c r="J550" s="21" t="inlineStr">
        <is>
          <t xml:space="preserve"> 0</t>
        </is>
      </c>
      <c r="K550" s="30">
        <f>(E550-F550)/IF(E550&gt;0,E550,1)</f>
        <v/>
      </c>
    </row>
    <row r="551">
      <c r="A551" s="22" t="inlineStr">
        <is>
          <t>처음부터 끝까지 피그마로 팀플하기</t>
        </is>
      </c>
      <c r="B551" s="22" t="inlineStr">
        <is>
          <t>이혜진(리온)</t>
        </is>
      </c>
      <c r="C551" s="22" t="inlineStr">
        <is>
          <t>제이펍</t>
        </is>
      </c>
      <c r="D551" s="22" t="inlineStr">
        <is>
          <t>2025년 11월</t>
        </is>
      </c>
      <c r="E551" s="28" t="n">
        <v>24000</v>
      </c>
      <c r="F551" s="28" t="n">
        <v>21600</v>
      </c>
      <c r="G551" s="29" t="n">
        <v>2</v>
      </c>
      <c r="H551" s="29" t="n">
        <v>258</v>
      </c>
      <c r="I551" s="21" t="inlineStr">
        <is>
          <t>2025</t>
        </is>
      </c>
      <c r="J551" s="21" t="inlineStr">
        <is>
          <t xml:space="preserve"> 1</t>
        </is>
      </c>
      <c r="K551" s="30">
        <f>(E551-F551)/IF(E551&gt;0,E551,1)</f>
        <v/>
      </c>
    </row>
    <row r="552">
      <c r="A552" s="22" t="inlineStr">
        <is>
          <t>김변호사의 스마트한 AI 활용법</t>
        </is>
      </c>
      <c r="B552" s="22" t="inlineStr">
        <is>
          <t>김변호사 팀</t>
        </is>
      </c>
      <c r="C552" s="22" t="inlineStr">
        <is>
          <t>(주)박영사</t>
        </is>
      </c>
      <c r="D552" s="22" t="inlineStr">
        <is>
          <t>2025년 03월</t>
        </is>
      </c>
      <c r="E552" s="28" t="n">
        <v>18000</v>
      </c>
      <c r="F552" s="28" t="n">
        <v>18000</v>
      </c>
      <c r="G552" s="29" t="n">
        <v>1</v>
      </c>
      <c r="H552" s="29" t="n">
        <v>1320</v>
      </c>
      <c r="I552" s="21" t="inlineStr">
        <is>
          <t>2025</t>
        </is>
      </c>
      <c r="J552" s="21" t="inlineStr">
        <is>
          <t xml:space="preserve"> 0</t>
        </is>
      </c>
      <c r="K552" s="30">
        <f>(E552-F552)/IF(E552&gt;0,E552,1)</f>
        <v/>
      </c>
    </row>
    <row r="553">
      <c r="A553" s="22" t="inlineStr">
        <is>
          <t>한 번에 완성하는 AI 영상 제작 with 챗GPT+소라+브루</t>
        </is>
      </c>
      <c r="B553" s="22" t="inlineStr">
        <is>
          <t>권유라</t>
        </is>
      </c>
      <c r="C553" s="22" t="inlineStr">
        <is>
          <t>제이펍</t>
        </is>
      </c>
      <c r="D553" s="22" t="inlineStr">
        <is>
          <t>2025년 06월</t>
        </is>
      </c>
      <c r="E553" s="28" t="n">
        <v>20000</v>
      </c>
      <c r="F553" s="28" t="n">
        <v>18000</v>
      </c>
      <c r="G553" s="29" t="n">
        <v>22</v>
      </c>
      <c r="H553" s="29" t="n">
        <v>3540</v>
      </c>
      <c r="I553" s="21" t="inlineStr">
        <is>
          <t>2025</t>
        </is>
      </c>
      <c r="J553" s="21" t="inlineStr">
        <is>
          <t xml:space="preserve"> 0</t>
        </is>
      </c>
      <c r="K553" s="30">
        <f>(E553-F553)/IF(E553&gt;0,E553,1)</f>
        <v/>
      </c>
    </row>
    <row r="554">
      <c r="A554" s="22" t="inlineStr">
        <is>
          <t>Data AI</t>
        </is>
      </c>
      <c r="B554" s="22" t="n">
        <v/>
      </c>
      <c r="C554" s="22" t="inlineStr">
        <is>
          <t>호산나</t>
        </is>
      </c>
      <c r="D554" s="22" t="inlineStr">
        <is>
          <t>2026년 05월</t>
        </is>
      </c>
      <c r="E554" s="28" t="n">
        <v>35000</v>
      </c>
      <c r="F554" s="28" t="n">
        <v>33250</v>
      </c>
      <c r="G554" s="29" t="n">
        <v>6</v>
      </c>
      <c r="H554" s="29" t="n">
        <v>168</v>
      </c>
      <c r="I554" s="21" t="inlineStr">
        <is>
          <t>2026</t>
        </is>
      </c>
      <c r="J554" s="21" t="inlineStr">
        <is>
          <t xml:space="preserve"> 0</t>
        </is>
      </c>
      <c r="K554" s="30">
        <f>(E554-F554)/IF(E554&gt;0,E554,1)</f>
        <v/>
      </c>
    </row>
    <row r="555">
      <c r="A555" s="22" t="inlineStr">
        <is>
          <t>AI 시대 사고의 정석 - 유추</t>
        </is>
      </c>
      <c r="B555" s="22" t="inlineStr">
        <is>
          <t>이진화</t>
        </is>
      </c>
      <c r="C555" s="22" t="inlineStr">
        <is>
          <t>지식과감성#</t>
        </is>
      </c>
      <c r="D555" s="22" t="inlineStr">
        <is>
          <t>2026년 05월</t>
        </is>
      </c>
      <c r="E555" s="28" t="n">
        <v>23000</v>
      </c>
      <c r="F555" s="28" t="n">
        <v>20700</v>
      </c>
      <c r="G555" s="29" t="n">
        <v>1</v>
      </c>
      <c r="H555" s="29" t="n">
        <v>168</v>
      </c>
      <c r="I555" s="21" t="inlineStr">
        <is>
          <t>2026</t>
        </is>
      </c>
      <c r="J555" s="21" t="inlineStr">
        <is>
          <t xml:space="preserve"> 0</t>
        </is>
      </c>
      <c r="K555" s="30">
        <f>(E555-F555)/IF(E555&gt;0,E555,1)</f>
        <v/>
      </c>
    </row>
    <row r="556">
      <c r="A556" s="22" t="inlineStr">
        <is>
          <t>AI를 직원처럼 쓰는 마케팅 자동화 시스템</t>
        </is>
      </c>
      <c r="B556" s="22" t="inlineStr">
        <is>
          <t>이종구, 이정화, 김회균, 손정화</t>
        </is>
      </c>
      <c r="C556" s="22" t="inlineStr">
        <is>
          <t>디지털콘텐츠그룹</t>
        </is>
      </c>
      <c r="D556" s="22" t="inlineStr">
        <is>
          <t>2026년 05월</t>
        </is>
      </c>
      <c r="E556" s="28" t="n">
        <v>24000</v>
      </c>
      <c r="F556" s="28" t="n">
        <v>21600</v>
      </c>
      <c r="G556" s="29" t="n">
        <v>0</v>
      </c>
      <c r="H556" s="29" t="n">
        <v>168</v>
      </c>
      <c r="I556" s="21" t="inlineStr">
        <is>
          <t>2026</t>
        </is>
      </c>
      <c r="J556" s="21" t="inlineStr">
        <is>
          <t xml:space="preserve"> 0</t>
        </is>
      </c>
      <c r="K556" s="30">
        <f>(E556-F556)/IF(E556&gt;0,E556,1)</f>
        <v/>
      </c>
    </row>
    <row r="557">
      <c r="A557" s="22" t="inlineStr">
        <is>
          <t>AI 시대의 행정자동결정</t>
        </is>
      </c>
      <c r="B557" s="22" t="inlineStr">
        <is>
          <t>정남철</t>
        </is>
      </c>
      <c r="C557" s="22" t="inlineStr">
        <is>
          <t>커뮤니케이션북스</t>
        </is>
      </c>
      <c r="D557" s="22" t="inlineStr">
        <is>
          <t>2026년 05월</t>
        </is>
      </c>
      <c r="E557" s="28" t="n">
        <v>12000</v>
      </c>
      <c r="F557" s="28" t="n">
        <v>12000</v>
      </c>
      <c r="G557" s="29" t="n">
        <v>0</v>
      </c>
      <c r="H557" s="29" t="n">
        <v>138</v>
      </c>
      <c r="I557" s="21" t="inlineStr">
        <is>
          <t>2026</t>
        </is>
      </c>
      <c r="J557" s="21" t="inlineStr">
        <is>
          <t xml:space="preserve"> 0</t>
        </is>
      </c>
      <c r="K557" s="30">
        <f>(E557-F557)/IF(E557&gt;0,E557,1)</f>
        <v/>
      </c>
    </row>
    <row r="558">
      <c r="A558" s="22" t="inlineStr">
        <is>
          <t>말로 만드는 창업의 시대</t>
        </is>
      </c>
      <c r="B558" s="22" t="inlineStr">
        <is>
          <t>심재우, 선웅규</t>
        </is>
      </c>
      <c r="C558" s="22" t="inlineStr">
        <is>
          <t>진한엠앤비</t>
        </is>
      </c>
      <c r="D558" s="22" t="inlineStr">
        <is>
          <t>2026년 05월</t>
        </is>
      </c>
      <c r="E558" s="28" t="n">
        <v>23000</v>
      </c>
      <c r="F558" s="28" t="n">
        <v>21850</v>
      </c>
      <c r="G558" s="29" t="n">
        <v>0</v>
      </c>
      <c r="H558" s="29" t="n">
        <v>192</v>
      </c>
      <c r="I558" s="21" t="inlineStr">
        <is>
          <t>2026</t>
        </is>
      </c>
      <c r="J558" s="21" t="inlineStr">
        <is>
          <t xml:space="preserve"> 0</t>
        </is>
      </c>
      <c r="K558" s="30">
        <f>(E558-F558)/IF(E558&gt;0,E558,1)</f>
        <v/>
      </c>
    </row>
    <row r="559">
      <c r="A559" s="22" t="inlineStr">
        <is>
          <t>AI로 쉽게 자기역사 쓰기</t>
        </is>
      </c>
      <c r="B559" s="22" t="inlineStr">
        <is>
          <t>진순희</t>
        </is>
      </c>
      <c r="C559" s="22" t="inlineStr">
        <is>
          <t>씽크스마트</t>
        </is>
      </c>
      <c r="D559" s="22" t="inlineStr">
        <is>
          <t>2026년 03월</t>
        </is>
      </c>
      <c r="E559" s="28" t="n">
        <v>17000</v>
      </c>
      <c r="F559" s="28" t="n">
        <v>15300</v>
      </c>
      <c r="G559" s="29" t="n">
        <v>19</v>
      </c>
      <c r="H559" s="29" t="n">
        <v>186</v>
      </c>
      <c r="I559" s="21" t="inlineStr">
        <is>
          <t>2026</t>
        </is>
      </c>
      <c r="J559" s="21" t="inlineStr">
        <is>
          <t xml:space="preserve"> 0</t>
        </is>
      </c>
      <c r="K559" s="30">
        <f>(E559-F559)/IF(E559&gt;0,E559,1)</f>
        <v/>
      </c>
    </row>
    <row r="560">
      <c r="A560" s="22" t="inlineStr">
        <is>
          <t>수학으로 이해하는 기초강화학습</t>
        </is>
      </c>
      <c r="B560" s="22" t="inlineStr">
        <is>
          <t>이동환</t>
        </is>
      </c>
      <c r="C560" s="22" t="inlineStr">
        <is>
          <t>가우스출판</t>
        </is>
      </c>
      <c r="D560" s="22" t="inlineStr">
        <is>
          <t>2025년 03월</t>
        </is>
      </c>
      <c r="E560" s="28" t="n">
        <v>35000</v>
      </c>
      <c r="F560" s="28" t="n">
        <v>31500</v>
      </c>
      <c r="G560" s="29" t="n">
        <v>0</v>
      </c>
      <c r="H560" s="29" t="n">
        <v>198</v>
      </c>
      <c r="I560" s="21" t="inlineStr">
        <is>
          <t>2025</t>
        </is>
      </c>
      <c r="J560" s="21" t="inlineStr">
        <is>
          <t xml:space="preserve"> 0</t>
        </is>
      </c>
      <c r="K560" s="30">
        <f>(E560-F560)/IF(E560&gt;0,E560,1)</f>
        <v/>
      </c>
    </row>
    <row r="561">
      <c r="A561" s="22" t="inlineStr">
        <is>
          <t>핵심 딥러닝 입문: RNN, LSTM, GRU, VAE, GAN 구현</t>
        </is>
      </c>
      <c r="B561" s="22" t="inlineStr">
        <is>
          <t>아즈마 유키나가, 최재원, 장건희</t>
        </is>
      </c>
      <c r="C561" s="22" t="inlineStr">
        <is>
          <t>책만</t>
        </is>
      </c>
      <c r="D561" s="22" t="inlineStr">
        <is>
          <t>2020년 12월</t>
        </is>
      </c>
      <c r="E561" s="28" t="n">
        <v>28000</v>
      </c>
      <c r="F561" s="28" t="n">
        <v>25200</v>
      </c>
      <c r="G561" s="29" t="n">
        <v>4</v>
      </c>
      <c r="H561" s="29" t="n">
        <v>198</v>
      </c>
      <c r="I561" s="21" t="inlineStr">
        <is>
          <t>2020</t>
        </is>
      </c>
      <c r="J561" s="21" t="inlineStr">
        <is>
          <t xml:space="preserve"> 1</t>
        </is>
      </c>
      <c r="K561" s="30">
        <f>(E561-F561)/IF(E561&gt;0,E561,1)</f>
        <v/>
      </c>
    </row>
    <row r="562">
      <c r="A562" s="22" t="inlineStr">
        <is>
          <t>인공지능과 국제정치 전환</t>
        </is>
      </c>
      <c r="B562" s="22" t="inlineStr">
        <is>
          <t>김상배, 이원태, 유인태, 이승주, 윤정현, 정보 더 보기/감추기, 김상배, 이원태, 유인태, 이승주, 윤정현, 이종진, 정헌주, 윤대엽, 이수연, 송태은</t>
        </is>
      </c>
      <c r="C562" s="22" t="inlineStr">
        <is>
          <t>한울아카데미</t>
        </is>
      </c>
      <c r="D562" s="22" t="inlineStr">
        <is>
          <t>2025년 10월</t>
        </is>
      </c>
      <c r="E562" s="28" t="n">
        <v>39000</v>
      </c>
      <c r="F562" s="28" t="n">
        <v>39000</v>
      </c>
      <c r="G562" s="29" t="n">
        <v>0</v>
      </c>
      <c r="H562" s="29" t="n">
        <v>204</v>
      </c>
      <c r="I562" s="21" t="inlineStr">
        <is>
          <t>2025</t>
        </is>
      </c>
      <c r="J562" s="21" t="inlineStr">
        <is>
          <t xml:space="preserve"> 1</t>
        </is>
      </c>
      <c r="K562" s="30">
        <f>(E562-F562)/IF(E562&gt;0,E562,1)</f>
        <v/>
      </c>
    </row>
    <row r="563">
      <c r="A563" s="22" t="inlineStr">
        <is>
          <t>AI 코드, 디코딩: AI 시대, 개발자의 연봉과 가치를 증명하는 코드 리터러시</t>
        </is>
      </c>
      <c r="B563" s="22" t="inlineStr">
        <is>
          <t>엄경률</t>
        </is>
      </c>
      <c r="C563" s="22" t="inlineStr">
        <is>
          <t>BOOKK(부크크)</t>
        </is>
      </c>
      <c r="D563" s="22" t="inlineStr">
        <is>
          <t>2025년 07월</t>
        </is>
      </c>
      <c r="E563" s="28" t="n">
        <v>28900</v>
      </c>
      <c r="F563" s="28" t="n">
        <v>28900</v>
      </c>
      <c r="G563" s="29" t="n">
        <v>0</v>
      </c>
      <c r="H563" s="29" t="n">
        <v>192</v>
      </c>
      <c r="I563" s="21" t="inlineStr">
        <is>
          <t>2025</t>
        </is>
      </c>
      <c r="J563" s="21" t="inlineStr">
        <is>
          <t xml:space="preserve"> 0</t>
        </is>
      </c>
      <c r="K563" s="30">
        <f>(E563-F563)/IF(E563&gt;0,E563,1)</f>
        <v/>
      </c>
    </row>
    <row r="564">
      <c r="A564" s="22" t="inlineStr">
        <is>
          <t>AI 에이전트와 인간 설득의 종말</t>
        </is>
      </c>
      <c r="B564" s="22" t="inlineStr">
        <is>
          <t>유경아</t>
        </is>
      </c>
      <c r="C564" s="22" t="inlineStr">
        <is>
          <t>커뮤니케이션북스</t>
        </is>
      </c>
      <c r="D564" s="22" t="inlineStr">
        <is>
          <t>2026년 04월</t>
        </is>
      </c>
      <c r="E564" s="28" t="n">
        <v>12000</v>
      </c>
      <c r="F564" s="28" t="n">
        <v>12000</v>
      </c>
      <c r="G564" s="29" t="n">
        <v>2</v>
      </c>
      <c r="H564" s="29" t="n">
        <v>186</v>
      </c>
      <c r="I564" s="21" t="inlineStr">
        <is>
          <t>2026</t>
        </is>
      </c>
      <c r="J564" s="21" t="inlineStr">
        <is>
          <t xml:space="preserve"> 0</t>
        </is>
      </c>
      <c r="K564" s="30">
        <f>(E564-F564)/IF(E564&gt;0,E564,1)</f>
        <v/>
      </c>
    </row>
    <row r="565">
      <c r="A565" s="22" t="inlineStr">
        <is>
          <t>리액트 인터뷰 가이드</t>
        </is>
      </c>
      <c r="B565" s="22" t="inlineStr">
        <is>
          <t>수디르 조나, 앤드류 바이스덴, 김용찬, 강주희</t>
        </is>
      </c>
      <c r="C565" s="22" t="inlineStr">
        <is>
          <t>위키북스</t>
        </is>
      </c>
      <c r="D565" s="22" t="inlineStr">
        <is>
          <t>2024년 08월</t>
        </is>
      </c>
      <c r="E565" s="28" t="n">
        <v>28000</v>
      </c>
      <c r="F565" s="28" t="n">
        <v>25200</v>
      </c>
      <c r="G565" s="29" t="n">
        <v>5</v>
      </c>
      <c r="H565" s="29" t="n">
        <v>150</v>
      </c>
      <c r="I565" s="21" t="inlineStr">
        <is>
          <t>2024</t>
        </is>
      </c>
      <c r="J565" s="21" t="inlineStr">
        <is>
          <t xml:space="preserve"> 0</t>
        </is>
      </c>
      <c r="K565" s="30">
        <f>(E565-F565)/IF(E565&gt;0,E565,1)</f>
        <v/>
      </c>
    </row>
    <row r="566">
      <c r="A566" s="22" t="inlineStr">
        <is>
          <t>초보로</t>
        </is>
      </c>
      <c r="B566" s="22" t="inlineStr">
        <is>
          <t>김홍순, 권현중, 김민주, 오승영, 박지숙</t>
        </is>
      </c>
      <c r="C566" s="22" t="inlineStr">
        <is>
          <t>홍릉</t>
        </is>
      </c>
      <c r="D566" s="22" t="inlineStr">
        <is>
          <t>2026년 03월</t>
        </is>
      </c>
      <c r="E566" s="28" t="n">
        <v>19000</v>
      </c>
      <c r="F566" s="28" t="n">
        <v>19000</v>
      </c>
      <c r="G566" s="29" t="n">
        <v>1</v>
      </c>
      <c r="H566" s="29" t="n">
        <v>144</v>
      </c>
      <c r="I566" s="21" t="inlineStr">
        <is>
          <t>2026</t>
        </is>
      </c>
      <c r="J566" s="21" t="inlineStr">
        <is>
          <t xml:space="preserve"> 0</t>
        </is>
      </c>
      <c r="K566" s="30">
        <f>(E566-F566)/IF(E566&gt;0,E566,1)</f>
        <v/>
      </c>
    </row>
    <row r="567">
      <c r="A567" s="22" t="inlineStr">
        <is>
          <t>데이터 그랩</t>
        </is>
      </c>
      <c r="B567" s="22" t="inlineStr">
        <is>
          <t>울리세스 알리 메히아스, 닉 콜드리, 공경희</t>
        </is>
      </c>
      <c r="C567" s="22" t="inlineStr">
        <is>
          <t>영림카디널</t>
        </is>
      </c>
      <c r="D567" s="22" t="inlineStr">
        <is>
          <t>2024년 06월</t>
        </is>
      </c>
      <c r="E567" s="28" t="n">
        <v>21000</v>
      </c>
      <c r="F567" s="28" t="n">
        <v>18900</v>
      </c>
      <c r="G567" s="29" t="n">
        <v>15</v>
      </c>
      <c r="H567" s="29" t="n">
        <v>126</v>
      </c>
      <c r="I567" s="21" t="inlineStr">
        <is>
          <t>2024</t>
        </is>
      </c>
      <c r="J567" s="21" t="inlineStr">
        <is>
          <t xml:space="preserve"> 0</t>
        </is>
      </c>
      <c r="K567" s="30">
        <f>(E567-F567)/IF(E567&gt;0,E567,1)</f>
        <v/>
      </c>
    </row>
    <row r="568">
      <c r="A568" s="22" t="inlineStr">
        <is>
          <t>테크니컬 리더</t>
        </is>
      </c>
      <c r="B568" s="22" t="inlineStr">
        <is>
          <t>제럴드 M. 와인버그</t>
        </is>
      </c>
      <c r="C568" s="22" t="inlineStr">
        <is>
          <t>인사이트(insight)</t>
        </is>
      </c>
      <c r="D568" s="22" t="inlineStr">
        <is>
          <t>2013년 01월</t>
        </is>
      </c>
      <c r="E568" s="28" t="n">
        <v>18000</v>
      </c>
      <c r="F568" s="28" t="n">
        <v>16200</v>
      </c>
      <c r="G568" s="29" t="n">
        <v>4</v>
      </c>
      <c r="H568" s="29" t="n">
        <v>156</v>
      </c>
      <c r="I568" s="21" t="inlineStr">
        <is>
          <t>2013</t>
        </is>
      </c>
      <c r="J568" s="21" t="inlineStr">
        <is>
          <t xml:space="preserve"> 0</t>
        </is>
      </c>
      <c r="K568" s="30">
        <f>(E568-F568)/IF(E568&gt;0,E568,1)</f>
        <v/>
      </c>
    </row>
    <row r="569">
      <c r="A569" s="22" t="inlineStr">
        <is>
          <t>MS 365의 모든 것</t>
        </is>
      </c>
      <c r="B569" s="22" t="inlineStr">
        <is>
          <t>이상민, 김홍순, 강현욱</t>
        </is>
      </c>
      <c r="C569" s="22" t="inlineStr">
        <is>
          <t>리더북스</t>
        </is>
      </c>
      <c r="D569" s="22" t="inlineStr">
        <is>
          <t>2025년 07월</t>
        </is>
      </c>
      <c r="E569" s="28" t="n">
        <v>18000</v>
      </c>
      <c r="F569" s="28" t="n">
        <v>16200</v>
      </c>
      <c r="G569" s="29" t="n">
        <v>8</v>
      </c>
      <c r="H569" s="29" t="n">
        <v>1962</v>
      </c>
      <c r="I569" s="21" t="inlineStr">
        <is>
          <t>2025</t>
        </is>
      </c>
      <c r="J569" s="21" t="inlineStr">
        <is>
          <t xml:space="preserve"> 0</t>
        </is>
      </c>
      <c r="K569" s="30">
        <f>(E569-F569)/IF(E569&gt;0,E569,1)</f>
        <v/>
      </c>
    </row>
    <row r="570">
      <c r="A570" s="22" t="inlineStr">
        <is>
          <t>인공지능, 언플러그드를 만나다 2</t>
        </is>
      </c>
      <c r="B570" s="22" t="inlineStr">
        <is>
          <t>홍지연</t>
        </is>
      </c>
      <c r="C570" s="22" t="inlineStr">
        <is>
          <t>영진닷컴</t>
        </is>
      </c>
      <c r="D570" s="22" t="inlineStr">
        <is>
          <t>2022년 05월</t>
        </is>
      </c>
      <c r="E570" s="28" t="n">
        <v>15000</v>
      </c>
      <c r="F570" s="28" t="n">
        <v>13500</v>
      </c>
      <c r="G570" s="29" t="n">
        <v>11</v>
      </c>
      <c r="H570" s="29" t="n">
        <v>126</v>
      </c>
      <c r="I570" s="21" t="inlineStr">
        <is>
          <t>2022</t>
        </is>
      </c>
      <c r="J570" s="21" t="inlineStr">
        <is>
          <t xml:space="preserve"> 0</t>
        </is>
      </c>
      <c r="K570" s="30">
        <f>(E570-F570)/IF(E570&gt;0,E570,1)</f>
        <v/>
      </c>
    </row>
    <row r="571">
      <c r="A571" s="22" t="inlineStr">
        <is>
          <t>AI와 의사 결정</t>
        </is>
      </c>
      <c r="B571" s="22" t="inlineStr">
        <is>
          <t>이상석</t>
        </is>
      </c>
      <c r="C571" s="22" t="inlineStr">
        <is>
          <t>커뮤니케이션북스</t>
        </is>
      </c>
      <c r="D571" s="22" t="inlineStr">
        <is>
          <t>2026년 03월</t>
        </is>
      </c>
      <c r="E571" s="28" t="n">
        <v>12000</v>
      </c>
      <c r="F571" s="28" t="n">
        <v>12000</v>
      </c>
      <c r="G571" s="29" t="n">
        <v>0</v>
      </c>
      <c r="H571" s="29" t="n">
        <v>108</v>
      </c>
      <c r="I571" s="21" t="inlineStr">
        <is>
          <t>2026</t>
        </is>
      </c>
      <c r="J571" s="21" t="inlineStr">
        <is>
          <t xml:space="preserve"> 0</t>
        </is>
      </c>
      <c r="K571" s="30">
        <f>(E571-F571)/IF(E571&gt;0,E571,1)</f>
        <v/>
      </c>
    </row>
    <row r="572">
      <c r="A572" s="22" t="inlineStr">
        <is>
          <t>AI와 과학 수업</t>
        </is>
      </c>
      <c r="B572" s="22" t="inlineStr">
        <is>
          <t>문선희, 김지연</t>
        </is>
      </c>
      <c r="C572" s="22" t="inlineStr">
        <is>
          <t>커뮤니케이션북스</t>
        </is>
      </c>
      <c r="D572" s="22" t="inlineStr">
        <is>
          <t>2025년 10월</t>
        </is>
      </c>
      <c r="E572" s="28" t="n">
        <v>12000</v>
      </c>
      <c r="F572" s="28" t="n">
        <v>12000</v>
      </c>
      <c r="G572" s="29" t="n">
        <v>0</v>
      </c>
      <c r="H572" s="29" t="n">
        <v>216</v>
      </c>
      <c r="I572" s="21" t="inlineStr">
        <is>
          <t>2025</t>
        </is>
      </c>
      <c r="J572" s="21" t="inlineStr">
        <is>
          <t xml:space="preserve"> 1</t>
        </is>
      </c>
      <c r="K572" s="30">
        <f>(E572-F572)/IF(E572&gt;0,E572,1)</f>
        <v/>
      </c>
    </row>
    <row r="573">
      <c r="A573" s="22" t="inlineStr">
        <is>
          <t>범죄와 AI</t>
        </is>
      </c>
      <c r="B573" s="22" t="inlineStr">
        <is>
          <t>정혜욱</t>
        </is>
      </c>
      <c r="C573" s="22" t="inlineStr">
        <is>
          <t>커뮤니케이션북스</t>
        </is>
      </c>
      <c r="D573" s="22" t="inlineStr">
        <is>
          <t>2024년 08월</t>
        </is>
      </c>
      <c r="E573" s="28" t="n">
        <v>12000</v>
      </c>
      <c r="F573" s="28" t="n">
        <v>12000</v>
      </c>
      <c r="G573" s="29" t="n">
        <v>0</v>
      </c>
      <c r="H573" s="29" t="n">
        <v>54</v>
      </c>
      <c r="I573" s="21" t="inlineStr">
        <is>
          <t>2024</t>
        </is>
      </c>
      <c r="J573" s="21" t="inlineStr">
        <is>
          <t xml:space="preserve"> 0</t>
        </is>
      </c>
      <c r="K573" s="30">
        <f>(E573-F573)/IF(E573&gt;0,E573,1)</f>
        <v/>
      </c>
    </row>
    <row r="574">
      <c r="A574" s="22" t="inlineStr">
        <is>
          <t>할 수 있다! 구글 크롬 기초&amp;활용 with AI</t>
        </is>
      </c>
      <c r="B574" s="22" t="inlineStr">
        <is>
          <t>IT교재연구팀</t>
        </is>
      </c>
      <c r="C574" s="22" t="inlineStr">
        <is>
          <t>시대인</t>
        </is>
      </c>
      <c r="D574" s="22" t="inlineStr">
        <is>
          <t>2026년 04월</t>
        </is>
      </c>
      <c r="E574" s="28" t="n">
        <v>12000</v>
      </c>
      <c r="F574" s="28" t="n">
        <v>10800</v>
      </c>
      <c r="G574" s="29" t="n">
        <v>9</v>
      </c>
      <c r="H574" s="29" t="n">
        <v>114</v>
      </c>
      <c r="I574" s="21" t="inlineStr">
        <is>
          <t>2026</t>
        </is>
      </c>
      <c r="J574" s="21" t="inlineStr">
        <is>
          <t xml:space="preserve"> 0</t>
        </is>
      </c>
      <c r="K574" s="30">
        <f>(E574-F574)/IF(E574&gt;0,E574,1)</f>
        <v/>
      </c>
    </row>
    <row r="575">
      <c r="A575" s="22" t="inlineStr">
        <is>
          <t>AI와 함께 살기 (큰글자도서)</t>
        </is>
      </c>
      <c r="B575" s="22" t="inlineStr">
        <is>
          <t>박영순, 이운성</t>
        </is>
      </c>
      <c r="C575" s="22" t="inlineStr">
        <is>
          <t>살림출판사</t>
        </is>
      </c>
      <c r="D575" s="22" t="inlineStr">
        <is>
          <t>2026년 03월</t>
        </is>
      </c>
      <c r="E575" s="28" t="n">
        <v>20000</v>
      </c>
      <c r="F575" s="28" t="n">
        <v>20000</v>
      </c>
      <c r="G575" s="29" t="n">
        <v>0</v>
      </c>
      <c r="H575" s="29" t="n">
        <v>114</v>
      </c>
      <c r="I575" s="21" t="inlineStr">
        <is>
          <t>2026</t>
        </is>
      </c>
      <c r="J575" s="21" t="inlineStr">
        <is>
          <t xml:space="preserve"> 0</t>
        </is>
      </c>
      <c r="K575" s="30">
        <f>(E575-F575)/IF(E575&gt;0,E575,1)</f>
        <v/>
      </c>
    </row>
    <row r="576">
      <c r="A576" s="22" t="inlineStr">
        <is>
          <t>AI와 부동산 복지</t>
        </is>
      </c>
      <c r="B576" s="22" t="inlineStr">
        <is>
          <t>김민근, 박성식, 백두진</t>
        </is>
      </c>
      <c r="C576" s="22" t="inlineStr">
        <is>
          <t>커뮤니케이션북스</t>
        </is>
      </c>
      <c r="D576" s="22" t="inlineStr">
        <is>
          <t>2026년 03월</t>
        </is>
      </c>
      <c r="E576" s="28" t="n">
        <v>12000</v>
      </c>
      <c r="F576" s="28" t="n">
        <v>12000</v>
      </c>
      <c r="G576" s="29" t="n">
        <v>0</v>
      </c>
      <c r="H576" s="29" t="n">
        <v>126</v>
      </c>
      <c r="I576" s="21" t="inlineStr">
        <is>
          <t>2026</t>
        </is>
      </c>
      <c r="J576" s="21" t="inlineStr">
        <is>
          <t xml:space="preserve"> 0</t>
        </is>
      </c>
      <c r="K576" s="30">
        <f>(E576-F576)/IF(E576&gt;0,E576,1)</f>
        <v/>
      </c>
    </row>
    <row r="577">
      <c r="A577" s="22" t="inlineStr">
        <is>
          <t>AI 시대, 개발자는 어떻게 진화하는가</t>
        </is>
      </c>
      <c r="B577" s="22" t="inlineStr">
        <is>
          <t>금창섭</t>
        </is>
      </c>
      <c r="C577" s="22" t="inlineStr">
        <is>
          <t>좋은땅</t>
        </is>
      </c>
      <c r="D577" s="22" t="inlineStr">
        <is>
          <t>2026년 02월</t>
        </is>
      </c>
      <c r="E577" s="28" t="n">
        <v>18000</v>
      </c>
      <c r="F577" s="28" t="n">
        <v>16200</v>
      </c>
      <c r="G577" s="29" t="n">
        <v>0</v>
      </c>
      <c r="H577" s="29" t="n">
        <v>114</v>
      </c>
      <c r="I577" s="21" t="inlineStr">
        <is>
          <t>2026</t>
        </is>
      </c>
      <c r="J577" s="21" t="inlineStr">
        <is>
          <t xml:space="preserve"> 0</t>
        </is>
      </c>
      <c r="K577" s="30">
        <f>(E577-F577)/IF(E577&gt;0,E577,1)</f>
        <v/>
      </c>
    </row>
    <row r="578">
      <c r="A578" s="22" t="inlineStr">
        <is>
          <t>AI DEEP RESEARCH 완전 정복</t>
        </is>
      </c>
      <c r="B578" s="22" t="inlineStr">
        <is>
          <t>최흥식</t>
        </is>
      </c>
      <c r="C578" s="22" t="inlineStr">
        <is>
          <t>BOOKK(부크크)</t>
        </is>
      </c>
      <c r="D578" s="22" t="inlineStr">
        <is>
          <t>2025년 04월</t>
        </is>
      </c>
      <c r="E578" s="28" t="n">
        <v>15700</v>
      </c>
      <c r="F578" s="28" t="n">
        <v>15700</v>
      </c>
      <c r="G578" s="29" t="n">
        <v>0</v>
      </c>
      <c r="H578" s="29" t="n">
        <v>102</v>
      </c>
      <c r="I578" s="21" t="inlineStr">
        <is>
          <t>2025</t>
        </is>
      </c>
      <c r="J578" s="21" t="inlineStr">
        <is>
          <t xml:space="preserve"> 0</t>
        </is>
      </c>
      <c r="K578" s="30">
        <f>(E578-F578)/IF(E578&gt;0,E578,1)</f>
        <v/>
      </c>
    </row>
    <row r="579">
      <c r="A579" s="22" t="inlineStr">
        <is>
          <t>AI 대전환 시대, 나는 리더</t>
        </is>
      </c>
      <c r="B579" s="22" t="inlineStr">
        <is>
          <t>김기진, 황교석, 이재실, 최규철, 김택수, 정보 더 보기/감추기, 김기진, 황교석, 이재실, 최규철, 김택수, 마은경, 이소민, 채명석, 김대경, 최준오</t>
        </is>
      </c>
      <c r="C579" s="22" t="inlineStr">
        <is>
          <t>에릭스토리</t>
        </is>
      </c>
      <c r="D579" s="22" t="inlineStr">
        <is>
          <t>2025년 04월</t>
        </is>
      </c>
      <c r="E579" s="28" t="n">
        <v>17000</v>
      </c>
      <c r="F579" s="28" t="n">
        <v>15300</v>
      </c>
      <c r="G579" s="29" t="n">
        <v>0</v>
      </c>
      <c r="H579" s="29" t="n">
        <v>90</v>
      </c>
      <c r="I579" s="21" t="inlineStr">
        <is>
          <t>2025</t>
        </is>
      </c>
      <c r="J579" s="21" t="inlineStr">
        <is>
          <t xml:space="preserve"> 0</t>
        </is>
      </c>
      <c r="K579" s="30">
        <f>(E579-F579)/IF(E579&gt;0,E579,1)</f>
        <v/>
      </c>
    </row>
    <row r="580">
      <c r="A580" s="22" t="inlineStr">
        <is>
          <t>AI와 미디어 윤리</t>
        </is>
      </c>
      <c r="B580" s="22" t="inlineStr">
        <is>
          <t>박선미</t>
        </is>
      </c>
      <c r="C580" s="22" t="inlineStr">
        <is>
          <t>커뮤니케이션북스</t>
        </is>
      </c>
      <c r="D580" s="22" t="inlineStr">
        <is>
          <t>2025년 04월</t>
        </is>
      </c>
      <c r="E580" s="28" t="n">
        <v>12000</v>
      </c>
      <c r="F580" s="28" t="n">
        <v>12000</v>
      </c>
      <c r="G580" s="29" t="n">
        <v>0</v>
      </c>
      <c r="H580" s="29" t="n">
        <v>108</v>
      </c>
      <c r="I580" s="21" t="inlineStr">
        <is>
          <t>2025</t>
        </is>
      </c>
      <c r="J580" s="21" t="inlineStr">
        <is>
          <t xml:space="preserve"> 0</t>
        </is>
      </c>
      <c r="K580" s="30">
        <f>(E580-F580)/IF(E580&gt;0,E580,1)</f>
        <v/>
      </c>
    </row>
    <row r="581">
      <c r="A581" s="22" t="inlineStr">
        <is>
          <t>AI와 인권</t>
        </is>
      </c>
      <c r="B581" s="22" t="inlineStr">
        <is>
          <t>송시섭</t>
        </is>
      </c>
      <c r="C581" s="22" t="inlineStr">
        <is>
          <t>커뮤니케이션북스</t>
        </is>
      </c>
      <c r="D581" s="22" t="inlineStr">
        <is>
          <t>2025년 07월</t>
        </is>
      </c>
      <c r="E581" s="28" t="n">
        <v>12000</v>
      </c>
      <c r="F581" s="28" t="n">
        <v>12000</v>
      </c>
      <c r="G581" s="29" t="n">
        <v>0</v>
      </c>
      <c r="H581" s="29" t="n">
        <v>48</v>
      </c>
      <c r="I581" s="21" t="inlineStr">
        <is>
          <t>2025</t>
        </is>
      </c>
      <c r="J581" s="21" t="inlineStr">
        <is>
          <t xml:space="preserve"> 0</t>
        </is>
      </c>
      <c r="K581" s="30">
        <f>(E581-F581)/IF(E581&gt;0,E581,1)</f>
        <v/>
      </c>
    </row>
    <row r="582">
      <c r="A582" s="22" t="inlineStr">
        <is>
          <t>한국 게임의 역사</t>
        </is>
      </c>
      <c r="B582" s="22" t="inlineStr">
        <is>
          <t>윤형섭, 강지웅, 박수영, 오영욱, 전홍식, 조기현</t>
        </is>
      </c>
      <c r="C582" s="22" t="inlineStr">
        <is>
          <t>북코리아(Bookorea)</t>
        </is>
      </c>
      <c r="D582" s="22" t="inlineStr">
        <is>
          <t>2012년 12월</t>
        </is>
      </c>
      <c r="E582" s="28" t="n">
        <v>19000</v>
      </c>
      <c r="F582" s="28" t="n">
        <v>18050</v>
      </c>
      <c r="G582" s="29" t="n">
        <v>2</v>
      </c>
      <c r="H582" s="29" t="n">
        <v>90</v>
      </c>
      <c r="I582" s="21" t="inlineStr">
        <is>
          <t>2012</t>
        </is>
      </c>
      <c r="J582" s="21" t="inlineStr">
        <is>
          <t xml:space="preserve"> 1</t>
        </is>
      </c>
      <c r="K582" s="30">
        <f>(E582-F582)/IF(E582&gt;0,E582,1)</f>
        <v/>
      </c>
    </row>
    <row r="583">
      <c r="A583" s="22" t="inlineStr">
        <is>
          <t>AI와 대화의 기술 : AI 시대를 지배하는 소통의 연금술</t>
        </is>
      </c>
      <c r="B583" s="22" t="inlineStr">
        <is>
          <t>엄경률</t>
        </is>
      </c>
      <c r="C583" s="22" t="inlineStr">
        <is>
          <t>BOOKK(부크크)</t>
        </is>
      </c>
      <c r="D583" s="22" t="inlineStr">
        <is>
          <t>2025년 08월</t>
        </is>
      </c>
      <c r="E583" s="28" t="n">
        <v>18400</v>
      </c>
      <c r="F583" s="28" t="n">
        <v>18400</v>
      </c>
      <c r="G583" s="29" t="n">
        <v>0</v>
      </c>
      <c r="H583" s="29" t="n">
        <v>132</v>
      </c>
      <c r="I583" s="21" t="inlineStr">
        <is>
          <t>2025</t>
        </is>
      </c>
      <c r="J583" s="21" t="inlineStr">
        <is>
          <t xml:space="preserve"> 0</t>
        </is>
      </c>
      <c r="K583" s="30">
        <f>(E583-F583)/IF(E583&gt;0,E583,1)</f>
        <v/>
      </c>
    </row>
    <row r="584">
      <c r="A584" s="22" t="inlineStr">
        <is>
          <t>AI 시대, 마크다운이라는 교양</t>
        </is>
      </c>
      <c r="B584" s="22" t="inlineStr">
        <is>
          <t>김준</t>
        </is>
      </c>
      <c r="C584" s="22" t="inlineStr">
        <is>
          <t>콩콩 컴퍼니</t>
        </is>
      </c>
      <c r="D584" s="22" t="inlineStr">
        <is>
          <t>2026년 01월</t>
        </is>
      </c>
      <c r="E584" s="28" t="n">
        <v>21000</v>
      </c>
      <c r="F584" s="28" t="n">
        <v>21000</v>
      </c>
      <c r="G584" s="29" t="n">
        <v>0</v>
      </c>
      <c r="H584" s="29" t="n">
        <v>192</v>
      </c>
      <c r="I584" s="21" t="inlineStr">
        <is>
          <t>2026</t>
        </is>
      </c>
      <c r="J584" s="21" t="inlineStr">
        <is>
          <t xml:space="preserve"> 0</t>
        </is>
      </c>
      <c r="K584" s="30">
        <f>(E584-F584)/IF(E584&gt;0,E584,1)</f>
        <v/>
      </c>
    </row>
    <row r="585">
      <c r="A585" s="22" t="inlineStr">
        <is>
          <t>AI와 마케팅 커뮤니케이션</t>
        </is>
      </c>
      <c r="B585" s="22" t="inlineStr">
        <is>
          <t>송유진</t>
        </is>
      </c>
      <c r="C585" s="22" t="inlineStr">
        <is>
          <t>커뮤니케이션북스</t>
        </is>
      </c>
      <c r="D585" s="22" t="inlineStr">
        <is>
          <t>2025년 07월</t>
        </is>
      </c>
      <c r="E585" s="28" t="n">
        <v>12000</v>
      </c>
      <c r="F585" s="28" t="n">
        <v>12000</v>
      </c>
      <c r="G585" s="29" t="n">
        <v>0</v>
      </c>
      <c r="H585" s="29" t="n">
        <v>96</v>
      </c>
      <c r="I585" s="21" t="inlineStr">
        <is>
          <t>2025</t>
        </is>
      </c>
      <c r="J585" s="21" t="inlineStr">
        <is>
          <t xml:space="preserve"> 0</t>
        </is>
      </c>
      <c r="K585" s="30">
        <f>(E585-F585)/IF(E585&gt;0,E585,1)</f>
        <v/>
      </c>
    </row>
    <row r="586">
      <c r="A586" s="22" t="inlineStr">
        <is>
          <t>파이썬 라이브러리를 활용한 텍스트 분석</t>
        </is>
      </c>
      <c r="B586" s="22" t="inlineStr">
        <is>
          <t>젠스 알브레히트, 싯다르트 라마찬드란, 크리스티안 윙클러, 심상진</t>
        </is>
      </c>
      <c r="C586" s="22" t="inlineStr">
        <is>
          <t>한빛미디어</t>
        </is>
      </c>
      <c r="D586" s="22" t="inlineStr">
        <is>
          <t>2022년 10월</t>
        </is>
      </c>
      <c r="E586" s="28" t="n">
        <v>35000</v>
      </c>
      <c r="F586" s="28" t="n">
        <v>31500</v>
      </c>
      <c r="G586" s="29" t="n">
        <v>37</v>
      </c>
      <c r="H586" s="29" t="n">
        <v>120</v>
      </c>
      <c r="I586" s="21" t="inlineStr">
        <is>
          <t>2022</t>
        </is>
      </c>
      <c r="J586" s="21" t="inlineStr">
        <is>
          <t xml:space="preserve"> 1</t>
        </is>
      </c>
      <c r="K586" s="30">
        <f>(E586-F586)/IF(E586&gt;0,E586,1)</f>
        <v/>
      </c>
    </row>
    <row r="587">
      <c r="A587" s="22" t="inlineStr">
        <is>
          <t>파이썬 데이터 과학 통계 학습</t>
        </is>
      </c>
      <c r="B587" s="22" t="inlineStr">
        <is>
          <t>황보현우, 정지현</t>
        </is>
      </c>
      <c r="C587" s="22" t="inlineStr">
        <is>
          <t>정보문화사</t>
        </is>
      </c>
      <c r="D587" s="22" t="inlineStr">
        <is>
          <t>2021년 05월</t>
        </is>
      </c>
      <c r="E587" s="28" t="n">
        <v>29000</v>
      </c>
      <c r="F587" s="28" t="n">
        <v>26100</v>
      </c>
      <c r="G587" s="29" t="n">
        <v>22</v>
      </c>
      <c r="H587" s="29" t="n">
        <v>114</v>
      </c>
      <c r="I587" s="21" t="inlineStr">
        <is>
          <t>2021</t>
        </is>
      </c>
      <c r="J587" s="21" t="inlineStr">
        <is>
          <t xml:space="preserve"> 0</t>
        </is>
      </c>
      <c r="K587" s="30">
        <f>(E587-F587)/IF(E587&gt;0,E587,1)</f>
        <v/>
      </c>
    </row>
    <row r="588">
      <c r="A588" s="22" t="inlineStr">
        <is>
          <t>AI 시대의 업무 자동화</t>
        </is>
      </c>
      <c r="B588" s="22" t="inlineStr">
        <is>
          <t>임세원</t>
        </is>
      </c>
      <c r="C588" s="22" t="inlineStr">
        <is>
          <t>열린인공지능</t>
        </is>
      </c>
      <c r="D588" s="22" t="inlineStr">
        <is>
          <t>2023년 04월</t>
        </is>
      </c>
      <c r="E588" s="28" t="n">
        <v>13000</v>
      </c>
      <c r="F588" s="28" t="n">
        <v>13000</v>
      </c>
      <c r="G588" s="29" t="n">
        <v>0</v>
      </c>
      <c r="H588" s="29" t="n">
        <v>102</v>
      </c>
      <c r="I588" s="21" t="inlineStr">
        <is>
          <t>2023</t>
        </is>
      </c>
      <c r="J588" s="21" t="inlineStr">
        <is>
          <t xml:space="preserve"> 0</t>
        </is>
      </c>
      <c r="K588" s="30">
        <f>(E588-F588)/IF(E588&gt;0,E588,1)</f>
        <v/>
      </c>
    </row>
    <row r="589">
      <c r="A589" s="22" t="inlineStr">
        <is>
          <t>AI와 임신·출산·양육</t>
        </is>
      </c>
      <c r="B589" s="22" t="inlineStr">
        <is>
          <t>김헌식</t>
        </is>
      </c>
      <c r="C589" s="22" t="inlineStr">
        <is>
          <t>커뮤니케이션북스</t>
        </is>
      </c>
      <c r="D589" s="22" t="inlineStr">
        <is>
          <t>2026년 04월</t>
        </is>
      </c>
      <c r="E589" s="28" t="n">
        <v>12000</v>
      </c>
      <c r="F589" s="28" t="n">
        <v>12000</v>
      </c>
      <c r="G589" s="29" t="n">
        <v>0</v>
      </c>
      <c r="H589" s="29" t="n">
        <v>72</v>
      </c>
      <c r="I589" s="21" t="inlineStr">
        <is>
          <t>2026</t>
        </is>
      </c>
      <c r="J589" s="21" t="inlineStr">
        <is>
          <t xml:space="preserve"> 0</t>
        </is>
      </c>
      <c r="K589" s="30">
        <f>(E589-F589)/IF(E589&gt;0,E589,1)</f>
        <v/>
      </c>
    </row>
    <row r="590">
      <c r="A590" s="22" t="inlineStr">
        <is>
          <t>신세틱 서베이: AI 서베이</t>
        </is>
      </c>
      <c r="B590" s="22" t="inlineStr">
        <is>
          <t>오승호</t>
        </is>
      </c>
      <c r="C590" s="22" t="inlineStr">
        <is>
          <t>커뮤니케이션북스</t>
        </is>
      </c>
      <c r="D590" s="22" t="inlineStr">
        <is>
          <t>2026년 04월</t>
        </is>
      </c>
      <c r="E590" s="28" t="n">
        <v>12000</v>
      </c>
      <c r="F590" s="28" t="n">
        <v>12000</v>
      </c>
      <c r="G590" s="29" t="n">
        <v>0</v>
      </c>
      <c r="H590" s="29" t="n">
        <v>60</v>
      </c>
      <c r="I590" s="21" t="inlineStr">
        <is>
          <t>2026</t>
        </is>
      </c>
      <c r="J590" s="21" t="inlineStr">
        <is>
          <t xml:space="preserve"> 0</t>
        </is>
      </c>
      <c r="K590" s="30">
        <f>(E590-F590)/IF(E590&gt;0,E590,1)</f>
        <v/>
      </c>
    </row>
    <row r="591">
      <c r="A591" s="22" t="inlineStr">
        <is>
          <t>스마트폰으로 배우는 챗GPT &amp; 생성형 AI</t>
        </is>
      </c>
      <c r="B591" s="22" t="inlineStr">
        <is>
          <t>안은진</t>
        </is>
      </c>
      <c r="C591" s="22" t="inlineStr">
        <is>
          <t>아티오</t>
        </is>
      </c>
      <c r="D591" s="22" t="inlineStr">
        <is>
          <t>2026년 06월</t>
        </is>
      </c>
      <c r="E591" s="28" t="n">
        <v>15000</v>
      </c>
      <c r="F591" s="28" t="n">
        <v>13500</v>
      </c>
      <c r="G591" s="29" t="n">
        <v>0</v>
      </c>
      <c r="H591" s="29" t="n">
        <v>60</v>
      </c>
      <c r="I591" s="21" t="inlineStr">
        <is>
          <t>2026</t>
        </is>
      </c>
      <c r="J591" s="21" t="inlineStr">
        <is>
          <t xml:space="preserve"> 0</t>
        </is>
      </c>
      <c r="K591" s="30">
        <f>(E591-F591)/IF(E591&gt;0,E591,1)</f>
        <v/>
      </c>
    </row>
    <row r="592">
      <c r="A592" s="22" t="inlineStr">
        <is>
          <t>LLM 활용과 국방</t>
        </is>
      </c>
      <c r="B592" s="22" t="inlineStr">
        <is>
          <t>이성호, 이소울, 유희철, 박상수, 김우현</t>
        </is>
      </c>
      <c r="C592" s="22" t="inlineStr">
        <is>
          <t>커뮤니케이션북스</t>
        </is>
      </c>
      <c r="D592" s="22" t="inlineStr">
        <is>
          <t>2026년 04월</t>
        </is>
      </c>
      <c r="E592" s="28" t="n">
        <v>12000</v>
      </c>
      <c r="F592" s="28" t="n">
        <v>12000</v>
      </c>
      <c r="G592" s="29" t="n">
        <v>0</v>
      </c>
      <c r="H592" s="29" t="n">
        <v>60</v>
      </c>
      <c r="I592" s="21" t="inlineStr">
        <is>
          <t>2026</t>
        </is>
      </c>
      <c r="J592" s="21" t="inlineStr">
        <is>
          <t xml:space="preserve"> 0</t>
        </is>
      </c>
      <c r="K592" s="30">
        <f>(E592-F592)/IF(E592&gt;0,E592,1)</f>
        <v/>
      </c>
    </row>
    <row r="593">
      <c r="A593" s="22" t="inlineStr">
        <is>
          <t>AI와 군자론</t>
        </is>
      </c>
      <c r="B593" s="22" t="inlineStr">
        <is>
          <t>이승형</t>
        </is>
      </c>
      <c r="C593" s="22" t="inlineStr">
        <is>
          <t>커뮤니케이션북스</t>
        </is>
      </c>
      <c r="D593" s="22" t="inlineStr">
        <is>
          <t>2026년 04월</t>
        </is>
      </c>
      <c r="E593" s="28" t="n">
        <v>12000</v>
      </c>
      <c r="F593" s="28" t="n">
        <v>12000</v>
      </c>
      <c r="G593" s="29" t="n">
        <v>0</v>
      </c>
      <c r="H593" s="29" t="n">
        <v>84</v>
      </c>
      <c r="I593" s="21" t="inlineStr">
        <is>
          <t>2026</t>
        </is>
      </c>
      <c r="J593" s="21" t="inlineStr">
        <is>
          <t xml:space="preserve"> 0</t>
        </is>
      </c>
      <c r="K593" s="30">
        <f>(E593-F593)/IF(E593&gt;0,E593,1)</f>
        <v/>
      </c>
    </row>
    <row r="594">
      <c r="A594" s="22" t="inlineStr">
        <is>
          <t>AGI 시대의 가추적 사유</t>
        </is>
      </c>
      <c r="B594" s="22" t="inlineStr">
        <is>
          <t>서준호</t>
        </is>
      </c>
      <c r="C594" s="22" t="inlineStr">
        <is>
          <t>커뮤니케이션북스</t>
        </is>
      </c>
      <c r="D594" s="22" t="inlineStr">
        <is>
          <t>2026년 04월</t>
        </is>
      </c>
      <c r="E594" s="28" t="n">
        <v>12000</v>
      </c>
      <c r="F594" s="28" t="n">
        <v>12000</v>
      </c>
      <c r="G594" s="29" t="n">
        <v>0</v>
      </c>
      <c r="H594" s="29" t="n">
        <v>90</v>
      </c>
      <c r="I594" s="21" t="inlineStr">
        <is>
          <t>2026</t>
        </is>
      </c>
      <c r="J594" s="21" t="inlineStr">
        <is>
          <t xml:space="preserve"> 0</t>
        </is>
      </c>
      <c r="K594" s="30">
        <f>(E594-F594)/IF(E594&gt;0,E594,1)</f>
        <v/>
      </c>
    </row>
    <row r="595">
      <c r="A595" s="22" t="inlineStr">
        <is>
          <t>AGI와 SAI: 차세대 인공지능의 진화</t>
        </is>
      </c>
      <c r="B595" s="22" t="inlineStr">
        <is>
          <t>이정헌</t>
        </is>
      </c>
      <c r="C595" s="22" t="inlineStr">
        <is>
          <t>커뮤니케이션북스</t>
        </is>
      </c>
      <c r="D595" s="22" t="inlineStr">
        <is>
          <t>2026년 04월</t>
        </is>
      </c>
      <c r="E595" s="28" t="n">
        <v>12000</v>
      </c>
      <c r="F595" s="28" t="n">
        <v>12000</v>
      </c>
      <c r="G595" s="29" t="n">
        <v>0</v>
      </c>
      <c r="H595" s="29" t="n">
        <v>60</v>
      </c>
      <c r="I595" s="21" t="inlineStr">
        <is>
          <t>2026</t>
        </is>
      </c>
      <c r="J595" s="21" t="inlineStr">
        <is>
          <t xml:space="preserve"> 0</t>
        </is>
      </c>
      <c r="K595" s="30">
        <f>(E595-F595)/IF(E595&gt;0,E595,1)</f>
        <v/>
      </c>
    </row>
    <row r="596">
      <c r="A596" s="22" t="inlineStr">
        <is>
          <t>제조업 AI 내재화와 기술 경영</t>
        </is>
      </c>
      <c r="B596" s="22" t="inlineStr">
        <is>
          <t>손승진</t>
        </is>
      </c>
      <c r="C596" s="22" t="inlineStr">
        <is>
          <t>커뮤니케이션북스</t>
        </is>
      </c>
      <c r="D596" s="22" t="inlineStr">
        <is>
          <t>2026년 04월</t>
        </is>
      </c>
      <c r="E596" s="28" t="n">
        <v>12000</v>
      </c>
      <c r="F596" s="28" t="n">
        <v>12000</v>
      </c>
      <c r="G596" s="29" t="n">
        <v>0</v>
      </c>
      <c r="H596" s="29" t="n">
        <v>72</v>
      </c>
      <c r="I596" s="21" t="inlineStr">
        <is>
          <t>2026</t>
        </is>
      </c>
      <c r="J596" s="21" t="inlineStr">
        <is>
          <t xml:space="preserve"> 0</t>
        </is>
      </c>
      <c r="K596" s="30">
        <f>(E596-F596)/IF(E596&gt;0,E596,1)</f>
        <v/>
      </c>
    </row>
    <row r="597">
      <c r="A597" s="22" t="inlineStr">
        <is>
          <t>AI 활용 부동산 게놈 지도</t>
        </is>
      </c>
      <c r="B597" s="22" t="inlineStr">
        <is>
          <t>강요명, 강현주, 박성현, 이승현, 서정렬</t>
        </is>
      </c>
      <c r="C597" s="22" t="inlineStr">
        <is>
          <t>커뮤니케이션북스</t>
        </is>
      </c>
      <c r="D597" s="22" t="inlineStr">
        <is>
          <t>2026년 04월</t>
        </is>
      </c>
      <c r="E597" s="28" t="n">
        <v>12000</v>
      </c>
      <c r="F597" s="28" t="n">
        <v>12000</v>
      </c>
      <c r="G597" s="29" t="n">
        <v>0</v>
      </c>
      <c r="H597" s="29" t="n">
        <v>72</v>
      </c>
      <c r="I597" s="21" t="inlineStr">
        <is>
          <t>2026</t>
        </is>
      </c>
      <c r="J597" s="21" t="inlineStr">
        <is>
          <t xml:space="preserve"> 0</t>
        </is>
      </c>
      <c r="K597" s="30">
        <f>(E597-F597)/IF(E597&gt;0,E597,1)</f>
        <v/>
      </c>
    </row>
    <row r="598">
      <c r="A598" s="22" t="inlineStr">
        <is>
          <t>AI와 미세먼지</t>
        </is>
      </c>
      <c r="B598" s="22" t="inlineStr">
        <is>
          <t>이준호</t>
        </is>
      </c>
      <c r="C598" s="22" t="inlineStr">
        <is>
          <t>커뮤니케이션북스</t>
        </is>
      </c>
      <c r="D598" s="22" t="inlineStr">
        <is>
          <t>2026년 04월</t>
        </is>
      </c>
      <c r="E598" s="28" t="n">
        <v>12000</v>
      </c>
      <c r="F598" s="28" t="n">
        <v>12000</v>
      </c>
      <c r="G598" s="29" t="n">
        <v>0</v>
      </c>
      <c r="H598" s="29" t="n">
        <v>72</v>
      </c>
      <c r="I598" s="21" t="inlineStr">
        <is>
          <t>2026</t>
        </is>
      </c>
      <c r="J598" s="21" t="inlineStr">
        <is>
          <t xml:space="preserve"> 0</t>
        </is>
      </c>
      <c r="K598" s="30">
        <f>(E598-F598)/IF(E598&gt;0,E598,1)</f>
        <v/>
      </c>
    </row>
    <row r="599">
      <c r="A599" s="22" t="inlineStr">
        <is>
          <t>AI와 112 상황실</t>
        </is>
      </c>
      <c r="B599" s="22" t="inlineStr">
        <is>
          <t>황정용</t>
        </is>
      </c>
      <c r="C599" s="22" t="inlineStr">
        <is>
          <t>커뮤니케이션북스</t>
        </is>
      </c>
      <c r="D599" s="22" t="inlineStr">
        <is>
          <t>2026년 04월</t>
        </is>
      </c>
      <c r="E599" s="28" t="n">
        <v>12000</v>
      </c>
      <c r="F599" s="28" t="n">
        <v>12000</v>
      </c>
      <c r="G599" s="29" t="n">
        <v>0</v>
      </c>
      <c r="H599" s="29" t="n">
        <v>72</v>
      </c>
      <c r="I599" s="21" t="inlineStr">
        <is>
          <t>2026</t>
        </is>
      </c>
      <c r="J599" s="21" t="inlineStr">
        <is>
          <t xml:space="preserve"> 0</t>
        </is>
      </c>
      <c r="K599" s="30">
        <f>(E599-F599)/IF(E599&gt;0,E599,1)</f>
        <v/>
      </c>
    </row>
    <row r="600">
      <c r="A600" s="22" t="inlineStr">
        <is>
          <t>AI와 영화 감독</t>
        </is>
      </c>
      <c r="B600" s="22" t="inlineStr">
        <is>
          <t>박인수</t>
        </is>
      </c>
      <c r="C600" s="22" t="inlineStr">
        <is>
          <t>커뮤니케이션북스</t>
        </is>
      </c>
      <c r="D600" s="22" t="inlineStr">
        <is>
          <t>2026년 04월</t>
        </is>
      </c>
      <c r="E600" s="28" t="n">
        <v>12000</v>
      </c>
      <c r="F600" s="28" t="n">
        <v>12000</v>
      </c>
      <c r="G600" s="29" t="n">
        <v>0</v>
      </c>
      <c r="H600" s="29" t="n">
        <v>102</v>
      </c>
      <c r="I600" s="21" t="inlineStr">
        <is>
          <t>2026</t>
        </is>
      </c>
      <c r="J600" s="21" t="inlineStr">
        <is>
          <t xml:space="preserve"> 0</t>
        </is>
      </c>
      <c r="K600" s="30">
        <f>(E600-F600)/IF(E600&gt;0,E600,1)</f>
        <v/>
      </c>
    </row>
    <row r="601">
      <c r="A601" s="22" t="inlineStr">
        <is>
          <t>AI와 리듬 그루브</t>
        </is>
      </c>
      <c r="B601" s="22" t="inlineStr">
        <is>
          <t>박한솔</t>
        </is>
      </c>
      <c r="C601" s="22" t="inlineStr">
        <is>
          <t>커뮤니케이션북스</t>
        </is>
      </c>
      <c r="D601" s="22" t="inlineStr">
        <is>
          <t>2026년 03월</t>
        </is>
      </c>
      <c r="E601" s="28" t="n">
        <v>12000</v>
      </c>
      <c r="F601" s="28" t="n">
        <v>12000</v>
      </c>
      <c r="G601" s="29" t="n">
        <v>0</v>
      </c>
      <c r="H601" s="29" t="n">
        <v>72</v>
      </c>
      <c r="I601" s="21" t="inlineStr">
        <is>
          <t>2026</t>
        </is>
      </c>
      <c r="J601" s="21" t="inlineStr">
        <is>
          <t xml:space="preserve"> 0</t>
        </is>
      </c>
      <c r="K601" s="30">
        <f>(E601-F601)/IF(E601&gt;0,E601,1)</f>
        <v/>
      </c>
    </row>
    <row r="602">
      <c r="A602" s="22" t="inlineStr">
        <is>
          <t>누가 인공지능을 두려워하나?</t>
        </is>
      </c>
      <c r="B602" s="22" t="inlineStr">
        <is>
          <t>토마스 람게, 이수영, 한종혜</t>
        </is>
      </c>
      <c r="C602" s="22" t="inlineStr">
        <is>
          <t>다섯수레</t>
        </is>
      </c>
      <c r="D602" s="22" t="inlineStr">
        <is>
          <t>2021년 01월</t>
        </is>
      </c>
      <c r="E602" s="28" t="n">
        <v>14000</v>
      </c>
      <c r="F602" s="28" t="n">
        <v>12600</v>
      </c>
      <c r="G602" s="29" t="n">
        <v>11</v>
      </c>
      <c r="H602" s="29" t="n">
        <v>72</v>
      </c>
      <c r="I602" s="21" t="inlineStr">
        <is>
          <t>2021</t>
        </is>
      </c>
      <c r="J602" s="21" t="inlineStr">
        <is>
          <t xml:space="preserve"> 0</t>
        </is>
      </c>
      <c r="K602" s="30">
        <f>(E602-F602)/IF(E602&gt;0,E602,1)</f>
        <v/>
      </c>
    </row>
    <row r="603">
      <c r="A603" s="22" t="inlineStr">
        <is>
          <t>인공지능을 만드는 법</t>
        </is>
      </c>
      <c r="B603" s="22" t="inlineStr">
        <is>
          <t>미야케 요이치로, 이도희</t>
        </is>
      </c>
      <c r="C603" s="22" t="inlineStr">
        <is>
          <t>성안당</t>
        </is>
      </c>
      <c r="D603" s="22" t="inlineStr">
        <is>
          <t>2017년 10월</t>
        </is>
      </c>
      <c r="E603" s="28" t="n">
        <v>25000</v>
      </c>
      <c r="F603" s="28" t="n">
        <v>22500</v>
      </c>
      <c r="G603" s="29" t="n">
        <v>3</v>
      </c>
      <c r="H603" s="29" t="n">
        <v>72</v>
      </c>
      <c r="I603" s="21" t="inlineStr">
        <is>
          <t>2017</t>
        </is>
      </c>
      <c r="J603" s="21" t="inlineStr">
        <is>
          <t xml:space="preserve"> 1</t>
        </is>
      </c>
      <c r="K603" s="30">
        <f>(E603-F603)/IF(E603&gt;0,E603,1)</f>
        <v/>
      </c>
    </row>
    <row r="604">
      <c r="A604" s="22" t="inlineStr">
        <is>
          <t>머신러닝 시스템 디자인 패턴</t>
        </is>
      </c>
      <c r="B604" s="22" t="inlineStr">
        <is>
          <t>시부이 유우스케, 하승민</t>
        </is>
      </c>
      <c r="C604" s="22" t="inlineStr">
        <is>
          <t>위키북스</t>
        </is>
      </c>
      <c r="D604" s="22" t="inlineStr">
        <is>
          <t>2021년 11월</t>
        </is>
      </c>
      <c r="E604" s="28" t="n">
        <v>32000</v>
      </c>
      <c r="F604" s="28" t="n">
        <v>28800</v>
      </c>
      <c r="G604" s="29" t="n">
        <v>1</v>
      </c>
      <c r="H604" s="29" t="n">
        <v>84</v>
      </c>
      <c r="I604" s="21" t="inlineStr">
        <is>
          <t>2021</t>
        </is>
      </c>
      <c r="J604" s="21" t="inlineStr">
        <is>
          <t xml:space="preserve"> 1</t>
        </is>
      </c>
      <c r="K604" s="30">
        <f>(E604-F604)/IF(E604&gt;0,E604,1)</f>
        <v/>
      </c>
    </row>
    <row r="605">
      <c r="A605" s="22" t="inlineStr">
        <is>
          <t>생성형 AI디자인</t>
        </is>
      </c>
      <c r="B605" s="22" t="inlineStr">
        <is>
          <t>최순호</t>
        </is>
      </c>
      <c r="C605" s="22" t="inlineStr">
        <is>
          <t>BOOKK(부크크)</t>
        </is>
      </c>
      <c r="D605" s="22" t="inlineStr">
        <is>
          <t>2026년 04월</t>
        </is>
      </c>
      <c r="E605" s="28" t="n">
        <v>20000</v>
      </c>
      <c r="F605" s="28" t="n">
        <v>20000</v>
      </c>
      <c r="G605" s="29" t="n">
        <v>0</v>
      </c>
      <c r="H605" s="29" t="n">
        <v>72</v>
      </c>
      <c r="I605" s="21" t="inlineStr">
        <is>
          <t>2026</t>
        </is>
      </c>
      <c r="J605" s="21" t="inlineStr">
        <is>
          <t xml:space="preserve"> 0</t>
        </is>
      </c>
      <c r="K605" s="30">
        <f>(E605-F605)/IF(E605&gt;0,E605,1)</f>
        <v/>
      </c>
    </row>
    <row r="606">
      <c r="A606" s="22" t="inlineStr">
        <is>
          <t>AI로 살아가기, AI와 살아가기</t>
        </is>
      </c>
      <c r="B606" s="22" t="inlineStr">
        <is>
          <t>석종득</t>
        </is>
      </c>
      <c r="C606" s="22" t="inlineStr">
        <is>
          <t>전략집단이음</t>
        </is>
      </c>
      <c r="D606" s="22" t="inlineStr">
        <is>
          <t>2026년 04월</t>
        </is>
      </c>
      <c r="E606" s="28" t="n">
        <v>18300</v>
      </c>
      <c r="F606" s="28" t="n">
        <v>18300</v>
      </c>
      <c r="G606" s="29" t="n">
        <v>0</v>
      </c>
      <c r="H606" s="29" t="n">
        <v>60</v>
      </c>
      <c r="I606" s="21" t="inlineStr">
        <is>
          <t>2026</t>
        </is>
      </c>
      <c r="J606" s="21" t="inlineStr">
        <is>
          <t xml:space="preserve"> 0</t>
        </is>
      </c>
      <c r="K606" s="30">
        <f>(E606-F606)/IF(E606&gt;0,E606,1)</f>
        <v/>
      </c>
    </row>
    <row r="607">
      <c r="A607" s="22" t="inlineStr">
        <is>
          <t>인공지능과 성범죄</t>
        </is>
      </c>
      <c r="B607" s="22" t="inlineStr">
        <is>
          <t>배상균</t>
        </is>
      </c>
      <c r="C607" s="22" t="inlineStr">
        <is>
          <t>커뮤니케이션북스</t>
        </is>
      </c>
      <c r="D607" s="22" t="inlineStr">
        <is>
          <t>2025년 02월</t>
        </is>
      </c>
      <c r="E607" s="28" t="n">
        <v>12000</v>
      </c>
      <c r="F607" s="28" t="n">
        <v>12000</v>
      </c>
      <c r="G607" s="29" t="n">
        <v>0</v>
      </c>
      <c r="H607" s="29" t="n">
        <v>12</v>
      </c>
      <c r="I607" s="21" t="inlineStr">
        <is>
          <t>2025</t>
        </is>
      </c>
      <c r="J607" s="21" t="inlineStr">
        <is>
          <t xml:space="preserve"> 0</t>
        </is>
      </c>
      <c r="K607" s="30">
        <f>(E607-F607)/IF(E607&gt;0,E607,1)</f>
        <v/>
      </c>
    </row>
    <row r="608">
      <c r="A608" s="22" t="inlineStr">
        <is>
          <t>어려운 인공지능? 쉬운 인공지능!</t>
        </is>
      </c>
      <c r="B608" s="22" t="inlineStr">
        <is>
          <t>오현승, 장현석</t>
        </is>
      </c>
      <c r="C608" s="22" t="inlineStr">
        <is>
          <t>BOOKK(부크크)</t>
        </is>
      </c>
      <c r="D608" s="22" t="inlineStr">
        <is>
          <t>2022년 11월</t>
        </is>
      </c>
      <c r="E608" s="28" t="n">
        <v>20300</v>
      </c>
      <c r="F608" s="28" t="n">
        <v>20300</v>
      </c>
      <c r="G608" s="29" t="n">
        <v>1</v>
      </c>
      <c r="H608" s="29" t="n">
        <v>42</v>
      </c>
      <c r="I608" s="21" t="inlineStr">
        <is>
          <t>2022</t>
        </is>
      </c>
      <c r="J608" s="21" t="inlineStr">
        <is>
          <t xml:space="preserve"> 1</t>
        </is>
      </c>
      <c r="K608" s="30">
        <f>(E608-F608)/IF(E608&gt;0,E608,1)</f>
        <v/>
      </c>
    </row>
    <row r="609">
      <c r="A609" s="22" t="inlineStr">
        <is>
          <t>라즈베리파이 5로 배우는 AI 인공지능 자율주행 자동차 만들기 + 데이터 수집 · 학습 + 딥러닝</t>
        </is>
      </c>
      <c r="B609" s="22" t="inlineStr">
        <is>
          <t>장문철</t>
        </is>
      </c>
      <c r="C609" s="22" t="inlineStr">
        <is>
          <t>앤써북</t>
        </is>
      </c>
      <c r="D609" s="22" t="inlineStr">
        <is>
          <t>2026년 06월</t>
        </is>
      </c>
      <c r="E609" s="28" t="n">
        <v>24400</v>
      </c>
      <c r="F609" s="28" t="n">
        <v>21960</v>
      </c>
      <c r="G609" s="29" t="n">
        <v>0</v>
      </c>
      <c r="H609" s="29" t="n">
        <v>60</v>
      </c>
      <c r="I609" s="21" t="inlineStr">
        <is>
          <t>2026</t>
        </is>
      </c>
      <c r="J609" s="21" t="inlineStr">
        <is>
          <t xml:space="preserve"> 0</t>
        </is>
      </c>
      <c r="K609" s="30">
        <f>(E609-F609)/IF(E609&gt;0,E609,1)</f>
        <v/>
      </c>
    </row>
    <row r="610">
      <c r="A610" s="22" t="inlineStr">
        <is>
          <t>AI 시대 디자인 교육의 사고 구조</t>
        </is>
      </c>
      <c r="B610" s="22" t="inlineStr">
        <is>
          <t>정유섭</t>
        </is>
      </c>
      <c r="C610" s="22" t="inlineStr">
        <is>
          <t>커뮤니케이션북스</t>
        </is>
      </c>
      <c r="D610" s="22" t="inlineStr">
        <is>
          <t>2026년 05월</t>
        </is>
      </c>
      <c r="E610" s="28" t="n">
        <v>12000</v>
      </c>
      <c r="F610" s="28" t="n">
        <v>12000</v>
      </c>
      <c r="G610" s="29" t="n">
        <v>0</v>
      </c>
      <c r="H610" s="29" t="n">
        <v>60</v>
      </c>
      <c r="I610" s="21" t="inlineStr">
        <is>
          <t>2026</t>
        </is>
      </c>
      <c r="J610" s="21" t="inlineStr">
        <is>
          <t xml:space="preserve"> 0</t>
        </is>
      </c>
      <c r="K610" s="30">
        <f>(E610-F610)/IF(E610&gt;0,E610,1)</f>
        <v/>
      </c>
    </row>
    <row r="611">
      <c r="A611" s="22" t="inlineStr">
        <is>
          <t>로봇 의식론</t>
        </is>
      </c>
      <c r="B611" s="22" t="inlineStr">
        <is>
          <t>정대현</t>
        </is>
      </c>
      <c r="C611" s="22" t="inlineStr">
        <is>
          <t>커뮤니케이션북스</t>
        </is>
      </c>
      <c r="D611" s="22" t="inlineStr">
        <is>
          <t>2026년 05월</t>
        </is>
      </c>
      <c r="E611" s="28" t="n">
        <v>12000</v>
      </c>
      <c r="F611" s="28" t="n">
        <v>12000</v>
      </c>
      <c r="G611" s="29" t="n">
        <v>0</v>
      </c>
      <c r="H611" s="29" t="n">
        <v>42</v>
      </c>
      <c r="I611" s="21" t="inlineStr">
        <is>
          <t>2026</t>
        </is>
      </c>
      <c r="J611" s="21" t="inlineStr">
        <is>
          <t xml:space="preserve"> 0</t>
        </is>
      </c>
      <c r="K611" s="30">
        <f>(E611-F611)/IF(E611&gt;0,E611,1)</f>
        <v/>
      </c>
    </row>
    <row r="612">
      <c r="A612" s="22" t="inlineStr">
        <is>
          <t>AI 시대의 공영 미디어 전략</t>
        </is>
      </c>
      <c r="B612" s="22" t="inlineStr">
        <is>
          <t>김정환</t>
        </is>
      </c>
      <c r="C612" s="22" t="inlineStr">
        <is>
          <t>커뮤니케이션북스</t>
        </is>
      </c>
      <c r="D612" s="22" t="inlineStr">
        <is>
          <t>2026년 05월</t>
        </is>
      </c>
      <c r="E612" s="28" t="n">
        <v>12000</v>
      </c>
      <c r="F612" s="28" t="n">
        <v>12000</v>
      </c>
      <c r="G612" s="29" t="n">
        <v>3</v>
      </c>
      <c r="H612" s="29" t="n">
        <v>102</v>
      </c>
      <c r="I612" s="21" t="inlineStr">
        <is>
          <t>2026</t>
        </is>
      </c>
      <c r="J612" s="21" t="inlineStr">
        <is>
          <t xml:space="preserve"> 0</t>
        </is>
      </c>
      <c r="K612" s="30">
        <f>(E612-F612)/IF(E612&gt;0,E612,1)</f>
        <v/>
      </c>
    </row>
    <row r="613">
      <c r="A613" s="22" t="inlineStr">
        <is>
          <t>신뢰 사회의 적들</t>
        </is>
      </c>
      <c r="B613" s="22" t="inlineStr">
        <is>
          <t>박나룡</t>
        </is>
      </c>
      <c r="C613" s="22" t="inlineStr">
        <is>
          <t>에이콘온</t>
        </is>
      </c>
      <c r="D613" s="22" t="inlineStr">
        <is>
          <t>2026년 05월</t>
        </is>
      </c>
      <c r="E613" s="28" t="n">
        <v>32000</v>
      </c>
      <c r="F613" s="28" t="n">
        <v>30400</v>
      </c>
      <c r="G613" s="29" t="n">
        <v>0</v>
      </c>
      <c r="H613" s="29" t="n">
        <v>84</v>
      </c>
      <c r="I613" s="21" t="inlineStr">
        <is>
          <t>2026</t>
        </is>
      </c>
      <c r="J613" s="21" t="inlineStr">
        <is>
          <t xml:space="preserve"> 0</t>
        </is>
      </c>
      <c r="K613" s="30">
        <f>(E613-F613)/IF(E613&gt;0,E613,1)</f>
        <v/>
      </c>
    </row>
    <row r="614">
      <c r="A614" s="22" t="inlineStr">
        <is>
          <t>JMP를 활용한 통계적 품질 관리</t>
        </is>
      </c>
      <c r="B614" s="22" t="inlineStr">
        <is>
          <t>신익주</t>
        </is>
      </c>
      <c r="C614" s="22" t="inlineStr">
        <is>
          <t>BOOKK(부크크)</t>
        </is>
      </c>
      <c r="D614" s="22" t="inlineStr">
        <is>
          <t>2026년 05월</t>
        </is>
      </c>
      <c r="E614" s="28" t="n">
        <v>29000</v>
      </c>
      <c r="F614" s="28" t="n">
        <v>29000</v>
      </c>
      <c r="G614" s="29" t="n">
        <v>0</v>
      </c>
      <c r="H614" s="29" t="n">
        <v>42</v>
      </c>
      <c r="I614" s="21" t="inlineStr">
        <is>
          <t>2026</t>
        </is>
      </c>
      <c r="J614" s="21" t="inlineStr">
        <is>
          <t xml:space="preserve"> 0</t>
        </is>
      </c>
      <c r="K614" s="30">
        <f>(E614-F614)/IF(E614&gt;0,E614,1)</f>
        <v/>
      </c>
    </row>
    <row r="615">
      <c r="A615" s="22" t="inlineStr">
        <is>
          <t>AI 사고 설계 M-PREP™</t>
        </is>
      </c>
      <c r="B615" s="22" t="inlineStr">
        <is>
          <t>임재춘</t>
        </is>
      </c>
      <c r="C615" s="22" t="inlineStr">
        <is>
          <t>북코리아(Bookorea)</t>
        </is>
      </c>
      <c r="D615" s="22" t="inlineStr">
        <is>
          <t>2026년 04월</t>
        </is>
      </c>
      <c r="E615" s="28" t="n">
        <v>20000</v>
      </c>
      <c r="F615" s="28" t="n">
        <v>20000</v>
      </c>
      <c r="G615" s="29" t="n">
        <v>0</v>
      </c>
      <c r="H615" s="29" t="n">
        <v>54</v>
      </c>
      <c r="I615" s="21" t="inlineStr">
        <is>
          <t>2026</t>
        </is>
      </c>
      <c r="J615" s="21" t="inlineStr">
        <is>
          <t xml:space="preserve"> 0</t>
        </is>
      </c>
      <c r="K615" s="30">
        <f>(E615-F615)/IF(E615&gt;0,E615,1)</f>
        <v/>
      </c>
    </row>
    <row r="616">
      <c r="A616" s="22" t="inlineStr">
        <is>
          <t>업무 속도를 2배 높이는 AI 활용법</t>
        </is>
      </c>
      <c r="B616" s="22" t="inlineStr">
        <is>
          <t>이종구, 한금화, 조선아, 백세균</t>
        </is>
      </c>
      <c r="C616" s="22" t="inlineStr">
        <is>
          <t>디지털콘텐츠그룹</t>
        </is>
      </c>
      <c r="D616" s="22" t="inlineStr">
        <is>
          <t>2026년 04월</t>
        </is>
      </c>
      <c r="E616" s="28" t="n">
        <v>24000</v>
      </c>
      <c r="F616" s="28" t="n">
        <v>21600</v>
      </c>
      <c r="G616" s="29" t="n">
        <v>0</v>
      </c>
      <c r="H616" s="29" t="n">
        <v>84</v>
      </c>
      <c r="I616" s="21" t="inlineStr">
        <is>
          <t>2026</t>
        </is>
      </c>
      <c r="J616" s="21" t="inlineStr">
        <is>
          <t xml:space="preserve"> 0</t>
        </is>
      </c>
      <c r="K616" s="30">
        <f>(E616-F616)/IF(E616&gt;0,E616,1)</f>
        <v/>
      </c>
    </row>
    <row r="617">
      <c r="A617" s="22" t="inlineStr">
        <is>
          <t>AI 의료 경영</t>
        </is>
      </c>
      <c r="B617" s="22" t="inlineStr">
        <is>
          <t>김하나</t>
        </is>
      </c>
      <c r="C617" s="22" t="inlineStr">
        <is>
          <t>한빛아카데미</t>
        </is>
      </c>
      <c r="D617" s="22" t="inlineStr">
        <is>
          <t>2026년 02월</t>
        </is>
      </c>
      <c r="E617" s="28" t="n">
        <v>36000</v>
      </c>
      <c r="F617" s="28" t="n">
        <v>36000</v>
      </c>
      <c r="G617" s="29" t="n">
        <v>0</v>
      </c>
      <c r="H617" s="29" t="n">
        <v>60</v>
      </c>
      <c r="I617" s="21" t="inlineStr">
        <is>
          <t>2026</t>
        </is>
      </c>
      <c r="J617" s="21" t="inlineStr">
        <is>
          <t xml:space="preserve"> 0</t>
        </is>
      </c>
      <c r="K617" s="30">
        <f>(E617-F617)/IF(E617&gt;0,E617,1)</f>
        <v/>
      </c>
    </row>
    <row r="618">
      <c r="A618" s="22" t="inlineStr">
        <is>
          <t>AI 얼굴 인식과 보안</t>
        </is>
      </c>
      <c r="B618" s="22" t="inlineStr">
        <is>
          <t>유영준</t>
        </is>
      </c>
      <c r="C618" s="22" t="inlineStr">
        <is>
          <t>커뮤니케이션북스</t>
        </is>
      </c>
      <c r="D618" s="22" t="inlineStr">
        <is>
          <t>2025년 05월</t>
        </is>
      </c>
      <c r="E618" s="28" t="n">
        <v>12000</v>
      </c>
      <c r="F618" s="28" t="n">
        <v>12000</v>
      </c>
      <c r="G618" s="29" t="n">
        <v>0</v>
      </c>
      <c r="H618" s="29" t="n">
        <v>72</v>
      </c>
      <c r="I618" s="21" t="inlineStr">
        <is>
          <t>2025</t>
        </is>
      </c>
      <c r="J618" s="21" t="inlineStr">
        <is>
          <t xml:space="preserve"> 0</t>
        </is>
      </c>
      <c r="K618" s="30">
        <f>(E618-F618)/IF(E618&gt;0,E618,1)</f>
        <v/>
      </c>
    </row>
    <row r="619">
      <c r="A619" s="22" t="inlineStr">
        <is>
          <t>예술 인공지능을 만나다</t>
        </is>
      </c>
      <c r="B619" s="22" t="inlineStr">
        <is>
          <t>신석근</t>
        </is>
      </c>
      <c r="C619" s="22" t="inlineStr">
        <is>
          <t>BOOKK(부크크)</t>
        </is>
      </c>
      <c r="D619" s="22" t="inlineStr">
        <is>
          <t>2024년 04월</t>
        </is>
      </c>
      <c r="E619" s="28" t="n">
        <v>18000</v>
      </c>
      <c r="F619" s="28" t="n">
        <v>18000</v>
      </c>
      <c r="G619" s="29" t="n">
        <v>3</v>
      </c>
      <c r="H619" s="29" t="n">
        <v>60</v>
      </c>
      <c r="I619" s="21" t="inlineStr">
        <is>
          <t>2024</t>
        </is>
      </c>
      <c r="J619" s="21" t="inlineStr">
        <is>
          <t xml:space="preserve"> 0</t>
        </is>
      </c>
      <c r="K619" s="30">
        <f>(E619-F619)/IF(E619&gt;0,E619,1)</f>
        <v/>
      </c>
    </row>
    <row r="620">
      <c r="A620" s="22" t="inlineStr">
        <is>
          <t>실전! 딥러닝</t>
        </is>
      </c>
      <c r="B620" s="22" t="inlineStr">
        <is>
          <t>오타 미쯔히사, 수도 코다이, 쿠로사와 타쿠마, 오다 다이스케, 손민규</t>
        </is>
      </c>
      <c r="C620" s="22" t="inlineStr">
        <is>
          <t>위키북스</t>
        </is>
      </c>
      <c r="D620" s="22" t="inlineStr">
        <is>
          <t>2019년 02월</t>
        </is>
      </c>
      <c r="E620" s="28" t="n">
        <v>25000</v>
      </c>
      <c r="F620" s="28" t="n">
        <v>22500</v>
      </c>
      <c r="G620" s="29" t="n">
        <v>0</v>
      </c>
      <c r="H620" s="29" t="n">
        <v>60</v>
      </c>
      <c r="I620" s="21" t="inlineStr">
        <is>
          <t>2019</t>
        </is>
      </c>
      <c r="J620" s="21" t="inlineStr">
        <is>
          <t xml:space="preserve"> 0</t>
        </is>
      </c>
      <c r="K620" s="30">
        <f>(E620-F620)/IF(E620&gt;0,E620,1)</f>
        <v/>
      </c>
    </row>
    <row r="621">
      <c r="A621" s="22" t="inlineStr">
        <is>
          <t>AI와 상상력 교육 (큰글자책)</t>
        </is>
      </c>
      <c r="B621" s="22" t="inlineStr">
        <is>
          <t>문은영</t>
        </is>
      </c>
      <c r="C621" s="22" t="inlineStr">
        <is>
          <t>커뮤니케이션북스</t>
        </is>
      </c>
      <c r="D621" s="22" t="inlineStr">
        <is>
          <t>2025년 07월</t>
        </is>
      </c>
      <c r="E621" s="28" t="n">
        <v>25000</v>
      </c>
      <c r="F621" s="28" t="n">
        <v>25000</v>
      </c>
      <c r="G621" s="29" t="n">
        <v>0</v>
      </c>
      <c r="H621" s="29" t="n">
        <v>60</v>
      </c>
      <c r="I621" s="21" t="inlineStr">
        <is>
          <t>2025</t>
        </is>
      </c>
      <c r="J621" s="21" t="inlineStr">
        <is>
          <t xml:space="preserve"> 0</t>
        </is>
      </c>
      <c r="K621" s="30">
        <f>(E621-F621)/IF(E621&gt;0,E621,1)</f>
        <v/>
      </c>
    </row>
    <row r="622">
      <c r="A622" s="22" t="inlineStr">
        <is>
          <t>AI 디자인</t>
        </is>
      </c>
      <c r="B622" s="22" t="inlineStr">
        <is>
          <t>신호진, 강경희, 최종수</t>
        </is>
      </c>
      <c r="C622" s="22" t="inlineStr">
        <is>
          <t>길벗</t>
        </is>
      </c>
      <c r="D622" s="22" t="inlineStr">
        <is>
          <t>2024년 09월</t>
        </is>
      </c>
      <c r="E622" s="28" t="n">
        <v>27000</v>
      </c>
      <c r="F622" s="28" t="n">
        <v>24300</v>
      </c>
      <c r="G622" s="29" t="n">
        <v>34</v>
      </c>
      <c r="H622" s="29" t="n">
        <v>2316</v>
      </c>
      <c r="I622" s="21" t="inlineStr">
        <is>
          <t>2024</t>
        </is>
      </c>
      <c r="J622" s="21" t="inlineStr">
        <is>
          <t xml:space="preserve"> 0</t>
        </is>
      </c>
      <c r="K622" s="30">
        <f>(E622-F622)/IF(E622&gt;0,E622,1)</f>
        <v/>
      </c>
    </row>
    <row r="623">
      <c r="A623" s="22" t="inlineStr">
        <is>
          <t>가상 면접 사례로 배우는 머신러닝 시스템 설계 기초</t>
        </is>
      </c>
      <c r="B623" s="22" t="inlineStr">
        <is>
          <t>알리 아미니안, 알렉스 쉬, 최종일</t>
        </is>
      </c>
      <c r="C623" s="22" t="inlineStr">
        <is>
          <t>인사이트(insight)</t>
        </is>
      </c>
      <c r="D623" s="22" t="inlineStr">
        <is>
          <t>2024년 02월</t>
        </is>
      </c>
      <c r="E623" s="28" t="n">
        <v>27000</v>
      </c>
      <c r="F623" s="28" t="n">
        <v>24300</v>
      </c>
      <c r="G623" s="29" t="n">
        <v>12</v>
      </c>
      <c r="H623" s="29" t="n">
        <v>1170</v>
      </c>
      <c r="I623" s="21" t="inlineStr">
        <is>
          <t>2024</t>
        </is>
      </c>
      <c r="J623" s="21" t="inlineStr">
        <is>
          <t xml:space="preserve"> 0</t>
        </is>
      </c>
      <c r="K623" s="30">
        <f>(E623-F623)/IF(E623&gt;0,E623,1)</f>
        <v/>
      </c>
    </row>
    <row r="624">
      <c r="A624" s="22" t="inlineStr">
        <is>
          <t>생성형 AI로 웹툰 만화 제작하기</t>
        </is>
      </c>
      <c r="B624" s="22" t="inlineStr">
        <is>
          <t>김한재</t>
        </is>
      </c>
      <c r="C624" s="22" t="inlineStr">
        <is>
          <t>성안당</t>
        </is>
      </c>
      <c r="D624" s="22" t="inlineStr">
        <is>
          <t>2024년 04월</t>
        </is>
      </c>
      <c r="E624" s="28" t="n">
        <v>25000</v>
      </c>
      <c r="F624" s="28" t="n">
        <v>22500</v>
      </c>
      <c r="G624" s="29" t="n">
        <v>103</v>
      </c>
      <c r="H624" s="29" t="n">
        <v>1164</v>
      </c>
      <c r="I624" s="21" t="inlineStr">
        <is>
          <t>2024</t>
        </is>
      </c>
      <c r="J624" s="21" t="inlineStr">
        <is>
          <t xml:space="preserve"> 0</t>
        </is>
      </c>
      <c r="K624" s="30">
        <f>(E624-F624)/IF(E624&gt;0,E624,1)</f>
        <v/>
      </c>
    </row>
    <row r="625">
      <c r="A625" s="22" t="inlineStr">
        <is>
          <t>그림으로 배우는 AI</t>
        </is>
      </c>
      <c r="B625" s="22" t="inlineStr">
        <is>
          <t>미츠무라 나오키, 양성건</t>
        </is>
      </c>
      <c r="C625" s="22" t="inlineStr">
        <is>
          <t>영진닷컴</t>
        </is>
      </c>
      <c r="D625" s="22" t="inlineStr">
        <is>
          <t>2023년 10월</t>
        </is>
      </c>
      <c r="E625" s="28" t="n">
        <v>17000</v>
      </c>
      <c r="F625" s="28" t="n">
        <v>15300</v>
      </c>
      <c r="G625" s="29" t="n">
        <v>21</v>
      </c>
      <c r="H625" s="29" t="n">
        <v>906</v>
      </c>
      <c r="I625" s="21" t="inlineStr">
        <is>
          <t>2023</t>
        </is>
      </c>
      <c r="J625" s="21" t="inlineStr">
        <is>
          <t xml:space="preserve"> 1</t>
        </is>
      </c>
      <c r="K625" s="30">
        <f>(E625-F625)/IF(E625&gt;0,E625,1)</f>
        <v/>
      </c>
    </row>
    <row r="626">
      <c r="A626" s="22" t="inlineStr">
        <is>
          <t>만들면서 배우는 생성 AI</t>
        </is>
      </c>
      <c r="B626" s="22" t="inlineStr">
        <is>
          <t>데이비드 포스터, 박해선</t>
        </is>
      </c>
      <c r="C626" s="22" t="inlineStr">
        <is>
          <t>한빛미디어</t>
        </is>
      </c>
      <c r="D626" s="22" t="inlineStr">
        <is>
          <t>2023년 09월</t>
        </is>
      </c>
      <c r="E626" s="28" t="n">
        <v>39000</v>
      </c>
      <c r="F626" s="28" t="n">
        <v>35100</v>
      </c>
      <c r="G626" s="29" t="n">
        <v>47</v>
      </c>
      <c r="H626" s="29" t="n">
        <v>864</v>
      </c>
      <c r="I626" s="21" t="inlineStr">
        <is>
          <t>2023</t>
        </is>
      </c>
      <c r="J626" s="21" t="inlineStr">
        <is>
          <t xml:space="preserve"> 0</t>
        </is>
      </c>
      <c r="K626" s="30">
        <f>(E626-F626)/IF(E626&gt;0,E626,1)</f>
        <v/>
      </c>
    </row>
    <row r="627">
      <c r="A627" s="22" t="inlineStr">
        <is>
          <t>실전! 프로젝트로 배우는 딥러닝 컴퓨터비전</t>
        </is>
      </c>
      <c r="B627" s="22" t="inlineStr">
        <is>
          <t>김혜진, 왕진영</t>
        </is>
      </c>
      <c r="C627" s="22" t="inlineStr">
        <is>
          <t>위키북스</t>
        </is>
      </c>
      <c r="D627" s="22" t="inlineStr">
        <is>
          <t>2025년 08월</t>
        </is>
      </c>
      <c r="E627" s="28" t="n">
        <v>35000</v>
      </c>
      <c r="F627" s="28" t="n">
        <v>31500</v>
      </c>
      <c r="G627" s="29" t="n">
        <v>2</v>
      </c>
      <c r="H627" s="29" t="n">
        <v>912</v>
      </c>
      <c r="I627" s="21" t="inlineStr">
        <is>
          <t>2025</t>
        </is>
      </c>
      <c r="J627" s="21" t="inlineStr">
        <is>
          <t xml:space="preserve"> 0</t>
        </is>
      </c>
      <c r="K627" s="30">
        <f>(E627-F627)/IF(E627&gt;0,E627,1)</f>
        <v/>
      </c>
    </row>
    <row r="628">
      <c r="A628" s="22" t="inlineStr">
        <is>
          <t>혼자 만들면서 공부하는 딥러닝</t>
        </is>
      </c>
      <c r="B628" s="22" t="inlineStr">
        <is>
          <t>박해선</t>
        </is>
      </c>
      <c r="C628" s="22" t="inlineStr">
        <is>
          <t>한빛미디어</t>
        </is>
      </c>
      <c r="D628" s="22" t="inlineStr">
        <is>
          <t>2025년 05월</t>
        </is>
      </c>
      <c r="E628" s="28" t="n">
        <v>28000</v>
      </c>
      <c r="F628" s="28" t="n">
        <v>25200</v>
      </c>
      <c r="G628" s="29" t="n">
        <v>33</v>
      </c>
      <c r="H628" s="29" t="n">
        <v>2100</v>
      </c>
      <c r="I628" s="21" t="inlineStr">
        <is>
          <t>2025</t>
        </is>
      </c>
      <c r="J628" s="21" t="inlineStr">
        <is>
          <t xml:space="preserve"> 0</t>
        </is>
      </c>
      <c r="K628" s="30">
        <f>(E628-F628)/IF(E628&gt;0,E628,1)</f>
        <v/>
      </c>
    </row>
    <row r="629">
      <c r="A629" s="22" t="inlineStr">
        <is>
          <t>AI 시대, 동네 사장님을 위한 요즘 마케팅</t>
        </is>
      </c>
      <c r="B629" s="22" t="inlineStr">
        <is>
          <t>은종성</t>
        </is>
      </c>
      <c r="C629" s="22" t="inlineStr">
        <is>
          <t>책길</t>
        </is>
      </c>
      <c r="D629" s="22" t="inlineStr">
        <is>
          <t>2026년 02월</t>
        </is>
      </c>
      <c r="E629" s="28" t="n">
        <v>19800</v>
      </c>
      <c r="F629" s="28" t="n">
        <v>17820</v>
      </c>
      <c r="G629" s="29" t="n">
        <v>14</v>
      </c>
      <c r="H629" s="29" t="n">
        <v>828</v>
      </c>
      <c r="I629" s="21" t="inlineStr">
        <is>
          <t>2026</t>
        </is>
      </c>
      <c r="J629" s="21" t="inlineStr">
        <is>
          <t xml:space="preserve"> 0</t>
        </is>
      </c>
      <c r="K629" s="30">
        <f>(E629-F629)/IF(E629&gt;0,E629,1)</f>
        <v/>
      </c>
    </row>
    <row r="630">
      <c r="A630" s="22" t="inlineStr">
        <is>
          <t>모두의 인공지능 기초 수학</t>
        </is>
      </c>
      <c r="B630" s="22" t="inlineStr">
        <is>
          <t>서지영</t>
        </is>
      </c>
      <c r="C630" s="22" t="inlineStr">
        <is>
          <t>길벗</t>
        </is>
      </c>
      <c r="D630" s="22" t="inlineStr">
        <is>
          <t>2020년 08월</t>
        </is>
      </c>
      <c r="E630" s="28" t="n">
        <v>25000</v>
      </c>
      <c r="F630" s="28" t="n">
        <v>22500</v>
      </c>
      <c r="G630" s="29" t="n">
        <v>33</v>
      </c>
      <c r="H630" s="29" t="n">
        <v>846</v>
      </c>
      <c r="I630" s="21" t="inlineStr">
        <is>
          <t>2020</t>
        </is>
      </c>
      <c r="J630" s="21" t="inlineStr">
        <is>
          <t xml:space="preserve"> 0</t>
        </is>
      </c>
      <c r="K630" s="30">
        <f>(E630-F630)/IF(E630&gt;0,E630,1)</f>
        <v/>
      </c>
    </row>
    <row r="631">
      <c r="A631" s="22" t="inlineStr">
        <is>
          <t>코딩 교육을 위한 마이크로비트</t>
        </is>
      </c>
      <c r="B631" s="22" t="inlineStr">
        <is>
          <t>아이씨뱅큐</t>
        </is>
      </c>
      <c r="C631" s="22" t="inlineStr">
        <is>
          <t>제이펍</t>
        </is>
      </c>
      <c r="D631" s="22" t="inlineStr">
        <is>
          <t>2023년 09월</t>
        </is>
      </c>
      <c r="E631" s="28" t="n">
        <v>18800</v>
      </c>
      <c r="F631" s="28" t="n">
        <v>16920</v>
      </c>
      <c r="G631" s="29" t="n">
        <v>7</v>
      </c>
      <c r="H631" s="29" t="n">
        <v>1170</v>
      </c>
      <c r="I631" s="21" t="inlineStr">
        <is>
          <t>2023</t>
        </is>
      </c>
      <c r="J631" s="21" t="inlineStr">
        <is>
          <t xml:space="preserve"> 0</t>
        </is>
      </c>
      <c r="K631" s="30">
        <f>(E631-F631)/IF(E631&gt;0,E631,1)</f>
        <v/>
      </c>
    </row>
    <row r="632">
      <c r="A632" s="22" t="inlineStr">
        <is>
          <t>패턴 인식과 머신 러닝</t>
        </is>
      </c>
      <c r="B632" s="22" t="inlineStr">
        <is>
          <t>크리스토퍼 비숍, 김형진</t>
        </is>
      </c>
      <c r="C632" s="22" t="inlineStr">
        <is>
          <t>제이펍</t>
        </is>
      </c>
      <c r="D632" s="22" t="inlineStr">
        <is>
          <t>2018년 09월</t>
        </is>
      </c>
      <c r="E632" s="28" t="n">
        <v>46000</v>
      </c>
      <c r="F632" s="28" t="n">
        <v>41400</v>
      </c>
      <c r="G632" s="29" t="n">
        <v>12</v>
      </c>
      <c r="H632" s="29" t="n">
        <v>816</v>
      </c>
      <c r="I632" s="21" t="inlineStr">
        <is>
          <t>2018</t>
        </is>
      </c>
      <c r="J632" s="21" t="inlineStr">
        <is>
          <t xml:space="preserve"> 0</t>
        </is>
      </c>
      <c r="K632" s="30">
        <f>(E632-F632)/IF(E632&gt;0,E632,1)</f>
        <v/>
      </c>
    </row>
    <row r="633">
      <c r="A633" s="22" t="inlineStr">
        <is>
          <t>생성형 AI 완전 정복</t>
        </is>
      </c>
      <c r="B633" s="22" t="inlineStr">
        <is>
          <t>정재민, 송민호, 이지성, 윤슬, 허수영, 정보 더 보기/감추기, 정재민, 송민호, 이지성, 윤슬, 허수영, 김혜원, 권순률, 박은지</t>
        </is>
      </c>
      <c r="C633" s="22" t="inlineStr">
        <is>
          <t>길벗</t>
        </is>
      </c>
      <c r="D633" s="22" t="inlineStr">
        <is>
          <t>2026년 02월</t>
        </is>
      </c>
      <c r="E633" s="28" t="n">
        <v>33000</v>
      </c>
      <c r="F633" s="28" t="n">
        <v>29700</v>
      </c>
      <c r="G633" s="29" t="n">
        <v>14</v>
      </c>
      <c r="H633" s="29" t="n">
        <v>831</v>
      </c>
      <c r="I633" s="21" t="inlineStr">
        <is>
          <t>2026</t>
        </is>
      </c>
      <c r="J633" s="21" t="inlineStr">
        <is>
          <t xml:space="preserve"> 0</t>
        </is>
      </c>
      <c r="K633" s="30">
        <f>(E633-F633)/IF(E633&gt;0,E633,1)</f>
        <v/>
      </c>
    </row>
    <row r="634">
      <c r="A634" s="22" t="inlineStr">
        <is>
          <t>AI 코딩 어시스턴트 깃허브 코파일럿 제대로 활용하기</t>
        </is>
      </c>
      <c r="B634" s="22" t="inlineStr">
        <is>
          <t>레오 포터, 다니엘 진가로, 김연지</t>
        </is>
      </c>
      <c r="C634" s="22" t="inlineStr">
        <is>
          <t>위키북스</t>
        </is>
      </c>
      <c r="D634" s="22" t="inlineStr">
        <is>
          <t>2024년 05월</t>
        </is>
      </c>
      <c r="E634" s="28" t="n">
        <v>28000</v>
      </c>
      <c r="F634" s="28" t="n">
        <v>25200</v>
      </c>
      <c r="G634" s="29" t="n">
        <v>2</v>
      </c>
      <c r="H634" s="29" t="n">
        <v>684</v>
      </c>
      <c r="I634" s="21" t="inlineStr">
        <is>
          <t>2024</t>
        </is>
      </c>
      <c r="J634" s="21" t="inlineStr">
        <is>
          <t xml:space="preserve"> 0</t>
        </is>
      </c>
      <c r="K634" s="30">
        <f>(E634-F634)/IF(E634&gt;0,E634,1)</f>
        <v/>
      </c>
    </row>
    <row r="635">
      <c r="A635" s="22" t="inlineStr">
        <is>
          <t>AI 초강국의 조건</t>
        </is>
      </c>
      <c r="B635" s="22" t="inlineStr">
        <is>
          <t>최윤식</t>
        </is>
      </c>
      <c r="C635" s="22" t="inlineStr">
        <is>
          <t>위즈덤하우스</t>
        </is>
      </c>
      <c r="D635" s="22" t="inlineStr">
        <is>
          <t>2025년 10월</t>
        </is>
      </c>
      <c r="E635" s="28" t="n">
        <v>20000</v>
      </c>
      <c r="F635" s="28" t="n">
        <v>18000</v>
      </c>
      <c r="G635" s="29" t="n">
        <v>16</v>
      </c>
      <c r="H635" s="29" t="n">
        <v>570</v>
      </c>
      <c r="I635" s="21" t="inlineStr">
        <is>
          <t>2025</t>
        </is>
      </c>
      <c r="J635" s="21" t="inlineStr">
        <is>
          <t xml:space="preserve"> 1</t>
        </is>
      </c>
      <c r="K635" s="30">
        <f>(E635-F635)/IF(E635&gt;0,E635,1)</f>
        <v/>
      </c>
    </row>
    <row r="636">
      <c r="A636" s="22" t="inlineStr">
        <is>
          <t>한 권으로 끝내는 미드저니</t>
        </is>
      </c>
      <c r="B636" s="22" t="inlineStr">
        <is>
          <t>민자경</t>
        </is>
      </c>
      <c r="C636" s="22" t="inlineStr">
        <is>
          <t>에듀웨이</t>
        </is>
      </c>
      <c r="D636" s="22" t="inlineStr">
        <is>
          <t>2025년 04월</t>
        </is>
      </c>
      <c r="E636" s="28" t="n">
        <v>23000</v>
      </c>
      <c r="F636" s="28" t="n">
        <v>20700</v>
      </c>
      <c r="G636" s="29" t="n">
        <v>12</v>
      </c>
      <c r="H636" s="29" t="n">
        <v>582</v>
      </c>
      <c r="I636" s="21" t="inlineStr">
        <is>
          <t>2025</t>
        </is>
      </c>
      <c r="J636" s="21" t="inlineStr">
        <is>
          <t xml:space="preserve"> 0</t>
        </is>
      </c>
      <c r="K636" s="30">
        <f>(E636-F636)/IF(E636&gt;0,E636,1)</f>
        <v/>
      </c>
    </row>
    <row r="637">
      <c r="A637" s="22" t="inlineStr">
        <is>
          <t>개발자를 위한 AI 알고리즘</t>
        </is>
      </c>
      <c r="B637" s="22" t="inlineStr">
        <is>
          <t>임란 아마드, 박지윤</t>
        </is>
      </c>
      <c r="C637" s="22" t="inlineStr">
        <is>
          <t>영진닷컴</t>
        </is>
      </c>
      <c r="D637" s="22" t="inlineStr">
        <is>
          <t>2025년 12월</t>
        </is>
      </c>
      <c r="E637" s="28" t="n">
        <v>35000</v>
      </c>
      <c r="F637" s="28" t="n">
        <v>31500</v>
      </c>
      <c r="G637" s="29" t="n">
        <v>16</v>
      </c>
      <c r="H637" s="29" t="n">
        <v>564</v>
      </c>
      <c r="I637" s="21" t="inlineStr">
        <is>
          <t>2025</t>
        </is>
      </c>
      <c r="J637" s="21" t="inlineStr">
        <is>
          <t xml:space="preserve"> 1</t>
        </is>
      </c>
      <c r="K637" s="30">
        <f>(E637-F637)/IF(E637&gt;0,E637,1)</f>
        <v/>
      </c>
    </row>
    <row r="638">
      <c r="A638" s="22" t="inlineStr">
        <is>
          <t>인공지능, 주식투자 좀 부탁해</t>
        </is>
      </c>
      <c r="B638" s="22" t="inlineStr">
        <is>
          <t>곽경일</t>
        </is>
      </c>
      <c r="C638" s="22" t="inlineStr">
        <is>
          <t>비제이퍼블릭(BJ퍼블릭)</t>
        </is>
      </c>
      <c r="D638" s="22" t="inlineStr">
        <is>
          <t>2023년 06월</t>
        </is>
      </c>
      <c r="E638" s="28" t="n">
        <v>25000</v>
      </c>
      <c r="F638" s="28" t="n">
        <v>22500</v>
      </c>
      <c r="G638" s="29" t="n">
        <v>23</v>
      </c>
      <c r="H638" s="29" t="n">
        <v>450</v>
      </c>
      <c r="I638" s="21" t="inlineStr">
        <is>
          <t>2023</t>
        </is>
      </c>
      <c r="J638" s="21" t="inlineStr">
        <is>
          <t xml:space="preserve"> 0</t>
        </is>
      </c>
      <c r="K638" s="30">
        <f>(E638-F638)/IF(E638&gt;0,E638,1)</f>
        <v/>
      </c>
    </row>
    <row r="639">
      <c r="A639" s="22" t="inlineStr">
        <is>
          <t>AI를 지배하라</t>
        </is>
      </c>
      <c r="B639" s="22" t="inlineStr">
        <is>
          <t>채수완</t>
        </is>
      </c>
      <c r="C639" s="22" t="inlineStr">
        <is>
          <t>도서출판청람</t>
        </is>
      </c>
      <c r="D639" s="22" t="inlineStr">
        <is>
          <t>2026년 04월</t>
        </is>
      </c>
      <c r="E639" s="28" t="n">
        <v>22000</v>
      </c>
      <c r="F639" s="28" t="n">
        <v>22000</v>
      </c>
      <c r="G639" s="29" t="n">
        <v>3</v>
      </c>
      <c r="H639" s="29" t="n">
        <v>510</v>
      </c>
      <c r="I639" s="21" t="inlineStr">
        <is>
          <t>2026</t>
        </is>
      </c>
      <c r="J639" s="21" t="inlineStr">
        <is>
          <t xml:space="preserve"> 0</t>
        </is>
      </c>
      <c r="K639" s="30">
        <f>(E639-F639)/IF(E639&gt;0,E639,1)</f>
        <v/>
      </c>
    </row>
    <row r="640">
      <c r="A640" s="22" t="inlineStr">
        <is>
          <t>스토리텔링 생성형 AI, 코스페이시스 에듀를 만나다</t>
        </is>
      </c>
      <c r="B640" s="22" t="inlineStr">
        <is>
          <t>송해남, 김태령, 박기림, 박미림, 최형윤, 정보 더 보기/감추기, 송해남, 김태령, 박기림, 박미림, 최형윤, 전혜린</t>
        </is>
      </c>
      <c r="C640" s="22" t="inlineStr">
        <is>
          <t>광문각출판미디어</t>
        </is>
      </c>
      <c r="D640" s="22" t="inlineStr">
        <is>
          <t>2025년 03월</t>
        </is>
      </c>
      <c r="E640" s="28" t="n">
        <v>19000</v>
      </c>
      <c r="F640" s="28" t="n">
        <v>19000</v>
      </c>
      <c r="G640" s="29" t="n">
        <v>22</v>
      </c>
      <c r="H640" s="29" t="n">
        <v>408</v>
      </c>
      <c r="I640" s="21" t="inlineStr">
        <is>
          <t>2025</t>
        </is>
      </c>
      <c r="J640" s="21" t="inlineStr">
        <is>
          <t xml:space="preserve"> 0</t>
        </is>
      </c>
      <c r="K640" s="30">
        <f>(E640-F640)/IF(E640&gt;0,E640,1)</f>
        <v/>
      </c>
    </row>
    <row r="641">
      <c r="A641" s="22" t="inlineStr">
        <is>
          <t>AGI의 시대</t>
        </is>
      </c>
      <c r="B641" s="22" t="inlineStr">
        <is>
          <t>한상기</t>
        </is>
      </c>
      <c r="C641" s="22" t="inlineStr">
        <is>
          <t>한빛미디어</t>
        </is>
      </c>
      <c r="D641" s="22" t="inlineStr">
        <is>
          <t>2024년 11월</t>
        </is>
      </c>
      <c r="E641" s="28" t="n">
        <v>22000</v>
      </c>
      <c r="F641" s="28" t="n">
        <v>19800</v>
      </c>
      <c r="G641" s="29" t="n">
        <v>20</v>
      </c>
      <c r="H641" s="29" t="n">
        <v>1788</v>
      </c>
      <c r="I641" s="21" t="inlineStr">
        <is>
          <t>2024</t>
        </is>
      </c>
      <c r="J641" s="21" t="inlineStr">
        <is>
          <t xml:space="preserve"> 1</t>
        </is>
      </c>
      <c r="K641" s="30">
        <f>(E641-F641)/IF(E641&gt;0,E641,1)</f>
        <v/>
      </c>
    </row>
    <row r="642">
      <c r="A642" s="22" t="inlineStr">
        <is>
          <t>AI 증강 독해와 AI 드리블링 바이블 개념·기초 편</t>
        </is>
      </c>
      <c r="B642" s="22" t="inlineStr">
        <is>
          <t>나준호, 성낙환, 이하영</t>
        </is>
      </c>
      <c r="C642" s="22" t="inlineStr">
        <is>
          <t>성안당</t>
        </is>
      </c>
      <c r="D642" s="22" t="inlineStr">
        <is>
          <t>2026년 02월</t>
        </is>
      </c>
      <c r="E642" s="28" t="n">
        <v>25000</v>
      </c>
      <c r="F642" s="28" t="n">
        <v>22500</v>
      </c>
      <c r="G642" s="29" t="n">
        <v>26</v>
      </c>
      <c r="H642" s="29" t="n">
        <v>336</v>
      </c>
      <c r="I642" s="21" t="inlineStr">
        <is>
          <t>2026</t>
        </is>
      </c>
      <c r="J642" s="21" t="inlineStr">
        <is>
          <t xml:space="preserve"> 0</t>
        </is>
      </c>
      <c r="K642" s="30">
        <f>(E642-F642)/IF(E642&gt;0,E642,1)</f>
        <v/>
      </c>
    </row>
    <row r="643">
      <c r="A643" s="22" t="inlineStr">
        <is>
          <t>생성형 AI 투닝, 수업의 터닝포인트가 되다 vol.1</t>
        </is>
      </c>
      <c r="B643" s="22" t="inlineStr">
        <is>
          <t>툰스퀘어, 에듀테크교사연구회</t>
        </is>
      </c>
      <c r="C643" s="22" t="inlineStr">
        <is>
          <t>툰스퀘어</t>
        </is>
      </c>
      <c r="D643" s="22" t="inlineStr">
        <is>
          <t>2024년 07월</t>
        </is>
      </c>
      <c r="E643" s="28" t="n">
        <v>18000</v>
      </c>
      <c r="F643" s="28" t="n">
        <v>16200</v>
      </c>
      <c r="G643" s="29" t="n">
        <v>9</v>
      </c>
      <c r="H643" s="29" t="n">
        <v>432</v>
      </c>
      <c r="I643" s="21" t="inlineStr">
        <is>
          <t>2024</t>
        </is>
      </c>
      <c r="J643" s="21" t="inlineStr">
        <is>
          <t xml:space="preserve"> 0</t>
        </is>
      </c>
      <c r="K643" s="30">
        <f>(E643-F643)/IF(E643&gt;0,E643,1)</f>
        <v/>
      </c>
    </row>
    <row r="644">
      <c r="A644" s="22" t="inlineStr">
        <is>
          <t>시니어를 위한 똑똑한 AI 생활 with 챗GPT</t>
        </is>
      </c>
      <c r="B644" s="22" t="inlineStr">
        <is>
          <t>진현주</t>
        </is>
      </c>
      <c r="C644" s="22" t="inlineStr">
        <is>
          <t>시대인</t>
        </is>
      </c>
      <c r="D644" s="22" t="inlineStr">
        <is>
          <t>2025년 03월</t>
        </is>
      </c>
      <c r="E644" s="28" t="n">
        <v>13000</v>
      </c>
      <c r="F644" s="28" t="n">
        <v>11700</v>
      </c>
      <c r="G644" s="29" t="n">
        <v>13</v>
      </c>
      <c r="H644" s="29" t="n">
        <v>312</v>
      </c>
      <c r="I644" s="21" t="inlineStr">
        <is>
          <t>2025</t>
        </is>
      </c>
      <c r="J644" s="21" t="inlineStr">
        <is>
          <t xml:space="preserve"> 0</t>
        </is>
      </c>
      <c r="K644" s="30">
        <f>(E644-F644)/IF(E644&gt;0,E644,1)</f>
        <v/>
      </c>
    </row>
    <row r="645">
      <c r="A645" s="22" t="inlineStr">
        <is>
          <t>AI 시대, 일 잘하는 사람들의 비밀</t>
        </is>
      </c>
      <c r="B645" s="22" t="inlineStr">
        <is>
          <t>남시언</t>
        </is>
      </c>
      <c r="C645" s="22" t="inlineStr">
        <is>
          <t>아티오</t>
        </is>
      </c>
      <c r="D645" s="22" t="inlineStr">
        <is>
          <t>2025년 09월</t>
        </is>
      </c>
      <c r="E645" s="28" t="n">
        <v>22000</v>
      </c>
      <c r="F645" s="28" t="n">
        <v>19800</v>
      </c>
      <c r="G645" s="29" t="n">
        <v>7</v>
      </c>
      <c r="H645" s="29" t="n">
        <v>258</v>
      </c>
      <c r="I645" s="21" t="inlineStr">
        <is>
          <t>2025</t>
        </is>
      </c>
      <c r="J645" s="21" t="inlineStr">
        <is>
          <t xml:space="preserve"> 0</t>
        </is>
      </c>
      <c r="K645" s="30">
        <f>(E645-F645)/IF(E645&gt;0,E645,1)</f>
        <v/>
      </c>
    </row>
    <row r="646">
      <c r="A646" s="22" t="inlineStr">
        <is>
          <t>AI가 훔쳐간 인문학</t>
        </is>
      </c>
      <c r="B646" s="22" t="inlineStr">
        <is>
          <t>김철수</t>
        </is>
      </c>
      <c r="C646" s="22" t="inlineStr">
        <is>
          <t>위키북스</t>
        </is>
      </c>
      <c r="D646" s="22" t="inlineStr">
        <is>
          <t>2024년 06월</t>
        </is>
      </c>
      <c r="E646" s="28" t="n">
        <v>16000</v>
      </c>
      <c r="F646" s="28" t="n">
        <v>14400</v>
      </c>
      <c r="G646" s="29" t="n">
        <v>10</v>
      </c>
      <c r="H646" s="29" t="n">
        <v>345</v>
      </c>
      <c r="I646" s="21" t="inlineStr">
        <is>
          <t>2024</t>
        </is>
      </c>
      <c r="J646" s="21" t="inlineStr">
        <is>
          <t xml:space="preserve"> 0</t>
        </is>
      </c>
      <c r="K646" s="30">
        <f>(E646-F646)/IF(E646&gt;0,E646,1)</f>
        <v/>
      </c>
    </row>
    <row r="647">
      <c r="A647" s="22" t="inlineStr">
        <is>
          <t>처음 배우는 인공지능</t>
        </is>
      </c>
      <c r="B647" s="22" t="inlineStr">
        <is>
          <t>다다 사토시, 송교석</t>
        </is>
      </c>
      <c r="C647" s="22" t="inlineStr">
        <is>
          <t>한빛미디어</t>
        </is>
      </c>
      <c r="D647" s="22" t="inlineStr">
        <is>
          <t>2017년 06월</t>
        </is>
      </c>
      <c r="E647" s="28" t="n">
        <v>28000</v>
      </c>
      <c r="F647" s="28" t="n">
        <v>25200</v>
      </c>
      <c r="G647" s="29" t="n">
        <v>15</v>
      </c>
      <c r="H647" s="29" t="n">
        <v>288</v>
      </c>
      <c r="I647" s="21" t="inlineStr">
        <is>
          <t>2017</t>
        </is>
      </c>
      <c r="J647" s="21" t="inlineStr">
        <is>
          <t xml:space="preserve"> 0</t>
        </is>
      </c>
      <c r="K647" s="30">
        <f>(E647-F647)/IF(E647&gt;0,E647,1)</f>
        <v/>
      </c>
    </row>
    <row r="648">
      <c r="A648" s="22" t="inlineStr">
        <is>
          <t>피지컬 AI 프런티어</t>
        </is>
      </c>
      <c r="B648" s="22" t="inlineStr">
        <is>
          <t>김동환, 최영호</t>
        </is>
      </c>
      <c r="C648" s="22" t="inlineStr">
        <is>
          <t>에이콘온</t>
        </is>
      </c>
      <c r="D648" s="22" t="inlineStr">
        <is>
          <t>2026년 04월</t>
        </is>
      </c>
      <c r="E648" s="28" t="n">
        <v>28000</v>
      </c>
      <c r="F648" s="28" t="n">
        <v>25200</v>
      </c>
      <c r="G648" s="29" t="n">
        <v>6</v>
      </c>
      <c r="H648" s="29" t="n">
        <v>156</v>
      </c>
      <c r="I648" s="21" t="inlineStr">
        <is>
          <t>2026</t>
        </is>
      </c>
      <c r="J648" s="21" t="inlineStr">
        <is>
          <t xml:space="preserve"> 0</t>
        </is>
      </c>
      <c r="K648" s="30">
        <f>(E648-F648)/IF(E648&gt;0,E648,1)</f>
        <v/>
      </c>
    </row>
    <row r="649">
      <c r="A649" s="22" t="inlineStr">
        <is>
          <t>생성형 AI 건축 디자인 인테리어·가구·조경까지</t>
        </is>
      </c>
      <c r="B649" s="22" t="inlineStr">
        <is>
          <t>김현수</t>
        </is>
      </c>
      <c r="C649" s="22" t="inlineStr">
        <is>
          <t>책바세</t>
        </is>
      </c>
      <c r="D649" s="22" t="inlineStr">
        <is>
          <t>2024년 04월</t>
        </is>
      </c>
      <c r="E649" s="28" t="n">
        <v>26000</v>
      </c>
      <c r="F649" s="28" t="n">
        <v>23400</v>
      </c>
      <c r="G649" s="29" t="n">
        <v>7</v>
      </c>
      <c r="H649" s="29" t="n">
        <v>1353</v>
      </c>
      <c r="I649" s="21" t="inlineStr">
        <is>
          <t>2024</t>
        </is>
      </c>
      <c r="J649" s="21" t="inlineStr">
        <is>
          <t xml:space="preserve"> 0</t>
        </is>
      </c>
      <c r="K649" s="30">
        <f>(E649-F649)/IF(E649&gt;0,E649,1)</f>
        <v/>
      </c>
    </row>
    <row r="650">
      <c r="A650" s="22" t="inlineStr">
        <is>
          <t>AI시대, 스마트하게 글쓰기</t>
        </is>
      </c>
      <c r="B650" s="22" t="inlineStr">
        <is>
          <t>최전혁</t>
        </is>
      </c>
      <c r="C650" s="22" t="inlineStr">
        <is>
          <t>두현</t>
        </is>
      </c>
      <c r="D650" s="22" t="inlineStr">
        <is>
          <t>2026년 01월</t>
        </is>
      </c>
      <c r="E650" s="28" t="n">
        <v>20000</v>
      </c>
      <c r="F650" s="28" t="n">
        <v>18000</v>
      </c>
      <c r="G650" s="29" t="n">
        <v>0</v>
      </c>
      <c r="H650" s="29" t="n">
        <v>156</v>
      </c>
      <c r="I650" s="21" t="inlineStr">
        <is>
          <t>2026</t>
        </is>
      </c>
      <c r="J650" s="21" t="inlineStr">
        <is>
          <t xml:space="preserve"> 0</t>
        </is>
      </c>
      <c r="K650" s="30">
        <f>(E650-F650)/IF(E650&gt;0,E650,1)</f>
        <v/>
      </c>
    </row>
    <row r="651">
      <c r="A651" s="22" t="inlineStr">
        <is>
          <t>21개의 실무 앱으로 배우는 Dify</t>
        </is>
      </c>
      <c r="B651" s="22" t="inlineStr">
        <is>
          <t>냥타, 김진호</t>
        </is>
      </c>
      <c r="C651" s="22" t="inlineStr">
        <is>
          <t>제이펍</t>
        </is>
      </c>
      <c r="D651" s="22" t="inlineStr">
        <is>
          <t>2026년 04월</t>
        </is>
      </c>
      <c r="E651" s="28" t="n">
        <v>28000</v>
      </c>
      <c r="F651" s="28" t="n">
        <v>25200</v>
      </c>
      <c r="G651" s="29" t="n">
        <v>0</v>
      </c>
      <c r="H651" s="29" t="n">
        <v>144</v>
      </c>
      <c r="I651" s="21" t="inlineStr">
        <is>
          <t>2026</t>
        </is>
      </c>
      <c r="J651" s="21" t="inlineStr">
        <is>
          <t xml:space="preserve"> 0</t>
        </is>
      </c>
      <c r="K651" s="30">
        <f>(E651-F651)/IF(E651&gt;0,E651,1)</f>
        <v/>
      </c>
    </row>
    <row r="652">
      <c r="A652" s="22" t="inlineStr">
        <is>
          <t>AI 발전과 차세대 보안 전략</t>
        </is>
      </c>
      <c r="B652" s="22" t="inlineStr">
        <is>
          <t>박종철, 박유신, 전준형, 박휘진, 이민우</t>
        </is>
      </c>
      <c r="C652" s="22" t="inlineStr">
        <is>
          <t>커뮤니케이션북스</t>
        </is>
      </c>
      <c r="D652" s="22" t="inlineStr">
        <is>
          <t>2026년 03월</t>
        </is>
      </c>
      <c r="E652" s="28" t="n">
        <v>12000</v>
      </c>
      <c r="F652" s="28" t="n">
        <v>12000</v>
      </c>
      <c r="G652" s="29" t="n">
        <v>0</v>
      </c>
      <c r="H652" s="29" t="n">
        <v>144</v>
      </c>
      <c r="I652" s="21" t="inlineStr">
        <is>
          <t>2026</t>
        </is>
      </c>
      <c r="J652" s="21" t="inlineStr">
        <is>
          <t xml:space="preserve"> 0</t>
        </is>
      </c>
      <c r="K652" s="30">
        <f>(E652-F652)/IF(E652&gt;0,E652,1)</f>
        <v/>
      </c>
    </row>
    <row r="653">
      <c r="A653" s="22" t="inlineStr">
        <is>
          <t>LLM과 RAG로 구현하는 AI 애플리케이션</t>
        </is>
      </c>
      <c r="B653" s="22" t="inlineStr">
        <is>
          <t>에디 유, 대니얼 김, 김현지</t>
        </is>
      </c>
      <c r="C653" s="22" t="inlineStr">
        <is>
          <t>위키북스</t>
        </is>
      </c>
      <c r="D653" s="22" t="inlineStr">
        <is>
          <t>2025년 07월</t>
        </is>
      </c>
      <c r="E653" s="28" t="n">
        <v>30000</v>
      </c>
      <c r="F653" s="28" t="n">
        <v>27000</v>
      </c>
      <c r="G653" s="29" t="n">
        <v>3</v>
      </c>
      <c r="H653" s="29" t="n">
        <v>1353</v>
      </c>
      <c r="I653" s="21" t="inlineStr">
        <is>
          <t>2025</t>
        </is>
      </c>
      <c r="J653" s="21" t="inlineStr">
        <is>
          <t xml:space="preserve"> 0</t>
        </is>
      </c>
      <c r="K653" s="30">
        <f>(E653-F653)/IF(E653&gt;0,E653,1)</f>
        <v/>
      </c>
    </row>
    <row r="654">
      <c r="A654" s="22" t="inlineStr">
        <is>
          <t>피지컬 AI</t>
        </is>
      </c>
      <c r="B654" s="22" t="inlineStr">
        <is>
          <t>유형근, 이정헌</t>
        </is>
      </c>
      <c r="C654" s="22" t="inlineStr">
        <is>
          <t>홍릉</t>
        </is>
      </c>
      <c r="D654" s="22" t="inlineStr">
        <is>
          <t>2026년 05월</t>
        </is>
      </c>
      <c r="E654" s="28" t="n">
        <v>65000</v>
      </c>
      <c r="F654" s="28" t="n">
        <v>65000</v>
      </c>
      <c r="G654" s="29" t="n">
        <v>0</v>
      </c>
      <c r="H654" s="29" t="n">
        <v>186</v>
      </c>
      <c r="I654" s="21" t="inlineStr">
        <is>
          <t>2026</t>
        </is>
      </c>
      <c r="J654" s="21" t="inlineStr">
        <is>
          <t xml:space="preserve"> 0</t>
        </is>
      </c>
      <c r="K654" s="30">
        <f>(E654-F654)/IF(E654&gt;0,E654,1)</f>
        <v/>
      </c>
    </row>
    <row r="655">
      <c r="A655" s="22" t="inlineStr">
        <is>
          <t>공공 HRD의 AX 전환</t>
        </is>
      </c>
      <c r="B655" s="22" t="inlineStr">
        <is>
          <t>김은희</t>
        </is>
      </c>
      <c r="C655" s="22" t="inlineStr">
        <is>
          <t>커뮤니케이션북스</t>
        </is>
      </c>
      <c r="D655" s="22" t="inlineStr">
        <is>
          <t>2026년 05월</t>
        </is>
      </c>
      <c r="E655" s="28" t="n">
        <v>12000</v>
      </c>
      <c r="F655" s="28" t="n">
        <v>12000</v>
      </c>
      <c r="G655" s="29" t="n">
        <v>0</v>
      </c>
      <c r="H655" s="29" t="n">
        <v>126</v>
      </c>
      <c r="I655" s="21" t="inlineStr">
        <is>
          <t>2026</t>
        </is>
      </c>
      <c r="J655" s="21" t="inlineStr">
        <is>
          <t xml:space="preserve"> 0</t>
        </is>
      </c>
      <c r="K655" s="30">
        <f>(E655-F655)/IF(E655&gt;0,E655,1)</f>
        <v/>
      </c>
    </row>
    <row r="656">
      <c r="A656" s="22" t="inlineStr">
        <is>
          <t>난생처음 인공지능 with 스크래치</t>
        </is>
      </c>
      <c r="B656" s="22" t="inlineStr">
        <is>
          <t>고광일</t>
        </is>
      </c>
      <c r="C656" s="22" t="inlineStr">
        <is>
          <t>한빛아카데미</t>
        </is>
      </c>
      <c r="D656" s="22" t="inlineStr">
        <is>
          <t>2023년 10월</t>
        </is>
      </c>
      <c r="E656" s="28" t="n">
        <v>25000</v>
      </c>
      <c r="F656" s="28" t="n">
        <v>25000</v>
      </c>
      <c r="G656" s="29" t="n">
        <v>3</v>
      </c>
      <c r="H656" s="29" t="n">
        <v>1230</v>
      </c>
      <c r="I656" s="21" t="inlineStr">
        <is>
          <t>2023</t>
        </is>
      </c>
      <c r="J656" s="21" t="inlineStr">
        <is>
          <t xml:space="preserve"> 1</t>
        </is>
      </c>
      <c r="K656" s="30">
        <f>(E656-F656)/IF(E656&gt;0,E656,1)</f>
        <v/>
      </c>
    </row>
    <row r="657">
      <c r="A657" s="22" t="inlineStr">
        <is>
          <t>AI와 게임 NPC의 미래</t>
        </is>
      </c>
      <c r="B657" s="22" t="inlineStr">
        <is>
          <t>오석희</t>
        </is>
      </c>
      <c r="C657" s="22" t="inlineStr">
        <is>
          <t>커뮤니케이션북스</t>
        </is>
      </c>
      <c r="D657" s="22" t="inlineStr">
        <is>
          <t>2026년 05월</t>
        </is>
      </c>
      <c r="E657" s="28" t="n">
        <v>12000</v>
      </c>
      <c r="F657" s="28" t="n">
        <v>12000</v>
      </c>
      <c r="G657" s="29" t="n">
        <v>0</v>
      </c>
      <c r="H657" s="29" t="n">
        <v>228</v>
      </c>
      <c r="I657" s="21" t="inlineStr">
        <is>
          <t>2026</t>
        </is>
      </c>
      <c r="J657" s="21" t="inlineStr">
        <is>
          <t xml:space="preserve"> 0</t>
        </is>
      </c>
      <c r="K657" s="30">
        <f>(E657-F657)/IF(E657&gt;0,E657,1)</f>
        <v/>
      </c>
    </row>
    <row r="658">
      <c r="A658" s="22" t="inlineStr">
        <is>
          <t>음악과 AI 기술 트렌드 2026</t>
        </is>
      </c>
      <c r="B658" s="22" t="inlineStr">
        <is>
          <t>이주원, 이지원, 백설우, 김순근, 장용철, 정보 더 보기/감추기, 이주원, 이지원, 백설우, 김순근, 장용철, 한일명, 김용호, 최안식</t>
        </is>
      </c>
      <c r="C658" s="22" t="inlineStr">
        <is>
          <t>팀스토리</t>
        </is>
      </c>
      <c r="D658" s="22" t="inlineStr">
        <is>
          <t>2026년 04월</t>
        </is>
      </c>
      <c r="E658" s="28" t="n">
        <v>30000</v>
      </c>
      <c r="F658" s="28" t="n">
        <v>30000</v>
      </c>
      <c r="G658" s="29" t="n">
        <v>0</v>
      </c>
      <c r="H658" s="29" t="n">
        <v>96</v>
      </c>
      <c r="I658" s="21" t="inlineStr">
        <is>
          <t>2026</t>
        </is>
      </c>
      <c r="J658" s="21" t="inlineStr">
        <is>
          <t xml:space="preserve"> 0</t>
        </is>
      </c>
      <c r="K658" s="30">
        <f>(E658-F658)/IF(E658&gt;0,E658,1)</f>
        <v/>
      </c>
    </row>
    <row r="659">
      <c r="A659" s="22" t="inlineStr">
        <is>
          <t>AI 시대의 새로운 문해력</t>
        </is>
      </c>
      <c r="B659" s="22" t="inlineStr">
        <is>
          <t>김은하</t>
        </is>
      </c>
      <c r="C659" s="22" t="inlineStr">
        <is>
          <t>커뮤니케이션북스</t>
        </is>
      </c>
      <c r="D659" s="22" t="inlineStr">
        <is>
          <t>2026년 05월</t>
        </is>
      </c>
      <c r="E659" s="28" t="n">
        <v>12000</v>
      </c>
      <c r="F659" s="28" t="n">
        <v>12000</v>
      </c>
      <c r="G659" s="29" t="n">
        <v>0</v>
      </c>
      <c r="H659" s="29" t="n">
        <v>186</v>
      </c>
      <c r="I659" s="21" t="inlineStr">
        <is>
          <t>2026</t>
        </is>
      </c>
      <c r="J659" s="21" t="inlineStr">
        <is>
          <t xml:space="preserve"> 0</t>
        </is>
      </c>
      <c r="K659" s="30">
        <f>(E659-F659)/IF(E659&gt;0,E659,1)</f>
        <v/>
      </c>
    </row>
    <row r="660">
      <c r="A660" s="22" t="inlineStr">
        <is>
          <t>AI와 대화</t>
        </is>
      </c>
      <c r="B660" s="22" t="inlineStr">
        <is>
          <t>김순옥</t>
        </is>
      </c>
      <c r="C660" s="22" t="inlineStr">
        <is>
          <t>커뮤니케이션북스</t>
        </is>
      </c>
      <c r="D660" s="22" t="inlineStr">
        <is>
          <t>2026년 05월</t>
        </is>
      </c>
      <c r="E660" s="28" t="n">
        <v>12000</v>
      </c>
      <c r="F660" s="28" t="n">
        <v>12000</v>
      </c>
      <c r="G660" s="29" t="n">
        <v>0</v>
      </c>
      <c r="H660" s="29" t="n">
        <v>186</v>
      </c>
      <c r="I660" s="21" t="inlineStr">
        <is>
          <t>2026</t>
        </is>
      </c>
      <c r="J660" s="21" t="inlineStr">
        <is>
          <t xml:space="preserve"> 0</t>
        </is>
      </c>
      <c r="K660" s="30">
        <f>(E660-F660)/IF(E660&gt;0,E660,1)</f>
        <v/>
      </c>
    </row>
    <row r="661">
      <c r="A661" s="22" t="inlineStr">
        <is>
          <t>생각을 맡기는 사람들: 호모 브레인리스</t>
        </is>
      </c>
      <c r="B661" s="22" t="inlineStr">
        <is>
          <t>안광섭</t>
        </is>
      </c>
      <c r="C661" s="22" t="inlineStr">
        <is>
          <t>제이펍</t>
        </is>
      </c>
      <c r="D661" s="22" t="inlineStr">
        <is>
          <t>2025년 09월</t>
        </is>
      </c>
      <c r="E661" s="28" t="n">
        <v>20000</v>
      </c>
      <c r="F661" s="28" t="n">
        <v>18000</v>
      </c>
      <c r="G661" s="29" t="n">
        <v>12</v>
      </c>
      <c r="H661" s="29" t="n">
        <v>1290</v>
      </c>
      <c r="I661" s="21" t="inlineStr">
        <is>
          <t>2025</t>
        </is>
      </c>
      <c r="J661" s="21" t="inlineStr">
        <is>
          <t xml:space="preserve"> 0</t>
        </is>
      </c>
      <c r="K661" s="30">
        <f>(E661-F661)/IF(E661&gt;0,E661,1)</f>
        <v/>
      </c>
    </row>
    <row r="662">
      <c r="A662" s="22" t="inlineStr">
        <is>
          <t>LLM 프로덕션 엔지니어링</t>
        </is>
      </c>
      <c r="B662" s="22" t="inlineStr">
        <is>
          <t>루이-프랑수아 부샤르, 루이 피터스, 김태헌</t>
        </is>
      </c>
      <c r="C662" s="22" t="inlineStr">
        <is>
          <t>제이펍</t>
        </is>
      </c>
      <c r="D662" s="22" t="inlineStr">
        <is>
          <t>2025년 09월</t>
        </is>
      </c>
      <c r="E662" s="28" t="n">
        <v>36000</v>
      </c>
      <c r="F662" s="28" t="n">
        <v>32400</v>
      </c>
      <c r="G662" s="29" t="n">
        <v>6</v>
      </c>
      <c r="H662" s="29" t="n">
        <v>1134</v>
      </c>
      <c r="I662" s="21" t="inlineStr">
        <is>
          <t>2025</t>
        </is>
      </c>
      <c r="J662" s="21" t="inlineStr">
        <is>
          <t xml:space="preserve"> 0</t>
        </is>
      </c>
      <c r="K662" s="30">
        <f>(E662-F662)/IF(E662&gt;0,E662,1)</f>
        <v/>
      </c>
    </row>
    <row r="663">
      <c r="A663" s="22" t="inlineStr">
        <is>
          <t>생성형 AI를 활용한 논문 작성법</t>
        </is>
      </c>
      <c r="B663" s="22" t="inlineStr">
        <is>
          <t>김귀훈</t>
        </is>
      </c>
      <c r="C663" s="22" t="inlineStr">
        <is>
          <t>홍릉</t>
        </is>
      </c>
      <c r="D663" s="22" t="inlineStr">
        <is>
          <t>2025년 06월</t>
        </is>
      </c>
      <c r="E663" s="28" t="n">
        <v>29000</v>
      </c>
      <c r="F663" s="28" t="n">
        <v>29000</v>
      </c>
      <c r="G663" s="29" t="n">
        <v>0</v>
      </c>
      <c r="H663" s="29" t="n">
        <v>930</v>
      </c>
      <c r="I663" s="21" t="inlineStr">
        <is>
          <t>2025</t>
        </is>
      </c>
      <c r="J663" s="21" t="inlineStr">
        <is>
          <t xml:space="preserve"> 0</t>
        </is>
      </c>
      <c r="K663" s="30">
        <f>(E663-F663)/IF(E663&gt;0,E663,1)</f>
        <v/>
      </c>
    </row>
    <row r="664">
      <c r="A664" s="22" t="inlineStr">
        <is>
          <t>AI 인류혁명</t>
        </is>
      </c>
      <c r="B664" s="22" t="inlineStr">
        <is>
          <t>안종배</t>
        </is>
      </c>
      <c r="C664" s="22" t="inlineStr">
        <is>
          <t>박영사</t>
        </is>
      </c>
      <c r="D664" s="22" t="inlineStr">
        <is>
          <t>2025년 10월</t>
        </is>
      </c>
      <c r="E664" s="28" t="n">
        <v>10000</v>
      </c>
      <c r="F664" s="28" t="n">
        <v>10000</v>
      </c>
      <c r="G664" s="29" t="n">
        <v>8</v>
      </c>
      <c r="H664" s="29" t="n">
        <v>1050</v>
      </c>
      <c r="I664" s="21" t="inlineStr">
        <is>
          <t>2025</t>
        </is>
      </c>
      <c r="J664" s="21" t="inlineStr">
        <is>
          <t xml:space="preserve"> 1</t>
        </is>
      </c>
      <c r="K664" s="30">
        <f>(E664-F664)/IF(E664&gt;0,E664,1)</f>
        <v/>
      </c>
    </row>
    <row r="665">
      <c r="A665" s="22" t="inlineStr">
        <is>
          <t>챗GPT 120% 투자 질문 기술</t>
        </is>
      </c>
      <c r="B665" s="22" t="inlineStr">
        <is>
          <t>ChatGPT 비즈니스 연구회, 김모세</t>
        </is>
      </c>
      <c r="C665" s="22" t="inlineStr">
        <is>
          <t>정보문화사</t>
        </is>
      </c>
      <c r="D665" s="22" t="inlineStr">
        <is>
          <t>2025년 06월</t>
        </is>
      </c>
      <c r="E665" s="28" t="n">
        <v>15000</v>
      </c>
      <c r="F665" s="28" t="n">
        <v>13500</v>
      </c>
      <c r="G665" s="29" t="n">
        <v>22</v>
      </c>
      <c r="H665" s="29" t="n">
        <v>933</v>
      </c>
      <c r="I665" s="21" t="inlineStr">
        <is>
          <t>2025</t>
        </is>
      </c>
      <c r="J665" s="21" t="inlineStr">
        <is>
          <t xml:space="preserve"> 0</t>
        </is>
      </c>
      <c r="K665" s="30">
        <f>(E665-F665)/IF(E665&gt;0,E665,1)</f>
        <v/>
      </c>
    </row>
    <row r="666">
      <c r="A666" s="22" t="inlineStr">
        <is>
          <t>대체불가 AI 교사 업무 자동화</t>
        </is>
      </c>
      <c r="B666" s="22" t="inlineStr">
        <is>
          <t>이승우</t>
        </is>
      </c>
      <c r="C666" s="22" t="inlineStr">
        <is>
          <t>책바세</t>
        </is>
      </c>
      <c r="D666" s="22" t="inlineStr">
        <is>
          <t>2025년 04월</t>
        </is>
      </c>
      <c r="E666" s="28" t="n">
        <v>24000</v>
      </c>
      <c r="F666" s="28" t="n">
        <v>21600</v>
      </c>
      <c r="G666" s="29" t="n">
        <v>11</v>
      </c>
      <c r="H666" s="29" t="n">
        <v>1236</v>
      </c>
      <c r="I666" s="21" t="inlineStr">
        <is>
          <t>2025</t>
        </is>
      </c>
      <c r="J666" s="21" t="inlineStr">
        <is>
          <t xml:space="preserve"> 0</t>
        </is>
      </c>
      <c r="K666" s="30">
        <f>(E666-F666)/IF(E666&gt;0,E666,1)</f>
        <v/>
      </c>
    </row>
    <row r="667">
      <c r="A667" s="22" t="inlineStr">
        <is>
          <t>데이터를 읽는 사람은 언제나 강하다</t>
        </is>
      </c>
      <c r="B667" s="22" t="inlineStr">
        <is>
          <t>노무라종합연구소 데이터사이언스랩, 전선영</t>
        </is>
      </c>
      <c r="C667" s="22" t="inlineStr">
        <is>
          <t>머스트리드북</t>
        </is>
      </c>
      <c r="D667" s="22" t="inlineStr">
        <is>
          <t>2024년 11월</t>
        </is>
      </c>
      <c r="E667" s="28" t="n">
        <v>17000</v>
      </c>
      <c r="F667" s="28" t="n">
        <v>15300</v>
      </c>
      <c r="G667" s="29" t="n">
        <v>15</v>
      </c>
      <c r="H667" s="29" t="n">
        <v>924</v>
      </c>
      <c r="I667" s="21" t="inlineStr">
        <is>
          <t>2024</t>
        </is>
      </c>
      <c r="J667" s="21" t="inlineStr">
        <is>
          <t xml:space="preserve"> 1</t>
        </is>
      </c>
      <c r="K667" s="30">
        <f>(E667-F667)/IF(E667&gt;0,E667,1)</f>
        <v/>
      </c>
    </row>
    <row r="668">
      <c r="A668" s="22" t="inlineStr">
        <is>
          <t>파이토치 트랜스포머를 활용한 자연어 처리와 컴퓨터비전 심층학습</t>
        </is>
      </c>
      <c r="B668" s="22" t="inlineStr">
        <is>
          <t>윤대희, 김동화, 송종민, 진현두</t>
        </is>
      </c>
      <c r="C668" s="22" t="inlineStr">
        <is>
          <t>위키북스</t>
        </is>
      </c>
      <c r="D668" s="22" t="inlineStr">
        <is>
          <t>2023년 10월</t>
        </is>
      </c>
      <c r="E668" s="28" t="n">
        <v>48000</v>
      </c>
      <c r="F668" s="28" t="n">
        <v>43200</v>
      </c>
      <c r="G668" s="29" t="n">
        <v>11</v>
      </c>
      <c r="H668" s="29" t="n">
        <v>822</v>
      </c>
      <c r="I668" s="21" t="inlineStr">
        <is>
          <t>2023</t>
        </is>
      </c>
      <c r="J668" s="21" t="inlineStr">
        <is>
          <t xml:space="preserve"> 1</t>
        </is>
      </c>
      <c r="K668" s="30">
        <f>(E668-F668)/IF(E668&gt;0,E668,1)</f>
        <v/>
      </c>
    </row>
    <row r="669">
      <c r="A669" s="22" t="inlineStr">
        <is>
          <t>시민 개발자의 시대, 생성형 AI 업무 자동화</t>
        </is>
      </c>
      <c r="B669" s="22" t="inlineStr">
        <is>
          <t>비현코</t>
        </is>
      </c>
      <c r="C669" s="22" t="inlineStr">
        <is>
          <t>영진닷컴</t>
        </is>
      </c>
      <c r="D669" s="22" t="inlineStr">
        <is>
          <t>2025년 06월</t>
        </is>
      </c>
      <c r="E669" s="28" t="n">
        <v>24000</v>
      </c>
      <c r="F669" s="28" t="n">
        <v>21600</v>
      </c>
      <c r="G669" s="29" t="n">
        <v>8</v>
      </c>
      <c r="H669" s="29" t="n">
        <v>792</v>
      </c>
      <c r="I669" s="21" t="inlineStr">
        <is>
          <t>2025</t>
        </is>
      </c>
      <c r="J669" s="21" t="inlineStr">
        <is>
          <t xml:space="preserve"> 0</t>
        </is>
      </c>
      <c r="K669" s="30">
        <f>(E669-F669)/IF(E669&gt;0,E669,1)</f>
        <v/>
      </c>
    </row>
    <row r="670">
      <c r="A670" s="22" t="inlineStr">
        <is>
          <t>인공지능과 뇌는 어떻게 생각하는가</t>
        </is>
      </c>
      <c r="B670" s="22" t="inlineStr">
        <is>
          <t>이상완</t>
        </is>
      </c>
      <c r="C670" s="22" t="inlineStr">
        <is>
          <t>솔</t>
        </is>
      </c>
      <c r="D670" s="22" t="inlineStr">
        <is>
          <t>2022년 09월</t>
        </is>
      </c>
      <c r="E670" s="28" t="n">
        <v>18000</v>
      </c>
      <c r="F670" s="28" t="n">
        <v>16200</v>
      </c>
      <c r="G670" s="29" t="n">
        <v>58</v>
      </c>
      <c r="H670" s="29" t="n">
        <v>762</v>
      </c>
      <c r="I670" s="21" t="inlineStr">
        <is>
          <t>2022</t>
        </is>
      </c>
      <c r="J670" s="21" t="inlineStr">
        <is>
          <t xml:space="preserve"> 0</t>
        </is>
      </c>
      <c r="K670" s="30">
        <f>(E670-F670)/IF(E670&gt;0,E670,1)</f>
        <v/>
      </c>
    </row>
    <row r="671">
      <c r="A671" s="22" t="inlineStr">
        <is>
          <t>진짜 업무에 쓰는 챗GPT 노코드 데이터 분석</t>
        </is>
      </c>
      <c r="B671" s="22" t="inlineStr">
        <is>
          <t>머신러너</t>
        </is>
      </c>
      <c r="C671" s="22" t="inlineStr">
        <is>
          <t>디지털북스</t>
        </is>
      </c>
      <c r="D671" s="22" t="inlineStr">
        <is>
          <t>2025년 03월</t>
        </is>
      </c>
      <c r="E671" s="28" t="n">
        <v>33000</v>
      </c>
      <c r="F671" s="28" t="n">
        <v>29700</v>
      </c>
      <c r="G671" s="29" t="n">
        <v>6</v>
      </c>
      <c r="H671" s="29" t="n">
        <v>732</v>
      </c>
      <c r="I671" s="21" t="inlineStr">
        <is>
          <t>2025</t>
        </is>
      </c>
      <c r="J671" s="21" t="inlineStr">
        <is>
          <t xml:space="preserve"> 0</t>
        </is>
      </c>
      <c r="K671" s="30">
        <f>(E671-F671)/IF(E671&gt;0,E671,1)</f>
        <v/>
      </c>
    </row>
    <row r="672">
      <c r="A672" s="22" t="inlineStr">
        <is>
          <t>딥러닝의 정석 with 파이토치</t>
        </is>
      </c>
      <c r="B672" s="22" t="inlineStr">
        <is>
          <t>김현정, 유상현</t>
        </is>
      </c>
      <c r="C672" s="22" t="inlineStr">
        <is>
          <t>길벗캠퍼스</t>
        </is>
      </c>
      <c r="D672" s="22" t="inlineStr">
        <is>
          <t>2025년 09월</t>
        </is>
      </c>
      <c r="E672" s="28" t="n">
        <v>34000</v>
      </c>
      <c r="F672" s="28" t="n">
        <v>34000</v>
      </c>
      <c r="G672" s="29" t="n">
        <v>0</v>
      </c>
      <c r="H672" s="29" t="n">
        <v>738</v>
      </c>
      <c r="I672" s="21" t="inlineStr">
        <is>
          <t>2025</t>
        </is>
      </c>
      <c r="J672" s="21" t="inlineStr">
        <is>
          <t xml:space="preserve"> 0</t>
        </is>
      </c>
      <c r="K672" s="30">
        <f>(E672-F672)/IF(E672&gt;0,E672,1)</f>
        <v/>
      </c>
    </row>
    <row r="673">
      <c r="A673" s="22" t="inlineStr">
        <is>
          <t>AI 덕분에 오늘도 칼퇴합니다</t>
        </is>
      </c>
      <c r="B673" s="22" t="inlineStr">
        <is>
          <t>박소이</t>
        </is>
      </c>
      <c r="C673" s="22" t="inlineStr">
        <is>
          <t>비전코리아</t>
        </is>
      </c>
      <c r="D673" s="22" t="inlineStr">
        <is>
          <t>2025년 05월</t>
        </is>
      </c>
      <c r="E673" s="28" t="n">
        <v>16800</v>
      </c>
      <c r="F673" s="28" t="n">
        <v>15120</v>
      </c>
      <c r="G673" s="29" t="n">
        <v>65</v>
      </c>
      <c r="H673" s="29" t="n">
        <v>990</v>
      </c>
      <c r="I673" s="21" t="inlineStr">
        <is>
          <t>2025</t>
        </is>
      </c>
      <c r="J673" s="21" t="inlineStr">
        <is>
          <t xml:space="preserve"> 0</t>
        </is>
      </c>
      <c r="K673" s="30">
        <f>(E673-F673)/IF(E673&gt;0,E673,1)</f>
        <v/>
      </c>
    </row>
    <row r="674">
      <c r="A674" s="22" t="inlineStr">
        <is>
          <t>미드저니 마스터 바이블</t>
        </is>
      </c>
      <c r="B674" s="22" t="inlineStr">
        <is>
          <t>조남경</t>
        </is>
      </c>
      <c r="C674" s="22" t="inlineStr">
        <is>
          <t>비엘북스</t>
        </is>
      </c>
      <c r="D674" s="22" t="inlineStr">
        <is>
          <t>2025년 04월</t>
        </is>
      </c>
      <c r="E674" s="28" t="n">
        <v>33000</v>
      </c>
      <c r="F674" s="28" t="n">
        <v>29700</v>
      </c>
      <c r="G674" s="29" t="n">
        <v>8</v>
      </c>
      <c r="H674" s="29" t="n">
        <v>3084</v>
      </c>
      <c r="I674" s="21" t="inlineStr">
        <is>
          <t>2025</t>
        </is>
      </c>
      <c r="J674" s="21" t="inlineStr">
        <is>
          <t xml:space="preserve"> 0</t>
        </is>
      </c>
      <c r="K674" s="30">
        <f>(E674-F674)/IF(E674&gt;0,E674,1)</f>
        <v/>
      </c>
    </row>
    <row r="675">
      <c r="A675" s="22" t="inlineStr">
        <is>
          <t>챗GPT·퍼플렉시티·클로드·코파일럿·제미나이 다 잘함</t>
        </is>
      </c>
      <c r="B675" s="22" t="inlineStr">
        <is>
          <t>이호정</t>
        </is>
      </c>
      <c r="C675" s="22" t="inlineStr">
        <is>
          <t>리코멘드</t>
        </is>
      </c>
      <c r="D675" s="22" t="inlineStr">
        <is>
          <t>2025년 01월</t>
        </is>
      </c>
      <c r="E675" s="28" t="n">
        <v>24000</v>
      </c>
      <c r="F675" s="28" t="n">
        <v>21600</v>
      </c>
      <c r="G675" s="29" t="n">
        <v>14</v>
      </c>
      <c r="H675" s="29" t="n">
        <v>3036</v>
      </c>
      <c r="I675" s="21" t="inlineStr">
        <is>
          <t>2025</t>
        </is>
      </c>
      <c r="J675" s="21" t="inlineStr">
        <is>
          <t xml:space="preserve"> 0</t>
        </is>
      </c>
      <c r="K675" s="30">
        <f>(E675-F675)/IF(E675&gt;0,E675,1)</f>
        <v/>
      </c>
    </row>
    <row r="676">
      <c r="A676" s="22" t="inlineStr">
        <is>
          <t>커서 AI로 나만의 수익형 앱 서비스 만들기</t>
        </is>
      </c>
      <c r="B676" s="22" t="inlineStr">
        <is>
          <t>빈센트</t>
        </is>
      </c>
      <c r="C676" s="22" t="inlineStr">
        <is>
          <t>루비페이퍼</t>
        </is>
      </c>
      <c r="D676" s="22" t="inlineStr">
        <is>
          <t>2025년 06월</t>
        </is>
      </c>
      <c r="E676" s="28" t="n">
        <v>28000</v>
      </c>
      <c r="F676" s="28" t="n">
        <v>25200</v>
      </c>
      <c r="G676" s="29" t="n">
        <v>4</v>
      </c>
      <c r="H676" s="29" t="n">
        <v>2808</v>
      </c>
      <c r="I676" s="21" t="inlineStr">
        <is>
          <t>2025</t>
        </is>
      </c>
      <c r="J676" s="21" t="inlineStr">
        <is>
          <t xml:space="preserve"> 0</t>
        </is>
      </c>
      <c r="K676" s="30">
        <f>(E676-F676)/IF(E676&gt;0,E676,1)</f>
        <v/>
      </c>
    </row>
    <row r="677">
      <c r="A677" s="22" t="inlineStr">
        <is>
          <t>1일 1단어 1분으로 끝내는 AI공부</t>
        </is>
      </c>
      <c r="B677" s="22" t="inlineStr">
        <is>
          <t>최재운</t>
        </is>
      </c>
      <c r="C677" s="22" t="inlineStr">
        <is>
          <t>글담</t>
        </is>
      </c>
      <c r="D677" s="22" t="inlineStr">
        <is>
          <t>2024년 10월</t>
        </is>
      </c>
      <c r="E677" s="28" t="n">
        <v>17000</v>
      </c>
      <c r="F677" s="28" t="n">
        <v>15300</v>
      </c>
      <c r="G677" s="29" t="n">
        <v>29</v>
      </c>
      <c r="H677" s="29" t="n">
        <v>654</v>
      </c>
      <c r="I677" s="21" t="inlineStr">
        <is>
          <t>2024</t>
        </is>
      </c>
      <c r="J677" s="21" t="inlineStr">
        <is>
          <t xml:space="preserve"> 1</t>
        </is>
      </c>
      <c r="K677" s="30">
        <f>(E677-F677)/IF(E677&gt;0,E677,1)</f>
        <v/>
      </c>
    </row>
    <row r="678">
      <c r="A678" s="22" t="inlineStr">
        <is>
          <t>1784</t>
        </is>
      </c>
      <c r="B678" s="22" t="inlineStr">
        <is>
          <t>네이버 1784 TF</t>
        </is>
      </c>
      <c r="C678" s="22" t="inlineStr">
        <is>
          <t>NAVER</t>
        </is>
      </c>
      <c r="D678" s="22" t="inlineStr">
        <is>
          <t>2024년 08월</t>
        </is>
      </c>
      <c r="E678" s="28" t="n">
        <v>22000</v>
      </c>
      <c r="F678" s="28" t="n">
        <v>19800</v>
      </c>
      <c r="G678" s="29" t="n">
        <v>9</v>
      </c>
      <c r="H678" s="29" t="n">
        <v>732</v>
      </c>
      <c r="I678" s="21" t="inlineStr">
        <is>
          <t>2024</t>
        </is>
      </c>
      <c r="J678" s="21" t="inlineStr">
        <is>
          <t xml:space="preserve"> 0</t>
        </is>
      </c>
      <c r="K678" s="30">
        <f>(E678-F678)/IF(E678&gt;0,E678,1)</f>
        <v/>
      </c>
    </row>
    <row r="679">
      <c r="A679" s="22" t="inlineStr">
        <is>
          <t>챗GPT와 함께 배우는 엔트리 마스터하기</t>
        </is>
      </c>
      <c r="B679" s="22" t="inlineStr">
        <is>
          <t>김종훈, 김현경, 김동건</t>
        </is>
      </c>
      <c r="C679" s="22" t="inlineStr">
        <is>
          <t>골든래빗</t>
        </is>
      </c>
      <c r="D679" s="22" t="inlineStr">
        <is>
          <t>2024년 08월</t>
        </is>
      </c>
      <c r="E679" s="28" t="n">
        <v>24000</v>
      </c>
      <c r="F679" s="28" t="n">
        <v>21600</v>
      </c>
      <c r="G679" s="29" t="n">
        <v>2</v>
      </c>
      <c r="H679" s="29" t="n">
        <v>720</v>
      </c>
      <c r="I679" s="21" t="inlineStr">
        <is>
          <t>2024</t>
        </is>
      </c>
      <c r="J679" s="21" t="inlineStr">
        <is>
          <t xml:space="preserve"> 0</t>
        </is>
      </c>
      <c r="K679" s="30">
        <f>(E679-F679)/IF(E679&gt;0,E679,1)</f>
        <v/>
      </c>
    </row>
    <row r="680">
      <c r="A680" s="22" t="inlineStr">
        <is>
          <t>Azure OpenAI로 ChatGPT와 LLM 시스템 쉽고 빠르게 구축하기</t>
        </is>
      </c>
      <c r="B680" s="22" t="inlineStr">
        <is>
          <t>가모 히로사토, 나가타 쇼헤이, 다테와키 유타, 미야타 다이시, 요시다 신고, 정보 더 보기/감추기, 가모 히로사토, 나가타 쇼헤이, 다테와키 유타, 미야타 다이시, 요시다 신고, 이토 슌타, 하나가사키 노부스케, 원밀리언라인즈코딩, 배인진</t>
        </is>
      </c>
      <c r="C680" s="22" t="inlineStr">
        <is>
          <t>제이펍</t>
        </is>
      </c>
      <c r="D680" s="22" t="inlineStr">
        <is>
          <t>2025년 03월</t>
        </is>
      </c>
      <c r="E680" s="28" t="n">
        <v>30000</v>
      </c>
      <c r="F680" s="28" t="n">
        <v>27000</v>
      </c>
      <c r="G680" s="29" t="n">
        <v>8</v>
      </c>
      <c r="H680" s="29" t="n">
        <v>588</v>
      </c>
      <c r="I680" s="21" t="inlineStr">
        <is>
          <t>2025</t>
        </is>
      </c>
      <c r="J680" s="21" t="inlineStr">
        <is>
          <t xml:space="preserve"> 0</t>
        </is>
      </c>
      <c r="K680" s="30">
        <f>(E680-F680)/IF(E680&gt;0,E680,1)</f>
        <v/>
      </c>
    </row>
    <row r="681">
      <c r="A681" s="22" t="inlineStr">
        <is>
          <t>트랜스포머로 시작하는 언어 모델과 생성형 인공지능</t>
        </is>
      </c>
      <c r="B681" s="22" t="inlineStr">
        <is>
          <t>추형석</t>
        </is>
      </c>
      <c r="C681" s="22" t="inlineStr">
        <is>
          <t>위즈앤북</t>
        </is>
      </c>
      <c r="D681" s="22" t="inlineStr">
        <is>
          <t>2025년 01월</t>
        </is>
      </c>
      <c r="E681" s="28" t="n">
        <v>17800</v>
      </c>
      <c r="F681" s="28" t="n">
        <v>16020</v>
      </c>
      <c r="G681" s="29" t="n">
        <v>4</v>
      </c>
      <c r="H681" s="29" t="n">
        <v>540</v>
      </c>
      <c r="I681" s="21" t="inlineStr">
        <is>
          <t>2025</t>
        </is>
      </c>
      <c r="J681" s="21" t="inlineStr">
        <is>
          <t xml:space="preserve"> 0</t>
        </is>
      </c>
      <c r="K681" s="30">
        <f>(E681-F681)/IF(E681&gt;0,E681,1)</f>
        <v/>
      </c>
    </row>
    <row r="682">
      <c r="A682" s="22" t="inlineStr">
        <is>
          <t>만들면서 배우는 아두이노 IoT 사물인터넷과 40개의 작품들</t>
        </is>
      </c>
      <c r="B682" s="22" t="inlineStr">
        <is>
          <t>장문철</t>
        </is>
      </c>
      <c r="C682" s="22" t="inlineStr">
        <is>
          <t>앤써북</t>
        </is>
      </c>
      <c r="D682" s="22" t="inlineStr">
        <is>
          <t>2024년 04월</t>
        </is>
      </c>
      <c r="E682" s="28" t="n">
        <v>26600</v>
      </c>
      <c r="F682" s="28" t="n">
        <v>23940</v>
      </c>
      <c r="G682" s="29" t="n">
        <v>3</v>
      </c>
      <c r="H682" s="29" t="n">
        <v>672</v>
      </c>
      <c r="I682" s="21" t="inlineStr">
        <is>
          <t>2024</t>
        </is>
      </c>
      <c r="J682" s="21" t="inlineStr">
        <is>
          <t xml:space="preserve"> 0</t>
        </is>
      </c>
      <c r="K682" s="30">
        <f>(E682-F682)/IF(E682&gt;0,E682,1)</f>
        <v/>
      </c>
    </row>
    <row r="683">
      <c r="A683" s="22" t="inlineStr">
        <is>
          <t>파이썬 데이터 분석 &amp; 시각화 + 웹 대시보드 제작하기</t>
        </is>
      </c>
      <c r="B683" s="22" t="inlineStr">
        <is>
          <t>박찬의</t>
        </is>
      </c>
      <c r="C683" s="22" t="inlineStr">
        <is>
          <t>앤써북</t>
        </is>
      </c>
      <c r="D683" s="22" t="inlineStr">
        <is>
          <t>2024년 01월</t>
        </is>
      </c>
      <c r="E683" s="28" t="n">
        <v>17700</v>
      </c>
      <c r="F683" s="28" t="n">
        <v>15930</v>
      </c>
      <c r="G683" s="29" t="n">
        <v>13</v>
      </c>
      <c r="H683" s="29" t="n">
        <v>564</v>
      </c>
      <c r="I683" s="21" t="inlineStr">
        <is>
          <t>2024</t>
        </is>
      </c>
      <c r="J683" s="21" t="inlineStr">
        <is>
          <t xml:space="preserve"> 0</t>
        </is>
      </c>
      <c r="K683" s="30">
        <f>(E683-F683)/IF(E683&gt;0,E683,1)</f>
        <v/>
      </c>
    </row>
    <row r="684">
      <c r="A684" s="22" t="inlineStr">
        <is>
          <t>케라스 창시자에게 배우는 딥러닝 개정 2판</t>
        </is>
      </c>
      <c r="B684" s="22" t="inlineStr">
        <is>
          <t>프랑소와 숄레, 박해선</t>
        </is>
      </c>
      <c r="C684" s="22" t="inlineStr">
        <is>
          <t>길벗</t>
        </is>
      </c>
      <c r="D684" s="22" t="inlineStr">
        <is>
          <t>2022년 08월</t>
        </is>
      </c>
      <c r="E684" s="28" t="n">
        <v>48000</v>
      </c>
      <c r="F684" s="28" t="n">
        <v>43200</v>
      </c>
      <c r="G684" s="29" t="n">
        <v>7</v>
      </c>
      <c r="H684" s="29" t="n">
        <v>546</v>
      </c>
      <c r="I684" s="21" t="inlineStr">
        <is>
          <t>2022</t>
        </is>
      </c>
      <c r="J684" s="21" t="inlineStr">
        <is>
          <t xml:space="preserve"> 0</t>
        </is>
      </c>
      <c r="K684" s="30">
        <f>(E684-F684)/IF(E684&gt;0,E684,1)</f>
        <v/>
      </c>
    </row>
    <row r="685">
      <c r="A685" s="22" t="inlineStr">
        <is>
          <t>LLM 디자인 패턴</t>
        </is>
      </c>
      <c r="B685" s="22" t="inlineStr">
        <is>
          <t>켄 황, 최용</t>
        </is>
      </c>
      <c r="C685" s="22" t="inlineStr">
        <is>
          <t>위키북스</t>
        </is>
      </c>
      <c r="D685" s="22" t="inlineStr">
        <is>
          <t>2025년 11월</t>
        </is>
      </c>
      <c r="E685" s="28" t="n">
        <v>35000</v>
      </c>
      <c r="F685" s="28" t="n">
        <v>31500</v>
      </c>
      <c r="G685" s="29" t="n">
        <v>0</v>
      </c>
      <c r="H685" s="29" t="n">
        <v>498</v>
      </c>
      <c r="I685" s="21" t="inlineStr">
        <is>
          <t>2025</t>
        </is>
      </c>
      <c r="J685" s="21" t="inlineStr">
        <is>
          <t xml:space="preserve"> 1</t>
        </is>
      </c>
      <c r="K685" s="30">
        <f>(E685-F685)/IF(E685&gt;0,E685,1)</f>
        <v/>
      </c>
    </row>
    <row r="686">
      <c r="A686" s="22" t="inlineStr">
        <is>
          <t>최적합 프롬프트엔지니어 2급</t>
        </is>
      </c>
      <c r="B686" s="22" t="inlineStr">
        <is>
          <t>김현정</t>
        </is>
      </c>
      <c r="C686" s="22" t="inlineStr">
        <is>
          <t>성안당</t>
        </is>
      </c>
      <c r="D686" s="22" t="inlineStr">
        <is>
          <t>2025년 04월</t>
        </is>
      </c>
      <c r="E686" s="28" t="n">
        <v>20000</v>
      </c>
      <c r="F686" s="28" t="n">
        <v>18000</v>
      </c>
      <c r="G686" s="29" t="n">
        <v>1</v>
      </c>
      <c r="H686" s="29" t="n">
        <v>540</v>
      </c>
      <c r="I686" s="21" t="inlineStr">
        <is>
          <t>2025</t>
        </is>
      </c>
      <c r="J686" s="21" t="inlineStr">
        <is>
          <t xml:space="preserve"> 0</t>
        </is>
      </c>
      <c r="K686" s="30">
        <f>(E686-F686)/IF(E686&gt;0,E686,1)</f>
        <v/>
      </c>
    </row>
    <row r="687">
      <c r="A687" s="22" t="inlineStr">
        <is>
          <t>MLOps 실전 가이드</t>
        </is>
      </c>
      <c r="B687" s="22" t="inlineStr">
        <is>
          <t>노아 기프트, 알프레도 데자, 이장후, 이일섭, 서기원, 정보 더 보기/감추기, 노아 기프트, 알프레도 데자, 이장후, 이일섭, 서기원, 맹윤호</t>
        </is>
      </c>
      <c r="C687" s="22" t="inlineStr">
        <is>
          <t>한빛미디어</t>
        </is>
      </c>
      <c r="D687" s="22" t="inlineStr">
        <is>
          <t>2023년 07월</t>
        </is>
      </c>
      <c r="E687" s="28" t="n">
        <v>40000</v>
      </c>
      <c r="F687" s="28" t="n">
        <v>36000</v>
      </c>
      <c r="G687" s="29" t="n">
        <v>22</v>
      </c>
      <c r="H687" s="29" t="n">
        <v>558</v>
      </c>
      <c r="I687" s="21" t="inlineStr">
        <is>
          <t>2023</t>
        </is>
      </c>
      <c r="J687" s="21" t="inlineStr">
        <is>
          <t xml:space="preserve"> 0</t>
        </is>
      </c>
      <c r="K687" s="30">
        <f>(E687-F687)/IF(E687&gt;0,E687,1)</f>
        <v/>
      </c>
    </row>
    <row r="688">
      <c r="A688" s="22" t="inlineStr">
        <is>
          <t>흥미로운 베이지안 통계</t>
        </is>
      </c>
      <c r="B688" s="22" t="inlineStr">
        <is>
          <t>윌 커트, 윤정미</t>
        </is>
      </c>
      <c r="C688" s="22" t="inlineStr">
        <is>
          <t>에이콘출판사</t>
        </is>
      </c>
      <c r="D688" s="22" t="inlineStr">
        <is>
          <t>2020년 12월</t>
        </is>
      </c>
      <c r="E688" s="28" t="n">
        <v>30000</v>
      </c>
      <c r="F688" s="28" t="n">
        <v>27000</v>
      </c>
      <c r="G688" s="29" t="n">
        <v>7</v>
      </c>
      <c r="H688" s="29" t="n">
        <v>534</v>
      </c>
      <c r="I688" s="21" t="inlineStr">
        <is>
          <t>2020</t>
        </is>
      </c>
      <c r="J688" s="21" t="inlineStr">
        <is>
          <t xml:space="preserve"> 1</t>
        </is>
      </c>
      <c r="K688" s="30">
        <f>(E688-F688)/IF(E688&gt;0,E688,1)</f>
        <v/>
      </c>
    </row>
    <row r="689">
      <c r="A689" s="22" t="inlineStr">
        <is>
          <t>Amazon Bedrock으로 시작하는 실전 생성형 AI 개발</t>
        </is>
      </c>
      <c r="B689" s="22" t="inlineStr">
        <is>
          <t>임지훈, 최성우</t>
        </is>
      </c>
      <c r="C689" s="22" t="inlineStr">
        <is>
          <t>디지털북스</t>
        </is>
      </c>
      <c r="D689" s="22" t="inlineStr">
        <is>
          <t>2025년 01월</t>
        </is>
      </c>
      <c r="E689" s="28" t="n">
        <v>22000</v>
      </c>
      <c r="F689" s="28" t="n">
        <v>19800</v>
      </c>
      <c r="G689" s="29" t="n">
        <v>8</v>
      </c>
      <c r="H689" s="29" t="n">
        <v>648</v>
      </c>
      <c r="I689" s="21" t="inlineStr">
        <is>
          <t>2025</t>
        </is>
      </c>
      <c r="J689" s="21" t="inlineStr">
        <is>
          <t xml:space="preserve"> 0</t>
        </is>
      </c>
      <c r="K689" s="30">
        <f>(E689-F689)/IF(E689&gt;0,E689,1)</f>
        <v/>
      </c>
    </row>
    <row r="690">
      <c r="A690" s="22" t="inlineStr">
        <is>
          <t>개발자 원칙 (확장판)</t>
        </is>
      </c>
      <c r="B690" s="22" t="inlineStr">
        <is>
          <t>박성철, 강대명, 공용준, 김정, 박미정, 정보 더 보기/감추기, 박성철, 강대명, 공용준, 김정, 박미정, 박종천, 이동욱, 장동수</t>
        </is>
      </c>
      <c r="C690" s="22" t="inlineStr">
        <is>
          <t>골든래빗</t>
        </is>
      </c>
      <c r="D690" s="22" t="inlineStr">
        <is>
          <t>2024년 09월</t>
        </is>
      </c>
      <c r="E690" s="28" t="n">
        <v>24000</v>
      </c>
      <c r="F690" s="28" t="n">
        <v>21600</v>
      </c>
      <c r="G690" s="29" t="n">
        <v>2</v>
      </c>
      <c r="H690" s="29" t="n">
        <v>474</v>
      </c>
      <c r="I690" s="21" t="inlineStr">
        <is>
          <t>2024</t>
        </is>
      </c>
      <c r="J690" s="21" t="inlineStr">
        <is>
          <t xml:space="preserve"> 0</t>
        </is>
      </c>
      <c r="K690" s="30">
        <f>(E690-F690)/IF(E690&gt;0,E690,1)</f>
        <v/>
      </c>
    </row>
    <row r="691">
      <c r="A691" s="22" t="inlineStr">
        <is>
          <t>금융 AI의 이해</t>
        </is>
      </c>
      <c r="B691" s="22" t="inlineStr">
        <is>
          <t>김태헌</t>
        </is>
      </c>
      <c r="C691" s="22" t="inlineStr">
        <is>
          <t>제이펍</t>
        </is>
      </c>
      <c r="D691" s="22" t="inlineStr">
        <is>
          <t>2024년 08월</t>
        </is>
      </c>
      <c r="E691" s="28" t="n">
        <v>32000</v>
      </c>
      <c r="F691" s="28" t="n">
        <v>28800</v>
      </c>
      <c r="G691" s="29" t="n">
        <v>9</v>
      </c>
      <c r="H691" s="29" t="n">
        <v>444</v>
      </c>
      <c r="I691" s="21" t="inlineStr">
        <is>
          <t>2024</t>
        </is>
      </c>
      <c r="J691" s="21" t="inlineStr">
        <is>
          <t xml:space="preserve"> 0</t>
        </is>
      </c>
      <c r="K691" s="30">
        <f>(E691-F691)/IF(E691&gt;0,E691,1)</f>
        <v/>
      </c>
    </row>
    <row r="692">
      <c r="A692" s="22" t="inlineStr">
        <is>
          <t>머신 러닝 Q &amp; AI</t>
        </is>
      </c>
      <c r="B692" s="22" t="inlineStr">
        <is>
          <t>세바스찬 라시카, 박해선</t>
        </is>
      </c>
      <c r="C692" s="22" t="inlineStr">
        <is>
          <t>길벗</t>
        </is>
      </c>
      <c r="D692" s="22" t="inlineStr">
        <is>
          <t>2025년 04월</t>
        </is>
      </c>
      <c r="E692" s="28" t="n">
        <v>35000</v>
      </c>
      <c r="F692" s="28" t="n">
        <v>31500</v>
      </c>
      <c r="G692" s="29" t="n">
        <v>17</v>
      </c>
      <c r="H692" s="29" t="n">
        <v>468</v>
      </c>
      <c r="I692" s="21" t="inlineStr">
        <is>
          <t>2025</t>
        </is>
      </c>
      <c r="J692" s="21" t="inlineStr">
        <is>
          <t xml:space="preserve"> 0</t>
        </is>
      </c>
      <c r="K692" s="30">
        <f>(E692-F692)/IF(E692&gt;0,E692,1)</f>
        <v/>
      </c>
    </row>
    <row r="693">
      <c r="A693" s="22" t="inlineStr">
        <is>
          <t>AI 사고를 위한 인공지능 교육</t>
        </is>
      </c>
      <c r="B693" s="22" t="inlineStr">
        <is>
          <t>한선관, 류미영, 김태령</t>
        </is>
      </c>
      <c r="C693" s="22" t="inlineStr">
        <is>
          <t>성안당</t>
        </is>
      </c>
      <c r="D693" s="22" t="inlineStr">
        <is>
          <t>2021년 01월</t>
        </is>
      </c>
      <c r="E693" s="28" t="n">
        <v>29000</v>
      </c>
      <c r="F693" s="28" t="n">
        <v>26100</v>
      </c>
      <c r="G693" s="29" t="n">
        <v>11</v>
      </c>
      <c r="H693" s="29" t="n">
        <v>516</v>
      </c>
      <c r="I693" s="21" t="inlineStr">
        <is>
          <t>2021</t>
        </is>
      </c>
      <c r="J693" s="21" t="inlineStr">
        <is>
          <t xml:space="preserve"> 0</t>
        </is>
      </c>
      <c r="K693" s="30">
        <f>(E693-F693)/IF(E693&gt;0,E693,1)</f>
        <v/>
      </c>
    </row>
    <row r="694">
      <c r="A694" s="22" t="inlineStr">
        <is>
          <t>파이토치 딥러닝 마스터</t>
        </is>
      </c>
      <c r="B694" s="22" t="inlineStr">
        <is>
          <t>엘리 스티븐스, 루카 안티가, 토마스 피이만, 현동석</t>
        </is>
      </c>
      <c r="C694" s="22" t="inlineStr">
        <is>
          <t>책만</t>
        </is>
      </c>
      <c r="D694" s="22" t="inlineStr">
        <is>
          <t>2022년 06월</t>
        </is>
      </c>
      <c r="E694" s="28" t="n">
        <v>35000</v>
      </c>
      <c r="F694" s="28" t="n">
        <v>31500</v>
      </c>
      <c r="G694" s="29" t="n">
        <v>0</v>
      </c>
      <c r="H694" s="29" t="n">
        <v>468</v>
      </c>
      <c r="I694" s="21" t="inlineStr">
        <is>
          <t>2022</t>
        </is>
      </c>
      <c r="J694" s="21" t="inlineStr">
        <is>
          <t xml:space="preserve"> 0</t>
        </is>
      </c>
      <c r="K694" s="30">
        <f>(E694-F694)/IF(E694&gt;0,E694,1)</f>
        <v/>
      </c>
    </row>
    <row r="695">
      <c r="A695" s="22" t="inlineStr">
        <is>
          <t>몬테카를로 시뮬레이션으로 배우는 확률통계 with 파이썬</t>
        </is>
      </c>
      <c r="B695" s="22" t="inlineStr">
        <is>
          <t>장철원</t>
        </is>
      </c>
      <c r="C695" s="22" t="inlineStr">
        <is>
          <t>비제이퍼블릭(BJ퍼블릭)</t>
        </is>
      </c>
      <c r="D695" s="22" t="inlineStr">
        <is>
          <t>2023년 03월</t>
        </is>
      </c>
      <c r="E695" s="28" t="n">
        <v>33000</v>
      </c>
      <c r="F695" s="28" t="n">
        <v>29700</v>
      </c>
      <c r="G695" s="29" t="n">
        <v>10</v>
      </c>
      <c r="H695" s="29" t="n">
        <v>432</v>
      </c>
      <c r="I695" s="21" t="inlineStr">
        <is>
          <t>2023</t>
        </is>
      </c>
      <c r="J695" s="21" t="inlineStr">
        <is>
          <t xml:space="preserve"> 0</t>
        </is>
      </c>
      <c r="K695" s="30">
        <f>(E695-F695)/IF(E695&gt;0,E695,1)</f>
        <v/>
      </c>
    </row>
    <row r="696">
      <c r="A696" s="22" t="inlineStr">
        <is>
          <t>프로그래머를 위한 확률과 통계</t>
        </is>
      </c>
      <c r="B696" s="22" t="inlineStr">
        <is>
          <t>히라오카 카즈유키, 호리 겐, 이창신</t>
        </is>
      </c>
      <c r="C696" s="22" t="inlineStr">
        <is>
          <t>길벗</t>
        </is>
      </c>
      <c r="D696" s="22" t="inlineStr">
        <is>
          <t>2019년 05월</t>
        </is>
      </c>
      <c r="E696" s="28" t="n">
        <v>32000</v>
      </c>
      <c r="F696" s="28" t="n">
        <v>28800</v>
      </c>
      <c r="G696" s="29" t="n">
        <v>4</v>
      </c>
      <c r="H696" s="29" t="n">
        <v>420</v>
      </c>
      <c r="I696" s="21" t="inlineStr">
        <is>
          <t>2019</t>
        </is>
      </c>
      <c r="J696" s="21" t="inlineStr">
        <is>
          <t xml:space="preserve"> 0</t>
        </is>
      </c>
      <c r="K696" s="30">
        <f>(E696-F696)/IF(E696&gt;0,E696,1)</f>
        <v/>
      </c>
    </row>
    <row r="697">
      <c r="A697" s="22" t="inlineStr">
        <is>
          <t>피지컬 AI, 현실 세계의 지능화</t>
        </is>
      </c>
      <c r="B697" s="22" t="inlineStr">
        <is>
          <t>김학용</t>
        </is>
      </c>
      <c r="C697" s="22" t="inlineStr">
        <is>
          <t>커뮤니케이션북스</t>
        </is>
      </c>
      <c r="D697" s="22" t="inlineStr">
        <is>
          <t>2025년 10월</t>
        </is>
      </c>
      <c r="E697" s="28" t="n">
        <v>12000</v>
      </c>
      <c r="F697" s="28" t="n">
        <v>12000</v>
      </c>
      <c r="G697" s="29" t="n">
        <v>4</v>
      </c>
      <c r="H697" s="29" t="n">
        <v>528</v>
      </c>
      <c r="I697" s="21" t="inlineStr">
        <is>
          <t>2025</t>
        </is>
      </c>
      <c r="J697" s="21" t="inlineStr">
        <is>
          <t xml:space="preserve"> 1</t>
        </is>
      </c>
      <c r="K697" s="30">
        <f>(E697-F697)/IF(E697&gt;0,E697,1)</f>
        <v/>
      </c>
    </row>
    <row r="698">
      <c r="A698" s="22" t="inlineStr">
        <is>
          <t>딥러닝을 위한 수학</t>
        </is>
      </c>
      <c r="B698" s="22" t="inlineStr">
        <is>
          <t>아카이시 마사노리, 신상재</t>
        </is>
      </c>
      <c r="C698" s="22" t="inlineStr">
        <is>
          <t>위키북스</t>
        </is>
      </c>
      <c r="D698" s="22" t="inlineStr">
        <is>
          <t>2020년 03월</t>
        </is>
      </c>
      <c r="E698" s="28" t="n">
        <v>25000</v>
      </c>
      <c r="F698" s="28" t="n">
        <v>22500</v>
      </c>
      <c r="G698" s="29" t="n">
        <v>1</v>
      </c>
      <c r="H698" s="29" t="n">
        <v>438</v>
      </c>
      <c r="I698" s="21" t="inlineStr">
        <is>
          <t>2020</t>
        </is>
      </c>
      <c r="J698" s="21" t="inlineStr">
        <is>
          <t xml:space="preserve"> 0</t>
        </is>
      </c>
      <c r="K698" s="30">
        <f>(E698-F698)/IF(E698&gt;0,E698,1)</f>
        <v/>
      </c>
    </row>
    <row r="699">
      <c r="A699" s="22" t="inlineStr">
        <is>
          <t>AI와 심리상담</t>
        </is>
      </c>
      <c r="B699" s="22" t="inlineStr">
        <is>
          <t>황매향</t>
        </is>
      </c>
      <c r="C699" s="22" t="inlineStr">
        <is>
          <t>커뮤니케이션북스</t>
        </is>
      </c>
      <c r="D699" s="22" t="inlineStr">
        <is>
          <t>2025년 08월</t>
        </is>
      </c>
      <c r="E699" s="28" t="n">
        <v>12000</v>
      </c>
      <c r="F699" s="28" t="n">
        <v>11400</v>
      </c>
      <c r="G699" s="29" t="n">
        <v>0</v>
      </c>
      <c r="H699" s="29" t="n">
        <v>378</v>
      </c>
      <c r="I699" s="21" t="inlineStr">
        <is>
          <t>2025</t>
        </is>
      </c>
      <c r="J699" s="21" t="inlineStr">
        <is>
          <t xml:space="preserve"> 0</t>
        </is>
      </c>
      <c r="K699" s="30">
        <f>(E699-F699)/IF(E699&gt;0,E699,1)</f>
        <v/>
      </c>
    </row>
    <row r="700">
      <c r="A700" s="22" t="inlineStr">
        <is>
          <t>베테랑 AI 전문가가 만든 가장 쉬운 나노바나나 활용! NanoBanana(나노바나나)로 무엇이든 만들 수 있다 (AI 영상 제작)</t>
        </is>
      </c>
      <c r="B700" s="22" t="inlineStr">
        <is>
          <t>이현, 문서영, 최숙현, 남상억</t>
        </is>
      </c>
      <c r="C700" s="22" t="inlineStr">
        <is>
          <t>광문각출판미디어</t>
        </is>
      </c>
      <c r="D700" s="22" t="inlineStr">
        <is>
          <t>2026년 01월</t>
        </is>
      </c>
      <c r="E700" s="28" t="n">
        <v>19000</v>
      </c>
      <c r="F700" s="28" t="n">
        <v>18050</v>
      </c>
      <c r="G700" s="29" t="n">
        <v>64</v>
      </c>
      <c r="H700" s="29" t="n">
        <v>1554</v>
      </c>
      <c r="I700" s="21" t="inlineStr">
        <is>
          <t>2026</t>
        </is>
      </c>
      <c r="J700" s="21" t="inlineStr">
        <is>
          <t xml:space="preserve"> 0</t>
        </is>
      </c>
      <c r="K700" s="30">
        <f>(E700-F700)/IF(E700&gt;0,E700,1)</f>
        <v/>
      </c>
    </row>
    <row r="701">
      <c r="A701" s="22" t="inlineStr">
        <is>
          <t>에너지와 AI</t>
        </is>
      </c>
      <c r="B701" s="22" t="inlineStr">
        <is>
          <t>최우성</t>
        </is>
      </c>
      <c r="C701" s="22" t="inlineStr">
        <is>
          <t>커뮤니케이션북스</t>
        </is>
      </c>
      <c r="D701" s="22" t="inlineStr">
        <is>
          <t>2025년 08월</t>
        </is>
      </c>
      <c r="E701" s="28" t="n">
        <v>12000</v>
      </c>
      <c r="F701" s="28" t="n">
        <v>12000</v>
      </c>
      <c r="G701" s="29" t="n">
        <v>1</v>
      </c>
      <c r="H701" s="29" t="n">
        <v>384</v>
      </c>
      <c r="I701" s="21" t="inlineStr">
        <is>
          <t>2025</t>
        </is>
      </c>
      <c r="J701" s="21" t="inlineStr">
        <is>
          <t xml:space="preserve"> 0</t>
        </is>
      </c>
      <c r="K701" s="30">
        <f>(E701-F701)/IF(E701&gt;0,E701,1)</f>
        <v/>
      </c>
    </row>
    <row r="702">
      <c r="A702" s="22" t="inlineStr">
        <is>
          <t>딥러닝 EXPRESS</t>
        </is>
      </c>
      <c r="B702" s="22" t="inlineStr">
        <is>
          <t>천인국</t>
        </is>
      </c>
      <c r="C702" s="22" t="inlineStr">
        <is>
          <t>생능출판사</t>
        </is>
      </c>
      <c r="D702" s="22" t="inlineStr">
        <is>
          <t>2024년 07월</t>
        </is>
      </c>
      <c r="E702" s="28" t="n">
        <v>34000</v>
      </c>
      <c r="F702" s="28" t="n">
        <v>34000</v>
      </c>
      <c r="G702" s="29" t="n">
        <v>0</v>
      </c>
      <c r="H702" s="29" t="n">
        <v>1488</v>
      </c>
      <c r="I702" s="21" t="inlineStr">
        <is>
          <t>2024</t>
        </is>
      </c>
      <c r="J702" s="21" t="inlineStr">
        <is>
          <t xml:space="preserve"> 0</t>
        </is>
      </c>
      <c r="K702" s="30">
        <f>(E702-F702)/IF(E702&gt;0,E702,1)</f>
        <v/>
      </c>
    </row>
    <row r="703">
      <c r="A703" s="22" t="inlineStr">
        <is>
          <t>어른들을 위한 가장 쉬운 챗GPT</t>
        </is>
      </c>
      <c r="B703" s="22" t="inlineStr">
        <is>
          <t>혜지원 기획팀</t>
        </is>
      </c>
      <c r="C703" s="22" t="inlineStr">
        <is>
          <t>혜지원</t>
        </is>
      </c>
      <c r="D703" s="22" t="inlineStr">
        <is>
          <t>2025년 03월</t>
        </is>
      </c>
      <c r="E703" s="28" t="n">
        <v>18000</v>
      </c>
      <c r="F703" s="28" t="n">
        <v>16200</v>
      </c>
      <c r="G703" s="29" t="n">
        <v>0</v>
      </c>
      <c r="H703" s="29" t="n">
        <v>888</v>
      </c>
      <c r="I703" s="21" t="inlineStr">
        <is>
          <t>2025</t>
        </is>
      </c>
      <c r="J703" s="21" t="inlineStr">
        <is>
          <t xml:space="preserve"> 0</t>
        </is>
      </c>
      <c r="K703" s="30">
        <f>(E703-F703)/IF(E703&gt;0,E703,1)</f>
        <v/>
      </c>
    </row>
    <row r="704">
      <c r="A704" s="22" t="inlineStr">
        <is>
          <t>세상을 복제하는 공장, Physical AI 데이터팩토리</t>
        </is>
      </c>
      <c r="B704" s="22" t="inlineStr">
        <is>
          <t>손병희</t>
        </is>
      </c>
      <c r="C704" s="22" t="inlineStr">
        <is>
          <t>꾸그티처스</t>
        </is>
      </c>
      <c r="D704" s="22" t="inlineStr">
        <is>
          <t>2026년 02월</t>
        </is>
      </c>
      <c r="E704" s="28" t="n">
        <v>15000</v>
      </c>
      <c r="F704" s="28" t="n">
        <v>13500</v>
      </c>
      <c r="G704" s="29" t="n">
        <v>2</v>
      </c>
      <c r="H704" s="29" t="n">
        <v>366</v>
      </c>
      <c r="I704" s="21" t="inlineStr">
        <is>
          <t>2026</t>
        </is>
      </c>
      <c r="J704" s="21" t="inlineStr">
        <is>
          <t xml:space="preserve"> 0</t>
        </is>
      </c>
      <c r="K704" s="30">
        <f>(E704-F704)/IF(E704&gt;0,E704,1)</f>
        <v/>
      </c>
    </row>
    <row r="705">
      <c r="A705" s="22" t="inlineStr">
        <is>
          <t>디자인 경험을 바꾸는 UX/UI 디자인 with AI</t>
        </is>
      </c>
      <c r="B705" s="22" t="inlineStr">
        <is>
          <t>유훈식</t>
        </is>
      </c>
      <c r="C705" s="22" t="inlineStr">
        <is>
          <t>한빛미디어</t>
        </is>
      </c>
      <c r="D705" s="22" t="inlineStr">
        <is>
          <t>2025년 06월</t>
        </is>
      </c>
      <c r="E705" s="28" t="n">
        <v>32000</v>
      </c>
      <c r="F705" s="28" t="n">
        <v>28800</v>
      </c>
      <c r="G705" s="29" t="n">
        <v>7</v>
      </c>
      <c r="H705" s="29" t="n">
        <v>1524</v>
      </c>
      <c r="I705" s="21" t="inlineStr">
        <is>
          <t>2025</t>
        </is>
      </c>
      <c r="J705" s="21" t="inlineStr">
        <is>
          <t xml:space="preserve"> 0</t>
        </is>
      </c>
      <c r="K705" s="30">
        <f>(E705-F705)/IF(E705&gt;0,E705,1)</f>
        <v/>
      </c>
    </row>
    <row r="706">
      <c r="A706" s="22" t="inlineStr">
        <is>
          <t>경험에서 배운다! 실전 데이터 분석 35</t>
        </is>
      </c>
      <c r="B706" s="22" t="inlineStr">
        <is>
          <t>다카하시 이치로, 시라이시 타쿠야, 시미즈 아키에, 신정원, 권정민</t>
        </is>
      </c>
      <c r="C706" s="22" t="inlineStr">
        <is>
          <t>책만</t>
        </is>
      </c>
      <c r="D706" s="22" t="inlineStr">
        <is>
          <t>2025년 07월</t>
        </is>
      </c>
      <c r="E706" s="28" t="n">
        <v>20000</v>
      </c>
      <c r="F706" s="28" t="n">
        <v>18000</v>
      </c>
      <c r="G706" s="29" t="n">
        <v>10</v>
      </c>
      <c r="H706" s="29" t="n">
        <v>1608</v>
      </c>
      <c r="I706" s="21" t="inlineStr">
        <is>
          <t>2025</t>
        </is>
      </c>
      <c r="J706" s="21" t="inlineStr">
        <is>
          <t xml:space="preserve"> 0</t>
        </is>
      </c>
      <c r="K706" s="30">
        <f>(E706-F706)/IF(E706&gt;0,E706,1)</f>
        <v/>
      </c>
    </row>
    <row r="707">
      <c r="A707" s="22" t="inlineStr">
        <is>
          <t>다시 확률 통계-통계편</t>
        </is>
      </c>
      <c r="B707" s="22" t="inlineStr">
        <is>
          <t>나가노 히로유키, 장진희</t>
        </is>
      </c>
      <c r="C707" s="22" t="inlineStr">
        <is>
          <t>길벗</t>
        </is>
      </c>
      <c r="D707" s="22" t="inlineStr">
        <is>
          <t>2022년 04월</t>
        </is>
      </c>
      <c r="E707" s="28" t="n">
        <v>24000</v>
      </c>
      <c r="F707" s="28" t="n">
        <v>21600</v>
      </c>
      <c r="G707" s="29" t="n">
        <v>14</v>
      </c>
      <c r="H707" s="29" t="n">
        <v>318</v>
      </c>
      <c r="I707" s="21" t="inlineStr">
        <is>
          <t>2022</t>
        </is>
      </c>
      <c r="J707" s="21" t="inlineStr">
        <is>
          <t xml:space="preserve"> 0</t>
        </is>
      </c>
      <c r="K707" s="30">
        <f>(E707-F707)/IF(E707&gt;0,E707,1)</f>
        <v/>
      </c>
    </row>
    <row r="708">
      <c r="A708" s="22" t="inlineStr">
        <is>
          <t>스마트폰으로 배우는 챗GPT &amp; 생성형 AI</t>
        </is>
      </c>
      <c r="B708" s="22" t="inlineStr">
        <is>
          <t>안은진</t>
        </is>
      </c>
      <c r="C708" s="22" t="inlineStr">
        <is>
          <t>아티오</t>
        </is>
      </c>
      <c r="D708" s="22" t="inlineStr">
        <is>
          <t>2025년 12월</t>
        </is>
      </c>
      <c r="E708" s="28" t="n">
        <v>15000</v>
      </c>
      <c r="F708" s="28" t="n">
        <v>13500</v>
      </c>
      <c r="G708" s="29" t="n">
        <v>0</v>
      </c>
      <c r="H708" s="29" t="n">
        <v>324</v>
      </c>
      <c r="I708" s="21" t="inlineStr">
        <is>
          <t>2025</t>
        </is>
      </c>
      <c r="J708" s="21" t="inlineStr">
        <is>
          <t xml:space="preserve"> 1</t>
        </is>
      </c>
      <c r="K708" s="30">
        <f>(E708-F708)/IF(E708&gt;0,E708,1)</f>
        <v/>
      </c>
    </row>
    <row r="709">
      <c r="A709" s="22" t="inlineStr">
        <is>
          <t>생성형 AI를 활용한 게임 개발</t>
        </is>
      </c>
      <c r="B709" s="22" t="inlineStr">
        <is>
          <t>정금호</t>
        </is>
      </c>
      <c r="C709" s="22" t="inlineStr">
        <is>
          <t>로드북</t>
        </is>
      </c>
      <c r="D709" s="22" t="inlineStr">
        <is>
          <t>2024년 12월</t>
        </is>
      </c>
      <c r="E709" s="28" t="n">
        <v>27000</v>
      </c>
      <c r="F709" s="28" t="n">
        <v>24300</v>
      </c>
      <c r="G709" s="29" t="n">
        <v>1</v>
      </c>
      <c r="H709" s="29" t="n">
        <v>270</v>
      </c>
      <c r="I709" s="21" t="inlineStr">
        <is>
          <t>2024</t>
        </is>
      </c>
      <c r="J709" s="21" t="inlineStr">
        <is>
          <t xml:space="preserve"> 1</t>
        </is>
      </c>
      <c r="K709" s="30">
        <f>(E709-F709)/IF(E709&gt;0,E709,1)</f>
        <v/>
      </c>
    </row>
    <row r="710">
      <c r="A710" s="22" t="inlineStr">
        <is>
          <t>클라우드 애플리케이션 아키텍처 패턴</t>
        </is>
      </c>
      <c r="B710" s="22" t="inlineStr">
        <is>
          <t>카일 브라운, 바비 울프, 조셉 요더, 박수현</t>
        </is>
      </c>
      <c r="C710" s="22" t="inlineStr">
        <is>
          <t>한빛미디어</t>
        </is>
      </c>
      <c r="D710" s="22" t="inlineStr">
        <is>
          <t>2026년 03월</t>
        </is>
      </c>
      <c r="E710" s="28" t="n">
        <v>46000</v>
      </c>
      <c r="F710" s="28" t="n">
        <v>41400</v>
      </c>
      <c r="G710" s="29" t="n">
        <v>9</v>
      </c>
      <c r="H710" s="29" t="n">
        <v>294</v>
      </c>
      <c r="I710" s="21" t="inlineStr">
        <is>
          <t>2026</t>
        </is>
      </c>
      <c r="J710" s="21" t="inlineStr">
        <is>
          <t xml:space="preserve"> 0</t>
        </is>
      </c>
      <c r="K710" s="30">
        <f>(E710-F710)/IF(E710&gt;0,E710,1)</f>
        <v/>
      </c>
    </row>
    <row r="711">
      <c r="A711" s="22" t="inlineStr">
        <is>
          <t>머신러닝 이론과 실습</t>
        </is>
      </c>
      <c r="B711" s="22" t="inlineStr">
        <is>
          <t>권현, 석호식, 김정수, 오세홍, 박주현</t>
        </is>
      </c>
      <c r="C711" s="22" t="inlineStr">
        <is>
          <t>한빛아카데미</t>
        </is>
      </c>
      <c r="D711" s="22" t="inlineStr">
        <is>
          <t>2024년 07월</t>
        </is>
      </c>
      <c r="E711" s="28" t="n">
        <v>28000</v>
      </c>
      <c r="F711" s="28" t="n">
        <v>28000</v>
      </c>
      <c r="G711" s="29" t="n">
        <v>1</v>
      </c>
      <c r="H711" s="29" t="n">
        <v>312</v>
      </c>
      <c r="I711" s="21" t="inlineStr">
        <is>
          <t>2024</t>
        </is>
      </c>
      <c r="J711" s="21" t="inlineStr">
        <is>
          <t xml:space="preserve"> 0</t>
        </is>
      </c>
      <c r="K711" s="30">
        <f>(E711-F711)/IF(E711&gt;0,E711,1)</f>
        <v/>
      </c>
    </row>
    <row r="712">
      <c r="A712" s="22" t="inlineStr">
        <is>
          <t>트랜스포머로 시작하는 자연어 처리</t>
        </is>
      </c>
      <c r="B712" s="22" t="inlineStr">
        <is>
          <t>Denis Rothman, 김윤기, 박지성, 임창대, 하헌규</t>
        </is>
      </c>
      <c r="C712" s="22" t="inlineStr">
        <is>
          <t>영진닷컴</t>
        </is>
      </c>
      <c r="D712" s="22" t="inlineStr">
        <is>
          <t>2024년 07월</t>
        </is>
      </c>
      <c r="E712" s="28" t="n">
        <v>42000</v>
      </c>
      <c r="F712" s="28" t="n">
        <v>37800</v>
      </c>
      <c r="G712" s="29" t="n">
        <v>31</v>
      </c>
      <c r="H712" s="29" t="n">
        <v>270</v>
      </c>
      <c r="I712" s="21" t="inlineStr">
        <is>
          <t>2024</t>
        </is>
      </c>
      <c r="J712" s="21" t="inlineStr">
        <is>
          <t xml:space="preserve"> 0</t>
        </is>
      </c>
      <c r="K712" s="30">
        <f>(E712-F712)/IF(E712&gt;0,E712,1)</f>
        <v/>
      </c>
    </row>
    <row r="713">
      <c r="A713" s="22" t="inlineStr">
        <is>
          <t>그림으로 배우는 구글 클라우드 101</t>
        </is>
      </c>
      <c r="B713" s="22" t="inlineStr">
        <is>
          <t>프리양카 베르가디아, 이준호</t>
        </is>
      </c>
      <c r="C713" s="22" t="inlineStr">
        <is>
          <t>제이펍</t>
        </is>
      </c>
      <c r="D713" s="22" t="inlineStr">
        <is>
          <t>2023년 11월</t>
        </is>
      </c>
      <c r="E713" s="28" t="n">
        <v>29000</v>
      </c>
      <c r="F713" s="28" t="n">
        <v>26100</v>
      </c>
      <c r="G713" s="29" t="n">
        <v>8</v>
      </c>
      <c r="H713" s="29" t="n">
        <v>396</v>
      </c>
      <c r="I713" s="21" t="inlineStr">
        <is>
          <t>2023</t>
        </is>
      </c>
      <c r="J713" s="21" t="inlineStr">
        <is>
          <t xml:space="preserve"> 1</t>
        </is>
      </c>
      <c r="K713" s="30">
        <f>(E713-F713)/IF(E713&gt;0,E713,1)</f>
        <v/>
      </c>
    </row>
    <row r="714">
      <c r="A714" s="22" t="inlineStr">
        <is>
          <t>챗GPT 시대 교육, AI로 풀다</t>
        </is>
      </c>
      <c r="B714" s="22" t="inlineStr">
        <is>
          <t>노명호, 지미정, 오한나, 윤신영, 윤주현, 정보 더 보기/감추기, 노명호, 지미정, 오한나, 윤신영, 윤주현, 오미숙, 장희영, 표완구, 김봉한, 소민영, 장덕진</t>
        </is>
      </c>
      <c r="C714" s="22" t="inlineStr">
        <is>
          <t>BOOKK(부크크)</t>
        </is>
      </c>
      <c r="D714" s="22" t="inlineStr">
        <is>
          <t>2023년 05월</t>
        </is>
      </c>
      <c r="E714" s="28" t="n">
        <v>15000</v>
      </c>
      <c r="F714" s="28" t="n">
        <v>15000</v>
      </c>
      <c r="G714" s="29" t="n">
        <v>11</v>
      </c>
      <c r="H714" s="29" t="n">
        <v>282</v>
      </c>
      <c r="I714" s="21" t="inlineStr">
        <is>
          <t>2023</t>
        </is>
      </c>
      <c r="J714" s="21" t="inlineStr">
        <is>
          <t xml:space="preserve"> 0</t>
        </is>
      </c>
      <c r="K714" s="30">
        <f>(E714-F714)/IF(E714&gt;0,E714,1)</f>
        <v/>
      </c>
    </row>
    <row r="715">
      <c r="A715" s="22" t="inlineStr">
        <is>
          <t>다시 확률 통계 : 확률편</t>
        </is>
      </c>
      <c r="B715" s="22" t="inlineStr">
        <is>
          <t>나가노 히로유키, 장진희</t>
        </is>
      </c>
      <c r="C715" s="22" t="inlineStr">
        <is>
          <t>길벗</t>
        </is>
      </c>
      <c r="D715" s="22" t="inlineStr">
        <is>
          <t>2020년 07월</t>
        </is>
      </c>
      <c r="E715" s="28" t="n">
        <v>18000</v>
      </c>
      <c r="F715" s="28" t="n">
        <v>16200</v>
      </c>
      <c r="G715" s="29" t="n">
        <v>14</v>
      </c>
      <c r="H715" s="29" t="n">
        <v>306</v>
      </c>
      <c r="I715" s="21" t="inlineStr">
        <is>
          <t>2020</t>
        </is>
      </c>
      <c r="J715" s="21" t="inlineStr">
        <is>
          <t xml:space="preserve"> 0</t>
        </is>
      </c>
      <c r="K715" s="30">
        <f>(E715-F715)/IF(E715&gt;0,E715,1)</f>
        <v/>
      </c>
    </row>
    <row r="716">
      <c r="A716" s="22" t="inlineStr">
        <is>
          <t>실전! LLM을 활용한 생성형 AI 애플리케이션 개발</t>
        </is>
      </c>
      <c r="B716" s="22" t="inlineStr">
        <is>
          <t>발렌티나 알토, 최용</t>
        </is>
      </c>
      <c r="C716" s="22" t="inlineStr">
        <is>
          <t>위키북스</t>
        </is>
      </c>
      <c r="D716" s="22" t="inlineStr">
        <is>
          <t>2024년 11월</t>
        </is>
      </c>
      <c r="E716" s="28" t="n">
        <v>28000</v>
      </c>
      <c r="F716" s="28" t="n">
        <v>25200</v>
      </c>
      <c r="G716" s="29" t="n">
        <v>1</v>
      </c>
      <c r="H716" s="29" t="n">
        <v>354</v>
      </c>
      <c r="I716" s="21" t="inlineStr">
        <is>
          <t>2024</t>
        </is>
      </c>
      <c r="J716" s="21" t="inlineStr">
        <is>
          <t xml:space="preserve"> 1</t>
        </is>
      </c>
      <c r="K716" s="30">
        <f>(E716-F716)/IF(E716&gt;0,E716,1)</f>
        <v/>
      </c>
    </row>
    <row r="717">
      <c r="A717" s="22" t="inlineStr">
        <is>
          <t>데이터 마이닝 개념과 기법 4/e</t>
        </is>
      </c>
      <c r="B717" s="22" t="inlineStr">
        <is>
          <t>지아웨이 한, 지안 페이, 항항 통, 동준상</t>
        </is>
      </c>
      <c r="C717" s="22" t="inlineStr">
        <is>
          <t>에이콘출판사</t>
        </is>
      </c>
      <c r="D717" s="22" t="inlineStr">
        <is>
          <t>2025년 01월</t>
        </is>
      </c>
      <c r="E717" s="28" t="n">
        <v>55000</v>
      </c>
      <c r="F717" s="28" t="n">
        <v>49500</v>
      </c>
      <c r="G717" s="29" t="n">
        <v>0</v>
      </c>
      <c r="H717" s="29" t="n">
        <v>321</v>
      </c>
      <c r="I717" s="21" t="inlineStr">
        <is>
          <t>2025</t>
        </is>
      </c>
      <c r="J717" s="21" t="inlineStr">
        <is>
          <t xml:space="preserve"> 0</t>
        </is>
      </c>
      <c r="K717" s="30">
        <f>(E717-F717)/IF(E717&gt;0,E717,1)</f>
        <v/>
      </c>
    </row>
    <row r="718">
      <c r="A718" s="22" t="inlineStr">
        <is>
          <t>프로그래머를 위한 기초 해석학</t>
        </is>
      </c>
      <c r="B718" s="22" t="inlineStr">
        <is>
          <t>나카이 에츠지, 이기홍</t>
        </is>
      </c>
      <c r="C718" s="22" t="inlineStr">
        <is>
          <t>길벗</t>
        </is>
      </c>
      <c r="D718" s="22" t="inlineStr">
        <is>
          <t>2018년 12월</t>
        </is>
      </c>
      <c r="E718" s="28" t="n">
        <v>25000</v>
      </c>
      <c r="F718" s="28" t="n">
        <v>22500</v>
      </c>
      <c r="G718" s="29" t="n">
        <v>7</v>
      </c>
      <c r="H718" s="29" t="n">
        <v>264</v>
      </c>
      <c r="I718" s="21" t="inlineStr">
        <is>
          <t>2018</t>
        </is>
      </c>
      <c r="J718" s="21" t="inlineStr">
        <is>
          <t xml:space="preserve"> 1</t>
        </is>
      </c>
      <c r="K718" s="30">
        <f>(E718-F718)/IF(E718&gt;0,E718,1)</f>
        <v/>
      </c>
    </row>
    <row r="719">
      <c r="A719" s="22" t="inlineStr">
        <is>
          <t>AI 모델 성능 평가, LLM·VLM과 미래 AI 모델</t>
        </is>
      </c>
      <c r="B719" s="22" t="inlineStr">
        <is>
          <t>이정헌</t>
        </is>
      </c>
      <c r="C719" s="22" t="inlineStr">
        <is>
          <t>커뮤니케이션북스</t>
        </is>
      </c>
      <c r="D719" s="22" t="inlineStr">
        <is>
          <t>2025년 09월</t>
        </is>
      </c>
      <c r="E719" s="28" t="n">
        <v>12000</v>
      </c>
      <c r="F719" s="28" t="n">
        <v>12000</v>
      </c>
      <c r="G719" s="29" t="n">
        <v>0</v>
      </c>
      <c r="H719" s="29" t="n">
        <v>276</v>
      </c>
      <c r="I719" s="21" t="inlineStr">
        <is>
          <t>2025</t>
        </is>
      </c>
      <c r="J719" s="21" t="inlineStr">
        <is>
          <t xml:space="preserve"> 0</t>
        </is>
      </c>
      <c r="K719" s="30">
        <f>(E719-F719)/IF(E719&gt;0,E719,1)</f>
        <v/>
      </c>
    </row>
    <row r="720">
      <c r="A720" s="22" t="inlineStr">
        <is>
          <t>라즈베리파이와 파이토치로 만드는 인공지능 자동차</t>
        </is>
      </c>
      <c r="B720" s="22" t="inlineStr">
        <is>
          <t>장문철</t>
        </is>
      </c>
      <c r="C720" s="22" t="inlineStr">
        <is>
          <t>먼슬리북스</t>
        </is>
      </c>
      <c r="D720" s="22" t="inlineStr">
        <is>
          <t>2026년 02월</t>
        </is>
      </c>
      <c r="E720" s="28" t="n">
        <v>24500</v>
      </c>
      <c r="F720" s="28" t="n">
        <v>22050</v>
      </c>
      <c r="G720" s="29" t="n">
        <v>6</v>
      </c>
      <c r="H720" s="29" t="n">
        <v>276</v>
      </c>
      <c r="I720" s="21" t="inlineStr">
        <is>
          <t>2026</t>
        </is>
      </c>
      <c r="J720" s="21" t="inlineStr">
        <is>
          <t xml:space="preserve"> 0</t>
        </is>
      </c>
      <c r="K720" s="30">
        <f>(E720-F720)/IF(E720&gt;0,E720,1)</f>
        <v/>
      </c>
    </row>
    <row r="721">
      <c r="A721" s="22" t="inlineStr">
        <is>
          <t>AI와 함께 평생 일하는 기술</t>
        </is>
      </c>
      <c r="B721" s="22" t="inlineStr">
        <is>
          <t>정종기</t>
        </is>
      </c>
      <c r="C721" s="22" t="inlineStr">
        <is>
          <t>형설출판사</t>
        </is>
      </c>
      <c r="D721" s="22" t="inlineStr">
        <is>
          <t>2025년 08월</t>
        </is>
      </c>
      <c r="E721" s="28" t="n">
        <v>18000</v>
      </c>
      <c r="F721" s="28" t="n">
        <v>18000</v>
      </c>
      <c r="G721" s="29" t="n">
        <v>0</v>
      </c>
      <c r="H721" s="29" t="n">
        <v>252</v>
      </c>
      <c r="I721" s="21" t="inlineStr">
        <is>
          <t>2025</t>
        </is>
      </c>
      <c r="J721" s="21" t="inlineStr">
        <is>
          <t xml:space="preserve"> 0</t>
        </is>
      </c>
      <c r="K721" s="30">
        <f>(E721-F721)/IF(E721&gt;0,E721,1)</f>
        <v/>
      </c>
    </row>
    <row r="722">
      <c r="A722" s="22" t="inlineStr">
        <is>
          <t>파이썬 딥러닝 텐서플로</t>
        </is>
      </c>
      <c r="B722" s="22" t="inlineStr">
        <is>
          <t>오승환, 이경록, 김태헌, 홍재권</t>
        </is>
      </c>
      <c r="C722" s="22" t="inlineStr">
        <is>
          <t>정보문화사</t>
        </is>
      </c>
      <c r="D722" s="22" t="inlineStr">
        <is>
          <t>2021년 06월</t>
        </is>
      </c>
      <c r="E722" s="28" t="n">
        <v>27000</v>
      </c>
      <c r="F722" s="28" t="n">
        <v>24300</v>
      </c>
      <c r="G722" s="29" t="n">
        <v>30</v>
      </c>
      <c r="H722" s="29" t="n">
        <v>294</v>
      </c>
      <c r="I722" s="21" t="inlineStr">
        <is>
          <t>2021</t>
        </is>
      </c>
      <c r="J722" s="21" t="inlineStr">
        <is>
          <t xml:space="preserve"> 0</t>
        </is>
      </c>
      <c r="K722" s="30">
        <f>(E722-F722)/IF(E722&gt;0,E722,1)</f>
        <v/>
      </c>
    </row>
    <row r="723">
      <c r="A723" s="22" t="inlineStr">
        <is>
          <t>AI 시대의 데이터 패러독스</t>
        </is>
      </c>
      <c r="B723" s="22" t="inlineStr">
        <is>
          <t>니틴 세스, 옥경석</t>
        </is>
      </c>
      <c r="C723" s="22" t="inlineStr">
        <is>
          <t>에이콘출판사</t>
        </is>
      </c>
      <c r="D723" s="22" t="inlineStr">
        <is>
          <t>2026년 02월</t>
        </is>
      </c>
      <c r="E723" s="28" t="n">
        <v>38000</v>
      </c>
      <c r="F723" s="28" t="n">
        <v>34200</v>
      </c>
      <c r="G723" s="29" t="n">
        <v>17</v>
      </c>
      <c r="H723" s="29" t="n">
        <v>240</v>
      </c>
      <c r="I723" s="21" t="inlineStr">
        <is>
          <t>2026</t>
        </is>
      </c>
      <c r="J723" s="21" t="inlineStr">
        <is>
          <t xml:space="preserve"> 0</t>
        </is>
      </c>
      <c r="K723" s="30">
        <f>(E723-F723)/IF(E723&gt;0,E723,1)</f>
        <v/>
      </c>
    </row>
    <row r="724">
      <c r="A724" s="22" t="inlineStr">
        <is>
          <t>양자컴퓨팅 혁명</t>
        </is>
      </c>
      <c r="B724" s="22" t="inlineStr">
        <is>
          <t>김정상, 김재완, 정연욱</t>
        </is>
      </c>
      <c r="C724" s="22" t="inlineStr">
        <is>
          <t>플루토</t>
        </is>
      </c>
      <c r="D724" s="22" t="inlineStr">
        <is>
          <t>2025년 12월</t>
        </is>
      </c>
      <c r="E724" s="28" t="n">
        <v>20000</v>
      </c>
      <c r="F724" s="28" t="n">
        <v>18000</v>
      </c>
      <c r="G724" s="29" t="n">
        <v>0</v>
      </c>
      <c r="H724" s="29" t="n">
        <v>186</v>
      </c>
      <c r="I724" s="21" t="inlineStr">
        <is>
          <t>2025</t>
        </is>
      </c>
      <c r="J724" s="21" t="inlineStr">
        <is>
          <t xml:space="preserve"> 1</t>
        </is>
      </c>
      <c r="K724" s="30">
        <f>(E724-F724)/IF(E724&gt;0,E724,1)</f>
        <v/>
      </c>
    </row>
    <row r="725">
      <c r="A725" s="22" t="inlineStr">
        <is>
          <t>AI가 만든 콘텐츠, 누구의 것인가?</t>
        </is>
      </c>
      <c r="B725" s="22" t="inlineStr">
        <is>
          <t>한유진, 하윤수, 정원훈</t>
        </is>
      </c>
      <c r="C725" s="22" t="inlineStr">
        <is>
          <t>재노북스</t>
        </is>
      </c>
      <c r="D725" s="22" t="inlineStr">
        <is>
          <t>2025년 02월</t>
        </is>
      </c>
      <c r="E725" s="28" t="n">
        <v>19800</v>
      </c>
      <c r="F725" s="28" t="n">
        <v>19800</v>
      </c>
      <c r="G725" s="29" t="n">
        <v>0</v>
      </c>
      <c r="H725" s="29" t="n">
        <v>234</v>
      </c>
      <c r="I725" s="21" t="inlineStr">
        <is>
          <t>2025</t>
        </is>
      </c>
      <c r="J725" s="21" t="inlineStr">
        <is>
          <t xml:space="preserve"> 0</t>
        </is>
      </c>
      <c r="K725" s="30">
        <f>(E725-F725)/IF(E725&gt;0,E725,1)</f>
        <v/>
      </c>
    </row>
    <row r="726">
      <c r="A726" s="22" t="inlineStr">
        <is>
          <t>AI에 대한 인권의 역습</t>
        </is>
      </c>
      <c r="B726" s="22" t="inlineStr">
        <is>
          <t>노호창</t>
        </is>
      </c>
      <c r="C726" s="22" t="inlineStr">
        <is>
          <t>커뮤니케이션북스</t>
        </is>
      </c>
      <c r="D726" s="22" t="inlineStr">
        <is>
          <t>2026년 04월</t>
        </is>
      </c>
      <c r="E726" s="28" t="n">
        <v>12000</v>
      </c>
      <c r="F726" s="28" t="n">
        <v>12000</v>
      </c>
      <c r="G726" s="29" t="n">
        <v>14</v>
      </c>
      <c r="H726" s="29" t="n">
        <v>294</v>
      </c>
      <c r="I726" s="21" t="inlineStr">
        <is>
          <t>2026</t>
        </is>
      </c>
      <c r="J726" s="21" t="inlineStr">
        <is>
          <t xml:space="preserve"> 0</t>
        </is>
      </c>
      <c r="K726" s="30">
        <f>(E726-F726)/IF(E726&gt;0,E726,1)</f>
        <v/>
      </c>
    </row>
    <row r="727">
      <c r="A727" s="22" t="inlineStr">
        <is>
          <t>프롬프트 엔지니어링 실전</t>
        </is>
      </c>
      <c r="B727" s="22" t="inlineStr">
        <is>
          <t>김태영</t>
        </is>
      </c>
      <c r="C727" s="22" t="inlineStr">
        <is>
          <t>글ego</t>
        </is>
      </c>
      <c r="D727" s="22" t="inlineStr">
        <is>
          <t>2026년 02월</t>
        </is>
      </c>
      <c r="E727" s="28" t="n">
        <v>26500</v>
      </c>
      <c r="F727" s="28" t="n">
        <v>23850</v>
      </c>
      <c r="G727" s="29" t="n">
        <v>1</v>
      </c>
      <c r="H727" s="29" t="n">
        <v>198</v>
      </c>
      <c r="I727" s="21" t="inlineStr">
        <is>
          <t>2026</t>
        </is>
      </c>
      <c r="J727" s="21" t="inlineStr">
        <is>
          <t xml:space="preserve"> 0</t>
        </is>
      </c>
      <c r="K727" s="30">
        <f>(E727-F727)/IF(E727&gt;0,E727,1)</f>
        <v/>
      </c>
    </row>
    <row r="728">
      <c r="A728" s="22" t="inlineStr">
        <is>
          <t>AI와 간호 돌봄</t>
        </is>
      </c>
      <c r="B728" s="22" t="inlineStr">
        <is>
          <t>이은영, 김현의, 박은준</t>
        </is>
      </c>
      <c r="C728" s="22" t="inlineStr">
        <is>
          <t>커뮤니케이션북스</t>
        </is>
      </c>
      <c r="D728" s="22" t="inlineStr">
        <is>
          <t>2025년 09월</t>
        </is>
      </c>
      <c r="E728" s="28" t="n">
        <v>12000</v>
      </c>
      <c r="F728" s="28" t="n">
        <v>12000</v>
      </c>
      <c r="G728" s="29" t="n">
        <v>0</v>
      </c>
      <c r="H728" s="29" t="n">
        <v>234</v>
      </c>
      <c r="I728" s="21" t="inlineStr">
        <is>
          <t>2025</t>
        </is>
      </c>
      <c r="J728" s="21" t="inlineStr">
        <is>
          <t xml:space="preserve"> 0</t>
        </is>
      </c>
      <c r="K728" s="30">
        <f>(E728-F728)/IF(E728&gt;0,E728,1)</f>
        <v/>
      </c>
    </row>
    <row r="729">
      <c r="A729" s="22" t="inlineStr">
        <is>
          <t>데이터 사이언스 전문가</t>
        </is>
      </c>
      <c r="B729" s="22" t="inlineStr">
        <is>
          <t>이재호, 장인표, 백승욱, 정지원, 구은서</t>
        </is>
      </c>
      <c r="C729" s="22" t="inlineStr">
        <is>
          <t>홍릉</t>
        </is>
      </c>
      <c r="D729" s="22" t="inlineStr">
        <is>
          <t>2025년 04월</t>
        </is>
      </c>
      <c r="E729" s="28" t="n">
        <v>23000</v>
      </c>
      <c r="F729" s="28" t="n">
        <v>23000</v>
      </c>
      <c r="G729" s="29" t="n">
        <v>0</v>
      </c>
      <c r="H729" s="29" t="n">
        <v>330</v>
      </c>
      <c r="I729" s="21" t="inlineStr">
        <is>
          <t>2025</t>
        </is>
      </c>
      <c r="J729" s="21" t="inlineStr">
        <is>
          <t xml:space="preserve"> 0</t>
        </is>
      </c>
      <c r="K729" s="30">
        <f>(E729-F729)/IF(E729&gt;0,E729,1)</f>
        <v/>
      </c>
    </row>
    <row r="730">
      <c r="A730" s="22" t="inlineStr">
        <is>
          <t>인공지능과 빅데이터로 읽는 미래 스포츠 이야기</t>
        </is>
      </c>
      <c r="B730" s="22" t="inlineStr">
        <is>
          <t>천제민</t>
        </is>
      </c>
      <c r="C730" s="22" t="inlineStr">
        <is>
          <t>BOOKK(부크크)</t>
        </is>
      </c>
      <c r="D730" s="22" t="inlineStr">
        <is>
          <t>2023년 08월</t>
        </is>
      </c>
      <c r="E730" s="28" t="n">
        <v>13000</v>
      </c>
      <c r="F730" s="28" t="n">
        <v>13000</v>
      </c>
      <c r="G730" s="29" t="n">
        <v>3</v>
      </c>
      <c r="H730" s="29" t="n">
        <v>210</v>
      </c>
      <c r="I730" s="21" t="inlineStr">
        <is>
          <t>2023</t>
        </is>
      </c>
      <c r="J730" s="21" t="inlineStr">
        <is>
          <t xml:space="preserve"> 0</t>
        </is>
      </c>
      <c r="K730" s="30">
        <f>(E730-F730)/IF(E730&gt;0,E730,1)</f>
        <v/>
      </c>
    </row>
    <row r="731">
      <c r="A731" s="22" t="inlineStr">
        <is>
          <t>101가지 문제로 배우는 딥러닝 허깅페이스 트랜스포머 with 파이토치</t>
        </is>
      </c>
      <c r="B731" s="22" t="inlineStr">
        <is>
          <t>조슈아 K. 케이지, 임선집</t>
        </is>
      </c>
      <c r="C731" s="22" t="inlineStr">
        <is>
          <t>루비페이퍼</t>
        </is>
      </c>
      <c r="D731" s="22" t="inlineStr">
        <is>
          <t>2023년 08월</t>
        </is>
      </c>
      <c r="E731" s="28" t="n">
        <v>26000</v>
      </c>
      <c r="F731" s="28" t="n">
        <v>23400</v>
      </c>
      <c r="G731" s="29" t="n">
        <v>12</v>
      </c>
      <c r="H731" s="29" t="n">
        <v>210</v>
      </c>
      <c r="I731" s="21" t="inlineStr">
        <is>
          <t>2023</t>
        </is>
      </c>
      <c r="J731" s="21" t="inlineStr">
        <is>
          <t xml:space="preserve"> 0</t>
        </is>
      </c>
      <c r="K731" s="30">
        <f>(E731-F731)/IF(E731&gt;0,E731,1)</f>
        <v/>
      </c>
    </row>
    <row r="732">
      <c r="A732" s="22" t="inlineStr">
        <is>
          <t>만들면서 배우는 지속가능한 인공지능 AI 18개 작품 만들기</t>
        </is>
      </c>
      <c r="B732" s="22" t="inlineStr">
        <is>
          <t>박준원, 권은정, 권지선</t>
        </is>
      </c>
      <c r="C732" s="22" t="inlineStr">
        <is>
          <t>앤써북</t>
        </is>
      </c>
      <c r="D732" s="22" t="inlineStr">
        <is>
          <t>2023년 01월</t>
        </is>
      </c>
      <c r="E732" s="28" t="n">
        <v>16600</v>
      </c>
      <c r="F732" s="28" t="n">
        <v>14940</v>
      </c>
      <c r="G732" s="29" t="n">
        <v>12</v>
      </c>
      <c r="H732" s="29" t="n">
        <v>228</v>
      </c>
      <c r="I732" s="21" t="inlineStr">
        <is>
          <t>2023</t>
        </is>
      </c>
      <c r="J732" s="21" t="inlineStr">
        <is>
          <t xml:space="preserve"> 0</t>
        </is>
      </c>
      <c r="K732" s="30">
        <f>(E732-F732)/IF(E732&gt;0,E732,1)</f>
        <v/>
      </c>
    </row>
    <row r="733">
      <c r="A733" s="22" t="inlineStr">
        <is>
          <t>3시간에 배우는 인공지능 데이터분석, 오렌지</t>
        </is>
      </c>
      <c r="B733" s="22" t="inlineStr">
        <is>
          <t>서울과학종합대학원 디지털혁신처</t>
        </is>
      </c>
      <c r="C733" s="22" t="inlineStr">
        <is>
          <t>서울경제경영</t>
        </is>
      </c>
      <c r="D733" s="22" t="inlineStr">
        <is>
          <t>2021년 03월</t>
        </is>
      </c>
      <c r="E733" s="28" t="n">
        <v>15000</v>
      </c>
      <c r="F733" s="28" t="n">
        <v>15000</v>
      </c>
      <c r="G733" s="29" t="n">
        <v>9</v>
      </c>
      <c r="H733" s="29" t="n">
        <v>216</v>
      </c>
      <c r="I733" s="21" t="inlineStr">
        <is>
          <t>2021</t>
        </is>
      </c>
      <c r="J733" s="21" t="inlineStr">
        <is>
          <t xml:space="preserve"> 0</t>
        </is>
      </c>
      <c r="K733" s="30">
        <f>(E733-F733)/IF(E733&gt;0,E733,1)</f>
        <v/>
      </c>
    </row>
    <row r="734">
      <c r="A734" s="22" t="inlineStr">
        <is>
          <t>그래프 신경망 입문</t>
        </is>
      </c>
      <c r="B734" s="22" t="inlineStr">
        <is>
          <t>즈위안 리우, 지에 저우, 정지수</t>
        </is>
      </c>
      <c r="C734" s="22" t="inlineStr">
        <is>
          <t>에이콘출판사</t>
        </is>
      </c>
      <c r="D734" s="22" t="inlineStr">
        <is>
          <t>2022년 04월</t>
        </is>
      </c>
      <c r="E734" s="28" t="n">
        <v>20000</v>
      </c>
      <c r="F734" s="28" t="n">
        <v>18000</v>
      </c>
      <c r="G734" s="29" t="n">
        <v>1</v>
      </c>
      <c r="H734" s="29" t="n">
        <v>228</v>
      </c>
      <c r="I734" s="21" t="inlineStr">
        <is>
          <t>2022</t>
        </is>
      </c>
      <c r="J734" s="21" t="inlineStr">
        <is>
          <t xml:space="preserve"> 0</t>
        </is>
      </c>
      <c r="K734" s="30">
        <f>(E734-F734)/IF(E734&gt;0,E734,1)</f>
        <v/>
      </c>
    </row>
    <row r="735">
      <c r="A735" s="22" t="inlineStr">
        <is>
          <t>가장 쉬운 AI 앱 빌더 DIfy 실무 가이드</t>
        </is>
      </c>
      <c r="B735" s="22" t="inlineStr">
        <is>
          <t>오노 사토시, 두발타고</t>
        </is>
      </c>
      <c r="C735" s="22" t="inlineStr">
        <is>
          <t>AK(에이케이 커뮤니케이션즈)</t>
        </is>
      </c>
      <c r="D735" s="22" t="inlineStr">
        <is>
          <t>2026년 02월</t>
        </is>
      </c>
      <c r="E735" s="28" t="n">
        <v>43000</v>
      </c>
      <c r="F735" s="28" t="n">
        <v>40850</v>
      </c>
      <c r="G735" s="29" t="n">
        <v>0</v>
      </c>
      <c r="H735" s="29" t="n">
        <v>210</v>
      </c>
      <c r="I735" s="21" t="inlineStr">
        <is>
          <t>2026</t>
        </is>
      </c>
      <c r="J735" s="21" t="inlineStr">
        <is>
          <t xml:space="preserve"> 0</t>
        </is>
      </c>
      <c r="K735" s="30">
        <f>(E735-F735)/IF(E735&gt;0,E735,1)</f>
        <v/>
      </c>
    </row>
    <row r="736">
      <c r="A736" s="22" t="inlineStr">
        <is>
          <t>AI의 정석</t>
        </is>
      </c>
      <c r="B736" s="22" t="inlineStr">
        <is>
          <t>박승훈, 윤일기</t>
        </is>
      </c>
      <c r="C736" s="22" t="inlineStr">
        <is>
          <t>에이아이컬쳐프레스(AI Culture Press)</t>
        </is>
      </c>
      <c r="D736" s="22" t="inlineStr">
        <is>
          <t>2026년 01월</t>
        </is>
      </c>
      <c r="E736" s="28" t="n">
        <v>34000</v>
      </c>
      <c r="F736" s="28" t="n">
        <v>34000</v>
      </c>
      <c r="G736" s="29" t="n">
        <v>0</v>
      </c>
      <c r="H736" s="29" t="n">
        <v>258</v>
      </c>
      <c r="I736" s="21" t="inlineStr">
        <is>
          <t>2026</t>
        </is>
      </c>
      <c r="J736" s="21" t="inlineStr">
        <is>
          <t xml:space="preserve"> 0</t>
        </is>
      </c>
      <c r="K736" s="30">
        <f>(E736-F736)/IF(E736&gt;0,E736,1)</f>
        <v/>
      </c>
    </row>
    <row r="737">
      <c r="A737" s="22" t="inlineStr">
        <is>
          <t>심리상담과 AI의 융합</t>
        </is>
      </c>
      <c r="B737" s="22" t="inlineStr">
        <is>
          <t>이혜숙</t>
        </is>
      </c>
      <c r="C737" s="22" t="inlineStr">
        <is>
          <t>커뮤니케이션북스</t>
        </is>
      </c>
      <c r="D737" s="22" t="inlineStr">
        <is>
          <t>2026년 01월</t>
        </is>
      </c>
      <c r="E737" s="28" t="n">
        <v>12000</v>
      </c>
      <c r="F737" s="28" t="n">
        <v>12000</v>
      </c>
      <c r="G737" s="29" t="n">
        <v>0</v>
      </c>
      <c r="H737" s="29" t="n">
        <v>210</v>
      </c>
      <c r="I737" s="21" t="inlineStr">
        <is>
          <t>2026</t>
        </is>
      </c>
      <c r="J737" s="21" t="inlineStr">
        <is>
          <t xml:space="preserve"> 0</t>
        </is>
      </c>
      <c r="K737" s="30">
        <f>(E737-F737)/IF(E737&gt;0,E737,1)</f>
        <v/>
      </c>
    </row>
    <row r="738">
      <c r="A738" s="22" t="inlineStr">
        <is>
          <t>AI 에이전트 인 액션</t>
        </is>
      </c>
      <c r="B738" s="22" t="inlineStr">
        <is>
          <t>마이클 래넘, 307번역랩, 류광</t>
        </is>
      </c>
      <c r="C738" s="22" t="inlineStr">
        <is>
          <t>위키북스</t>
        </is>
      </c>
      <c r="D738" s="22" t="inlineStr">
        <is>
          <t>2025년 07월</t>
        </is>
      </c>
      <c r="E738" s="28" t="n">
        <v>30000</v>
      </c>
      <c r="F738" s="28" t="n">
        <v>27000</v>
      </c>
      <c r="G738" s="29" t="n">
        <v>1</v>
      </c>
      <c r="H738" s="29" t="n">
        <v>1398</v>
      </c>
      <c r="I738" s="21" t="inlineStr">
        <is>
          <t>2025</t>
        </is>
      </c>
      <c r="J738" s="21" t="inlineStr">
        <is>
          <t xml:space="preserve"> 0</t>
        </is>
      </c>
      <c r="K738" s="30">
        <f>(E738-F738)/IF(E738&gt;0,E738,1)</f>
        <v/>
      </c>
    </row>
    <row r="739">
      <c r="A739" s="22" t="inlineStr">
        <is>
          <t>인공지능 코딩하기</t>
        </is>
      </c>
      <c r="B739" s="22" t="inlineStr">
        <is>
          <t>이수진, 이영은, 박효상, 이재홍</t>
        </is>
      </c>
      <c r="C739" s="22" t="inlineStr">
        <is>
          <t>지오북스</t>
        </is>
      </c>
      <c r="D739" s="22" t="inlineStr">
        <is>
          <t>2022년 02월</t>
        </is>
      </c>
      <c r="E739" s="28" t="n">
        <v>19000</v>
      </c>
      <c r="F739" s="28" t="n">
        <v>19000</v>
      </c>
      <c r="G739" s="29" t="n">
        <v>0</v>
      </c>
      <c r="H739" s="29" t="n">
        <v>204</v>
      </c>
      <c r="I739" s="21" t="inlineStr">
        <is>
          <t>2022</t>
        </is>
      </c>
      <c r="J739" s="21" t="inlineStr">
        <is>
          <t xml:space="preserve"> 0</t>
        </is>
      </c>
      <c r="K739" s="30">
        <f>(E739-F739)/IF(E739&gt;0,E739,1)</f>
        <v/>
      </c>
    </row>
    <row r="740">
      <c r="A740" s="22" t="inlineStr">
        <is>
          <t>AI, 차별, 소통</t>
        </is>
      </c>
      <c r="B740" s="22" t="inlineStr">
        <is>
          <t>석주연</t>
        </is>
      </c>
      <c r="C740" s="22" t="inlineStr">
        <is>
          <t>커뮤니케이션북스</t>
        </is>
      </c>
      <c r="D740" s="22" t="inlineStr">
        <is>
          <t>2025년 02월</t>
        </is>
      </c>
      <c r="E740" s="28" t="n">
        <v>12000</v>
      </c>
      <c r="F740" s="28" t="n">
        <v>12000</v>
      </c>
      <c r="G740" s="29" t="n">
        <v>0</v>
      </c>
      <c r="H740" s="29" t="n">
        <v>168</v>
      </c>
      <c r="I740" s="21" t="inlineStr">
        <is>
          <t>2025</t>
        </is>
      </c>
      <c r="J740" s="21" t="inlineStr">
        <is>
          <t xml:space="preserve"> 0</t>
        </is>
      </c>
      <c r="K740" s="30">
        <f>(E740-F740)/IF(E740&gt;0,E740,1)</f>
        <v/>
      </c>
    </row>
    <row r="741">
      <c r="A741" s="22" t="inlineStr">
        <is>
          <t>챗GPT와 함께하는 소설 창작</t>
        </is>
      </c>
      <c r="B741" s="22" t="inlineStr">
        <is>
          <t>노바 리, 조윤진</t>
        </is>
      </c>
      <c r="C741" s="22" t="inlineStr">
        <is>
          <t>다른</t>
        </is>
      </c>
      <c r="D741" s="22" t="inlineStr">
        <is>
          <t>2023년 10월</t>
        </is>
      </c>
      <c r="E741" s="28" t="n">
        <v>18000</v>
      </c>
      <c r="F741" s="28" t="n">
        <v>16200</v>
      </c>
      <c r="G741" s="29" t="n">
        <v>1</v>
      </c>
      <c r="H741" s="29" t="n">
        <v>240</v>
      </c>
      <c r="I741" s="21" t="inlineStr">
        <is>
          <t>2023</t>
        </is>
      </c>
      <c r="J741" s="21" t="inlineStr">
        <is>
          <t xml:space="preserve"> 1</t>
        </is>
      </c>
      <c r="K741" s="30">
        <f>(E741-F741)/IF(E741&gt;0,E741,1)</f>
        <v/>
      </c>
    </row>
    <row r="742">
      <c r="A742" s="22" t="inlineStr">
        <is>
          <t>AI와 패션 디자인</t>
        </is>
      </c>
      <c r="B742" s="22" t="inlineStr">
        <is>
          <t>마진주, 정연이</t>
        </is>
      </c>
      <c r="C742" s="22" t="inlineStr">
        <is>
          <t>커뮤니케이션북스</t>
        </is>
      </c>
      <c r="D742" s="22" t="inlineStr">
        <is>
          <t>2025년 12월</t>
        </is>
      </c>
      <c r="E742" s="28" t="n">
        <v>12000</v>
      </c>
      <c r="F742" s="28" t="n">
        <v>12000</v>
      </c>
      <c r="G742" s="29" t="n">
        <v>0</v>
      </c>
      <c r="H742" s="29" t="n">
        <v>186</v>
      </c>
      <c r="I742" s="21" t="inlineStr">
        <is>
          <t>2025</t>
        </is>
      </c>
      <c r="J742" s="21" t="inlineStr">
        <is>
          <t xml:space="preserve"> 1</t>
        </is>
      </c>
      <c r="K742" s="30">
        <f>(E742-F742)/IF(E742&gt;0,E742,1)</f>
        <v/>
      </c>
    </row>
    <row r="743">
      <c r="A743" s="22" t="inlineStr">
        <is>
          <t>AI와 우주 탐사</t>
        </is>
      </c>
      <c r="B743" s="22" t="inlineStr">
        <is>
          <t>안형준</t>
        </is>
      </c>
      <c r="C743" s="22" t="inlineStr">
        <is>
          <t>커뮤니케이션북스</t>
        </is>
      </c>
      <c r="D743" s="22" t="inlineStr">
        <is>
          <t>2025년 09월</t>
        </is>
      </c>
      <c r="E743" s="28" t="n">
        <v>12000</v>
      </c>
      <c r="F743" s="28" t="n">
        <v>12000</v>
      </c>
      <c r="G743" s="29" t="n">
        <v>0</v>
      </c>
      <c r="H743" s="29" t="n">
        <v>180</v>
      </c>
      <c r="I743" s="21" t="inlineStr">
        <is>
          <t>2025</t>
        </is>
      </c>
      <c r="J743" s="21" t="inlineStr">
        <is>
          <t xml:space="preserve"> 0</t>
        </is>
      </c>
      <c r="K743" s="30">
        <f>(E743-F743)/IF(E743&gt;0,E743,1)</f>
        <v/>
      </c>
    </row>
    <row r="744">
      <c r="A744" s="22" t="inlineStr">
        <is>
          <t>AI, 양자 기술과 사이버 보안</t>
        </is>
      </c>
      <c r="B744" s="22" t="inlineStr">
        <is>
          <t>이은주, 김영기, 레티퀴엔, 박종민, 소천용, 정보 더 보기/감추기, 이은주, 김영기, 레티퀴엔, 박종민, 소천용, 이정, Ella Lee, 향준의, 이주민</t>
        </is>
      </c>
      <c r="C744" s="22" t="inlineStr">
        <is>
          <t>커뮤니케이션북스</t>
        </is>
      </c>
      <c r="D744" s="22" t="inlineStr">
        <is>
          <t>2025년 05월</t>
        </is>
      </c>
      <c r="E744" s="28" t="n">
        <v>12000</v>
      </c>
      <c r="F744" s="28" t="n">
        <v>12000</v>
      </c>
      <c r="G744" s="29" t="n">
        <v>0</v>
      </c>
      <c r="H744" s="29" t="n">
        <v>216</v>
      </c>
      <c r="I744" s="21" t="inlineStr">
        <is>
          <t>2025</t>
        </is>
      </c>
      <c r="J744" s="21" t="inlineStr">
        <is>
          <t xml:space="preserve"> 0</t>
        </is>
      </c>
      <c r="K744" s="30">
        <f>(E744-F744)/IF(E744&gt;0,E744,1)</f>
        <v/>
      </c>
    </row>
    <row r="745">
      <c r="A745" s="22" t="inlineStr">
        <is>
          <t>어른을 위한 이것이 인공지능이다</t>
        </is>
      </c>
      <c r="B745" s="22" t="inlineStr">
        <is>
          <t>김명락</t>
        </is>
      </c>
      <c r="C745" s="22" t="inlineStr">
        <is>
          <t>슬로디미디어</t>
        </is>
      </c>
      <c r="D745" s="22" t="inlineStr">
        <is>
          <t>2025년 04월</t>
        </is>
      </c>
      <c r="E745" s="28" t="n">
        <v>16800</v>
      </c>
      <c r="F745" s="28" t="n">
        <v>15120</v>
      </c>
      <c r="G745" s="29" t="n">
        <v>3</v>
      </c>
      <c r="H745" s="29" t="n">
        <v>156</v>
      </c>
      <c r="I745" s="21" t="inlineStr">
        <is>
          <t>2025</t>
        </is>
      </c>
      <c r="J745" s="21" t="inlineStr">
        <is>
          <t xml:space="preserve"> 0</t>
        </is>
      </c>
      <c r="K745" s="30">
        <f>(E745-F745)/IF(E745&gt;0,E745,1)</f>
        <v/>
      </c>
    </row>
    <row r="746">
      <c r="A746" s="22" t="inlineStr">
        <is>
          <t>관광 AI 실무 테크닉</t>
        </is>
      </c>
      <c r="B746" s="22" t="inlineStr">
        <is>
          <t>정민제</t>
        </is>
      </c>
      <c r="C746" s="22" t="inlineStr">
        <is>
          <t>선비북스</t>
        </is>
      </c>
      <c r="D746" s="22" t="inlineStr">
        <is>
          <t>2025년 03월</t>
        </is>
      </c>
      <c r="E746" s="28" t="n">
        <v>19000</v>
      </c>
      <c r="F746" s="28" t="n">
        <v>17100</v>
      </c>
      <c r="G746" s="29" t="n">
        <v>0</v>
      </c>
      <c r="H746" s="29" t="n">
        <v>180</v>
      </c>
      <c r="I746" s="21" t="inlineStr">
        <is>
          <t>2025</t>
        </is>
      </c>
      <c r="J746" s="21" t="inlineStr">
        <is>
          <t xml:space="preserve"> 0</t>
        </is>
      </c>
      <c r="K746" s="30">
        <f>(E746-F746)/IF(E746&gt;0,E746,1)</f>
        <v/>
      </c>
    </row>
    <row r="747">
      <c r="A747" s="22" t="inlineStr">
        <is>
          <t>교육을 위한 젭 탐구생활</t>
        </is>
      </c>
      <c r="B747" s="22" t="inlineStr">
        <is>
          <t>조안나, 조재범, 배준호</t>
        </is>
      </c>
      <c r="C747" s="22" t="inlineStr">
        <is>
          <t>지노</t>
        </is>
      </c>
      <c r="D747" s="22" t="inlineStr">
        <is>
          <t>2023년 04월</t>
        </is>
      </c>
      <c r="E747" s="28" t="n">
        <v>20000</v>
      </c>
      <c r="F747" s="28" t="n">
        <v>18000</v>
      </c>
      <c r="G747" s="29" t="n">
        <v>1</v>
      </c>
      <c r="H747" s="29" t="n">
        <v>222</v>
      </c>
      <c r="I747" s="21" t="inlineStr">
        <is>
          <t>2023</t>
        </is>
      </c>
      <c r="J747" s="21" t="inlineStr">
        <is>
          <t xml:space="preserve"> 0</t>
        </is>
      </c>
      <c r="K747" s="30">
        <f>(E747-F747)/IF(E747&gt;0,E747,1)</f>
        <v/>
      </c>
    </row>
    <row r="748">
      <c r="A748" s="22" t="inlineStr">
        <is>
          <t>챗GPT를 활용한 아두이노 입문</t>
        </is>
      </c>
      <c r="B748" s="22" t="inlineStr">
        <is>
          <t>장문철, 박준원</t>
        </is>
      </c>
      <c r="C748" s="22" t="inlineStr">
        <is>
          <t>앤써북</t>
        </is>
      </c>
      <c r="D748" s="22" t="inlineStr">
        <is>
          <t>2023년 04월</t>
        </is>
      </c>
      <c r="E748" s="28" t="n">
        <v>17700</v>
      </c>
      <c r="F748" s="28" t="n">
        <v>15930</v>
      </c>
      <c r="G748" s="29" t="n">
        <v>6</v>
      </c>
      <c r="H748" s="29" t="n">
        <v>156</v>
      </c>
      <c r="I748" s="21" t="inlineStr">
        <is>
          <t>2023</t>
        </is>
      </c>
      <c r="J748" s="21" t="inlineStr">
        <is>
          <t xml:space="preserve"> 0</t>
        </is>
      </c>
      <c r="K748" s="30">
        <f>(E748-F748)/IF(E748&gt;0,E748,1)</f>
        <v/>
      </c>
    </row>
    <row r="749">
      <c r="A749" s="22" t="inlineStr">
        <is>
          <t>한눈에 보이는 인공지능 그림책</t>
        </is>
      </c>
      <c r="B749" s="22" t="inlineStr">
        <is>
          <t>한선관, 이정원, 장명현</t>
        </is>
      </c>
      <c r="C749" s="22" t="inlineStr">
        <is>
          <t>성안당</t>
        </is>
      </c>
      <c r="D749" s="22" t="inlineStr">
        <is>
          <t>2022년 10월</t>
        </is>
      </c>
      <c r="E749" s="28" t="n">
        <v>20000</v>
      </c>
      <c r="F749" s="28" t="n">
        <v>18000</v>
      </c>
      <c r="G749" s="29" t="n">
        <v>21</v>
      </c>
      <c r="H749" s="29" t="n">
        <v>312</v>
      </c>
      <c r="I749" s="21" t="inlineStr">
        <is>
          <t>2022</t>
        </is>
      </c>
      <c r="J749" s="21" t="inlineStr">
        <is>
          <t xml:space="preserve"> 1</t>
        </is>
      </c>
      <c r="K749" s="30">
        <f>(E749-F749)/IF(E749&gt;0,E749,1)</f>
        <v/>
      </c>
    </row>
    <row r="750">
      <c r="A750" s="22" t="inlineStr">
        <is>
          <t>AI와 웹소설</t>
        </is>
      </c>
      <c r="B750" s="22" t="inlineStr">
        <is>
          <t>박성준</t>
        </is>
      </c>
      <c r="C750" s="22" t="inlineStr">
        <is>
          <t>커뮤니케이션북스</t>
        </is>
      </c>
      <c r="D750" s="22" t="inlineStr">
        <is>
          <t>2025년 10월</t>
        </is>
      </c>
      <c r="E750" s="28" t="n">
        <v>12000</v>
      </c>
      <c r="F750" s="28" t="n">
        <v>12000</v>
      </c>
      <c r="G750" s="29" t="n">
        <v>0</v>
      </c>
      <c r="H750" s="29" t="n">
        <v>192</v>
      </c>
      <c r="I750" s="21" t="inlineStr">
        <is>
          <t>2025</t>
        </is>
      </c>
      <c r="J750" s="21" t="inlineStr">
        <is>
          <t xml:space="preserve"> 1</t>
        </is>
      </c>
      <c r="K750" s="30">
        <f>(E750-F750)/IF(E750&gt;0,E750,1)</f>
        <v/>
      </c>
    </row>
    <row r="751">
      <c r="A751" s="22" t="inlineStr">
        <is>
          <t>코드 없는 알고리즘과 데이터 구조</t>
        </is>
      </c>
      <c r="B751" s="22" t="inlineStr">
        <is>
          <t>암스트롱 수베로, 류태호</t>
        </is>
      </c>
      <c r="C751" s="22" t="inlineStr">
        <is>
          <t>동양북스(동양books)</t>
        </is>
      </c>
      <c r="D751" s="22" t="inlineStr">
        <is>
          <t>2021년 02월</t>
        </is>
      </c>
      <c r="E751" s="28" t="n">
        <v>15000</v>
      </c>
      <c r="F751" s="28" t="n">
        <v>13500</v>
      </c>
      <c r="G751" s="29" t="n">
        <v>3</v>
      </c>
      <c r="H751" s="29" t="n">
        <v>180</v>
      </c>
      <c r="I751" s="21" t="inlineStr">
        <is>
          <t>2021</t>
        </is>
      </c>
      <c r="J751" s="21" t="inlineStr">
        <is>
          <t xml:space="preserve"> 0</t>
        </is>
      </c>
      <c r="K751" s="30">
        <f>(E751-F751)/IF(E751&gt;0,E751,1)</f>
        <v/>
      </c>
    </row>
    <row r="752">
      <c r="A752" s="22" t="inlineStr">
        <is>
          <t>AI가 대체하는, 대체 못하는 노동</t>
        </is>
      </c>
      <c r="B752" s="22" t="inlineStr">
        <is>
          <t>김관욱</t>
        </is>
      </c>
      <c r="C752" s="22" t="inlineStr">
        <is>
          <t>커뮤니케이션북스</t>
        </is>
      </c>
      <c r="D752" s="22" t="inlineStr">
        <is>
          <t>2025년 06월</t>
        </is>
      </c>
      <c r="E752" s="28" t="n">
        <v>12000</v>
      </c>
      <c r="F752" s="28" t="n">
        <v>12000</v>
      </c>
      <c r="G752" s="29" t="n">
        <v>1</v>
      </c>
      <c r="H752" s="29" t="n">
        <v>168</v>
      </c>
      <c r="I752" s="21" t="inlineStr">
        <is>
          <t>2025</t>
        </is>
      </c>
      <c r="J752" s="21" t="inlineStr">
        <is>
          <t xml:space="preserve"> 0</t>
        </is>
      </c>
      <c r="K752" s="30">
        <f>(E752-F752)/IF(E752&gt;0,E752,1)</f>
        <v/>
      </c>
    </row>
    <row r="753">
      <c r="A753" s="22" t="inlineStr">
        <is>
          <t>AI는 중립적인가?</t>
        </is>
      </c>
      <c r="B753" s="22" t="inlineStr">
        <is>
          <t>박재형</t>
        </is>
      </c>
      <c r="C753" s="22" t="inlineStr">
        <is>
          <t>지성사</t>
        </is>
      </c>
      <c r="D753" s="22" t="inlineStr">
        <is>
          <t>2022년 11월</t>
        </is>
      </c>
      <c r="E753" s="28" t="n">
        <v>23000</v>
      </c>
      <c r="F753" s="28" t="n">
        <v>21850</v>
      </c>
      <c r="G753" s="29" t="n">
        <v>0</v>
      </c>
      <c r="H753" s="29" t="n">
        <v>48</v>
      </c>
      <c r="I753" s="21" t="inlineStr">
        <is>
          <t>2022</t>
        </is>
      </c>
      <c r="J753" s="21" t="inlineStr">
        <is>
          <t xml:space="preserve"> 1</t>
        </is>
      </c>
      <c r="K753" s="30">
        <f>(E753-F753)/IF(E753&gt;0,E753,1)</f>
        <v/>
      </c>
    </row>
    <row r="754">
      <c r="A754" s="22" t="inlineStr">
        <is>
          <t>AI디톡스</t>
        </is>
      </c>
      <c r="B754" s="22" t="inlineStr">
        <is>
          <t>정강재</t>
        </is>
      </c>
      <c r="C754" s="22" t="inlineStr">
        <is>
          <t>BOOKK(부크크)</t>
        </is>
      </c>
      <c r="D754" s="22" t="inlineStr">
        <is>
          <t>2026년 04월</t>
        </is>
      </c>
      <c r="E754" s="28" t="n">
        <v>21600</v>
      </c>
      <c r="F754" s="28" t="n">
        <v>21600</v>
      </c>
      <c r="G754" s="29" t="n">
        <v>0</v>
      </c>
      <c r="H754" s="29" t="n">
        <v>84</v>
      </c>
      <c r="I754" s="21" t="inlineStr">
        <is>
          <t>2026</t>
        </is>
      </c>
      <c r="J754" s="21" t="inlineStr">
        <is>
          <t xml:space="preserve"> 0</t>
        </is>
      </c>
      <c r="K754" s="30">
        <f>(E754-F754)/IF(E754&gt;0,E754,1)</f>
        <v/>
      </c>
    </row>
    <row r="755">
      <c r="A755" s="22" t="inlineStr">
        <is>
          <t>AI로 완성하는 기획·분석·제안의 기술</t>
        </is>
      </c>
      <c r="B755" s="22" t="inlineStr">
        <is>
          <t>이종구, 정호선, 이중희, 박영식</t>
        </is>
      </c>
      <c r="C755" s="22" t="inlineStr">
        <is>
          <t>디지털콘텐츠그룹</t>
        </is>
      </c>
      <c r="D755" s="22" t="inlineStr">
        <is>
          <t>2026년 04월</t>
        </is>
      </c>
      <c r="E755" s="28" t="n">
        <v>24000</v>
      </c>
      <c r="F755" s="28" t="n">
        <v>21600</v>
      </c>
      <c r="G755" s="29" t="n">
        <v>0</v>
      </c>
      <c r="H755" s="29" t="n">
        <v>132</v>
      </c>
      <c r="I755" s="21" t="inlineStr">
        <is>
          <t>2026</t>
        </is>
      </c>
      <c r="J755" s="21" t="inlineStr">
        <is>
          <t xml:space="preserve"> 0</t>
        </is>
      </c>
      <c r="K755" s="30">
        <f>(E755-F755)/IF(E755&gt;0,E755,1)</f>
        <v/>
      </c>
    </row>
    <row r="756">
      <c r="A756" s="22" t="inlineStr">
        <is>
          <t>AI가 던지는 질문</t>
        </is>
      </c>
      <c r="B756" s="22" t="inlineStr">
        <is>
          <t>노철환, 변완희, 전철, 정혜원</t>
        </is>
      </c>
      <c r="C756" s="22" t="inlineStr">
        <is>
          <t>엠더블유북스(MW Books)</t>
        </is>
      </c>
      <c r="D756" s="22" t="inlineStr">
        <is>
          <t>2026년 04월</t>
        </is>
      </c>
      <c r="E756" s="28" t="n">
        <v>17500</v>
      </c>
      <c r="F756" s="28" t="n">
        <v>15750</v>
      </c>
      <c r="G756" s="29" t="n">
        <v>0</v>
      </c>
      <c r="H756" s="29" t="n">
        <v>90</v>
      </c>
      <c r="I756" s="21" t="inlineStr">
        <is>
          <t>2026</t>
        </is>
      </c>
      <c r="J756" s="21" t="inlineStr">
        <is>
          <t xml:space="preserve"> 0</t>
        </is>
      </c>
      <c r="K756" s="30">
        <f>(E756-F756)/IF(E756&gt;0,E756,1)</f>
        <v/>
      </c>
    </row>
    <row r="757">
      <c r="A757" s="22" t="inlineStr">
        <is>
          <t>생성형 AI GAMMA 활용법</t>
        </is>
      </c>
      <c r="B757" s="22" t="inlineStr">
        <is>
          <t>김인숙</t>
        </is>
      </c>
      <c r="C757" s="22" t="inlineStr">
        <is>
          <t>BOOKK(부크크)</t>
        </is>
      </c>
      <c r="D757" s="22" t="inlineStr">
        <is>
          <t>2025년 02월</t>
        </is>
      </c>
      <c r="E757" s="28" t="n">
        <v>19900</v>
      </c>
      <c r="F757" s="28" t="n">
        <v>19900</v>
      </c>
      <c r="G757" s="29" t="n">
        <v>3</v>
      </c>
      <c r="H757" s="29" t="n">
        <v>132</v>
      </c>
      <c r="I757" s="21" t="inlineStr">
        <is>
          <t>2025</t>
        </is>
      </c>
      <c r="J757" s="21" t="inlineStr">
        <is>
          <t xml:space="preserve"> 0</t>
        </is>
      </c>
      <c r="K757" s="30">
        <f>(E757-F757)/IF(E757&gt;0,E757,1)</f>
        <v/>
      </c>
    </row>
    <row r="758">
      <c r="A758" s="22" t="inlineStr">
        <is>
          <t>공연기획자의 ChatGPT 활용법</t>
        </is>
      </c>
      <c r="B758" s="22" t="inlineStr">
        <is>
          <t>인승현</t>
        </is>
      </c>
      <c r="C758" s="22" t="inlineStr">
        <is>
          <t>사회적협동조합 문화공장</t>
        </is>
      </c>
      <c r="D758" s="22" t="inlineStr">
        <is>
          <t>2023년 08월</t>
        </is>
      </c>
      <c r="E758" s="28" t="n">
        <v>18000</v>
      </c>
      <c r="F758" s="28" t="n">
        <v>16200</v>
      </c>
      <c r="G758" s="29" t="n">
        <v>0</v>
      </c>
      <c r="H758" s="29" t="n">
        <v>108</v>
      </c>
      <c r="I758" s="21" t="inlineStr">
        <is>
          <t>2023</t>
        </is>
      </c>
      <c r="J758" s="21" t="inlineStr">
        <is>
          <t xml:space="preserve"> 0</t>
        </is>
      </c>
      <c r="K758" s="30">
        <f>(E758-F758)/IF(E758&gt;0,E758,1)</f>
        <v/>
      </c>
    </row>
    <row r="759">
      <c r="A759" s="22" t="inlineStr">
        <is>
          <t>음성과 언어 처리 2/e</t>
        </is>
      </c>
      <c r="B759" s="22" t="inlineStr">
        <is>
          <t>댄 주라프스키, 제임스 H. 마틴, 박은숙</t>
        </is>
      </c>
      <c r="C759" s="22" t="inlineStr">
        <is>
          <t>에이콘출판사</t>
        </is>
      </c>
      <c r="D759" s="22" t="inlineStr">
        <is>
          <t>2023년 03월</t>
        </is>
      </c>
      <c r="E759" s="28" t="n">
        <v>75000</v>
      </c>
      <c r="F759" s="28" t="n">
        <v>67500</v>
      </c>
      <c r="G759" s="29" t="n">
        <v>0</v>
      </c>
      <c r="H759" s="29" t="n">
        <v>132</v>
      </c>
      <c r="I759" s="21" t="inlineStr">
        <is>
          <t>2023</t>
        </is>
      </c>
      <c r="J759" s="21" t="inlineStr">
        <is>
          <t xml:space="preserve"> 0</t>
        </is>
      </c>
      <c r="K759" s="30">
        <f>(E759-F759)/IF(E759&gt;0,E759,1)</f>
        <v/>
      </c>
    </row>
    <row r="760">
      <c r="A760" s="22" t="inlineStr">
        <is>
          <t>AI와 무용</t>
        </is>
      </c>
      <c r="B760" s="22" t="inlineStr">
        <is>
          <t>임영숙</t>
        </is>
      </c>
      <c r="C760" s="22" t="inlineStr">
        <is>
          <t>커뮤니케이션북스</t>
        </is>
      </c>
      <c r="D760" s="22" t="inlineStr">
        <is>
          <t>2026년 01월</t>
        </is>
      </c>
      <c r="E760" s="28" t="n">
        <v>12000</v>
      </c>
      <c r="F760" s="28" t="n">
        <v>12000</v>
      </c>
      <c r="G760" s="29" t="n">
        <v>0</v>
      </c>
      <c r="H760" s="29" t="n">
        <v>126</v>
      </c>
      <c r="I760" s="21" t="inlineStr">
        <is>
          <t>2026</t>
        </is>
      </c>
      <c r="J760" s="21" t="inlineStr">
        <is>
          <t xml:space="preserve"> 0</t>
        </is>
      </c>
      <c r="K760" s="30">
        <f>(E760-F760)/IF(E760&gt;0,E760,1)</f>
        <v/>
      </c>
    </row>
    <row r="761">
      <c r="A761" s="22" t="inlineStr">
        <is>
          <t>AI 프롬프트 예제: 마케팅 활용편</t>
        </is>
      </c>
      <c r="B761" s="22" t="inlineStr">
        <is>
          <t>하재웅</t>
        </is>
      </c>
      <c r="C761" s="22" t="inlineStr">
        <is>
          <t>딥인사이트</t>
        </is>
      </c>
      <c r="D761" s="22" t="inlineStr">
        <is>
          <t>2025년 05월</t>
        </is>
      </c>
      <c r="E761" s="28" t="n">
        <v>6000</v>
      </c>
      <c r="F761" s="28" t="n">
        <v>5400</v>
      </c>
      <c r="G761" s="29" t="n">
        <v>0</v>
      </c>
      <c r="H761" s="29" t="n">
        <v>201</v>
      </c>
      <c r="I761" s="21" t="inlineStr">
        <is>
          <t>2025</t>
        </is>
      </c>
      <c r="J761" s="21" t="inlineStr">
        <is>
          <t xml:space="preserve"> 0</t>
        </is>
      </c>
      <c r="K761" s="30">
        <f>(E761-F761)/IF(E761&gt;0,E761,1)</f>
        <v/>
      </c>
    </row>
    <row r="762">
      <c r="A762" s="22" t="inlineStr">
        <is>
          <t>AI 시대와 직업능력 개발</t>
        </is>
      </c>
      <c r="B762" s="22" t="inlineStr">
        <is>
          <t>최홍기</t>
        </is>
      </c>
      <c r="C762" s="22" t="inlineStr">
        <is>
          <t>커뮤니케이션북스</t>
        </is>
      </c>
      <c r="D762" s="22" t="inlineStr">
        <is>
          <t>2026년 05월</t>
        </is>
      </c>
      <c r="E762" s="28" t="n">
        <v>12000</v>
      </c>
      <c r="F762" s="28" t="n">
        <v>12000</v>
      </c>
      <c r="G762" s="29" t="n">
        <v>0</v>
      </c>
      <c r="H762" s="29" t="n">
        <v>84</v>
      </c>
      <c r="I762" s="21" t="inlineStr">
        <is>
          <t>2026</t>
        </is>
      </c>
      <c r="J762" s="21" t="inlineStr">
        <is>
          <t xml:space="preserve"> 0</t>
        </is>
      </c>
      <c r="K762" s="30">
        <f>(E762-F762)/IF(E762&gt;0,E762,1)</f>
        <v/>
      </c>
    </row>
    <row r="763">
      <c r="A763" s="22" t="inlineStr">
        <is>
          <t>디자인 콘셉트와 AI</t>
        </is>
      </c>
      <c r="B763" s="22" t="inlineStr">
        <is>
          <t>김수홍</t>
        </is>
      </c>
      <c r="C763" s="22" t="inlineStr">
        <is>
          <t>커뮤니케이션북스</t>
        </is>
      </c>
      <c r="D763" s="22" t="inlineStr">
        <is>
          <t>2026년 05월</t>
        </is>
      </c>
      <c r="E763" s="28" t="n">
        <v>12000</v>
      </c>
      <c r="F763" s="28" t="n">
        <v>12000</v>
      </c>
      <c r="G763" s="29" t="n">
        <v>0</v>
      </c>
      <c r="H763" s="29" t="n">
        <v>84</v>
      </c>
      <c r="I763" s="21" t="inlineStr">
        <is>
          <t>2026</t>
        </is>
      </c>
      <c r="J763" s="21" t="inlineStr">
        <is>
          <t xml:space="preserve"> 0</t>
        </is>
      </c>
      <c r="K763" s="30">
        <f>(E763-F763)/IF(E763&gt;0,E763,1)</f>
        <v/>
      </c>
    </row>
    <row r="764">
      <c r="A764" s="22" t="inlineStr">
        <is>
          <t>AI 발전과 차세대 보안 전략 (큰글자책)</t>
        </is>
      </c>
      <c r="B764" s="22" t="inlineStr">
        <is>
          <t>이민우, 박휘진, 전준형, 박유신, 박종철</t>
        </is>
      </c>
      <c r="C764" s="22" t="inlineStr">
        <is>
          <t>커뮤니케이션북스</t>
        </is>
      </c>
      <c r="D764" s="22" t="inlineStr">
        <is>
          <t>2026년 03월</t>
        </is>
      </c>
      <c r="E764" s="28" t="n">
        <v>25000</v>
      </c>
      <c r="F764" s="28" t="n">
        <v>25000</v>
      </c>
      <c r="G764" s="29" t="n">
        <v>0</v>
      </c>
      <c r="H764" s="29" t="n">
        <v>54</v>
      </c>
      <c r="I764" s="21" t="inlineStr">
        <is>
          <t>2026</t>
        </is>
      </c>
      <c r="J764" s="21" t="inlineStr">
        <is>
          <t xml:space="preserve"> 0</t>
        </is>
      </c>
      <c r="K764" s="30">
        <f>(E764-F764)/IF(E764&gt;0,E764,1)</f>
        <v/>
      </c>
    </row>
    <row r="765">
      <c r="A765" s="22" t="inlineStr">
        <is>
          <t>AI와 과학관</t>
        </is>
      </c>
      <c r="B765" s="22" t="inlineStr">
        <is>
          <t>손성근, 김민환, 김상우</t>
        </is>
      </c>
      <c r="C765" s="22" t="inlineStr">
        <is>
          <t>커뮤니케이션북스</t>
        </is>
      </c>
      <c r="D765" s="22" t="inlineStr">
        <is>
          <t>2026년 05월</t>
        </is>
      </c>
      <c r="E765" s="28" t="n">
        <v>12000</v>
      </c>
      <c r="F765" s="28" t="n">
        <v>12000</v>
      </c>
      <c r="G765" s="29" t="n">
        <v>1</v>
      </c>
      <c r="H765" s="29" t="n">
        <v>3192</v>
      </c>
      <c r="I765" s="21" t="inlineStr">
        <is>
          <t>2026</t>
        </is>
      </c>
      <c r="J765" s="21" t="inlineStr">
        <is>
          <t xml:space="preserve"> 0</t>
        </is>
      </c>
      <c r="K765" s="30">
        <f>(E765-F765)/IF(E765&gt;0,E765,1)</f>
        <v/>
      </c>
    </row>
    <row r="766">
      <c r="A766" s="22" t="inlineStr">
        <is>
          <t>AI와 함께 걷기</t>
        </is>
      </c>
      <c r="B766" s="22" t="inlineStr">
        <is>
          <t>이천우</t>
        </is>
      </c>
      <c r="C766" s="22" t="inlineStr">
        <is>
          <t>율곡출판사</t>
        </is>
      </c>
      <c r="D766" s="22" t="inlineStr">
        <is>
          <t>2026년 05월</t>
        </is>
      </c>
      <c r="E766" s="28" t="n">
        <v>20000</v>
      </c>
      <c r="F766" s="28" t="n">
        <v>20000</v>
      </c>
      <c r="G766" s="29" t="n">
        <v>0</v>
      </c>
      <c r="H766" s="29" t="n">
        <v>84</v>
      </c>
      <c r="I766" s="21" t="inlineStr">
        <is>
          <t>2026</t>
        </is>
      </c>
      <c r="J766" s="21" t="inlineStr">
        <is>
          <t xml:space="preserve"> 0</t>
        </is>
      </c>
      <c r="K766" s="30">
        <f>(E766-F766)/IF(E766&gt;0,E766,1)</f>
        <v/>
      </c>
    </row>
    <row r="767">
      <c r="A767" s="22" t="inlineStr">
        <is>
          <t>생성형 AI 검증의 기술</t>
        </is>
      </c>
      <c r="B767" s="22" t="inlineStr">
        <is>
          <t>김경원</t>
        </is>
      </c>
      <c r="C767" s="22" t="inlineStr">
        <is>
          <t>커뮤니케이션북스</t>
        </is>
      </c>
      <c r="D767" s="22" t="inlineStr">
        <is>
          <t>2026년 05월</t>
        </is>
      </c>
      <c r="E767" s="28" t="n">
        <v>12000</v>
      </c>
      <c r="F767" s="28" t="n">
        <v>12000</v>
      </c>
      <c r="G767" s="29" t="n">
        <v>0</v>
      </c>
      <c r="H767" s="29" t="n">
        <v>84</v>
      </c>
      <c r="I767" s="21" t="inlineStr">
        <is>
          <t>2026</t>
        </is>
      </c>
      <c r="J767" s="21" t="inlineStr">
        <is>
          <t xml:space="preserve"> 0</t>
        </is>
      </c>
      <c r="K767" s="30">
        <f>(E767-F767)/IF(E767&gt;0,E767,1)</f>
        <v/>
      </c>
    </row>
    <row r="768">
      <c r="A768" s="22" t="inlineStr">
        <is>
          <t>AI 시대의 대학 수업</t>
        </is>
      </c>
      <c r="B768" s="22" t="inlineStr">
        <is>
          <t>김태연, 이서현, 조박, 진명지, 최낙진</t>
        </is>
      </c>
      <c r="C768" s="22" t="inlineStr">
        <is>
          <t>커뮤니케이션북스</t>
        </is>
      </c>
      <c r="D768" s="22" t="inlineStr">
        <is>
          <t>2026년 05월</t>
        </is>
      </c>
      <c r="E768" s="28" t="n">
        <v>12000</v>
      </c>
      <c r="F768" s="28" t="n">
        <v>12000</v>
      </c>
      <c r="G768" s="29" t="n">
        <v>0</v>
      </c>
      <c r="H768" s="29" t="n">
        <v>84</v>
      </c>
      <c r="I768" s="21" t="inlineStr">
        <is>
          <t>2026</t>
        </is>
      </c>
      <c r="J768" s="21" t="inlineStr">
        <is>
          <t xml:space="preserve"> 0</t>
        </is>
      </c>
      <c r="K768" s="30">
        <f>(E768-F768)/IF(E768&gt;0,E768,1)</f>
        <v/>
      </c>
    </row>
    <row r="769">
      <c r="A769" s="22" t="inlineStr">
        <is>
          <t>AI 시대의 국어 의식</t>
        </is>
      </c>
      <c r="B769" s="22" t="inlineStr">
        <is>
          <t>송주호</t>
        </is>
      </c>
      <c r="C769" s="22" t="inlineStr">
        <is>
          <t>커뮤니케이션북스</t>
        </is>
      </c>
      <c r="D769" s="22" t="inlineStr">
        <is>
          <t>2026년 05월</t>
        </is>
      </c>
      <c r="E769" s="28" t="n">
        <v>12000</v>
      </c>
      <c r="F769" s="28" t="n">
        <v>12000</v>
      </c>
      <c r="G769" s="29" t="n">
        <v>0</v>
      </c>
      <c r="H769" s="29" t="n">
        <v>84</v>
      </c>
      <c r="I769" s="21" t="inlineStr">
        <is>
          <t>2026</t>
        </is>
      </c>
      <c r="J769" s="21" t="inlineStr">
        <is>
          <t xml:space="preserve"> 0</t>
        </is>
      </c>
      <c r="K769" s="30">
        <f>(E769-F769)/IF(E769&gt;0,E769,1)</f>
        <v/>
      </c>
    </row>
    <row r="770">
      <c r="A770" s="22" t="inlineStr">
        <is>
          <t>사이버-AI 넥서스와 미국의 동맹</t>
        </is>
      </c>
      <c r="B770" s="22" t="inlineStr">
        <is>
          <t>신승휴</t>
        </is>
      </c>
      <c r="C770" s="22" t="inlineStr">
        <is>
          <t>커뮤니케이션북스</t>
        </is>
      </c>
      <c r="D770" s="22" t="inlineStr">
        <is>
          <t>2026년 05월</t>
        </is>
      </c>
      <c r="E770" s="28" t="n">
        <v>12000</v>
      </c>
      <c r="F770" s="28" t="n">
        <v>12000</v>
      </c>
      <c r="G770" s="29" t="n">
        <v>0</v>
      </c>
      <c r="H770" s="29" t="n">
        <v>84</v>
      </c>
      <c r="I770" s="21" t="inlineStr">
        <is>
          <t>2026</t>
        </is>
      </c>
      <c r="J770" s="21" t="inlineStr">
        <is>
          <t xml:space="preserve"> 0</t>
        </is>
      </c>
      <c r="K770" s="30">
        <f>(E770-F770)/IF(E770&gt;0,E770,1)</f>
        <v/>
      </c>
    </row>
    <row r="771">
      <c r="A771" s="22" t="inlineStr">
        <is>
          <t>AI, 그리고 종교의 대답</t>
        </is>
      </c>
      <c r="B771" s="22" t="inlineStr">
        <is>
          <t>김진</t>
        </is>
      </c>
      <c r="C771" s="22" t="inlineStr">
        <is>
          <t>커뮤니케이션북스</t>
        </is>
      </c>
      <c r="D771" s="22" t="inlineStr">
        <is>
          <t>2026년 05월</t>
        </is>
      </c>
      <c r="E771" s="28" t="n">
        <v>12000</v>
      </c>
      <c r="F771" s="28" t="n">
        <v>12000</v>
      </c>
      <c r="G771" s="29" t="n">
        <v>0</v>
      </c>
      <c r="H771" s="29" t="n">
        <v>84</v>
      </c>
      <c r="I771" s="21" t="inlineStr">
        <is>
          <t>2026</t>
        </is>
      </c>
      <c r="J771" s="21" t="inlineStr">
        <is>
          <t xml:space="preserve"> 0</t>
        </is>
      </c>
      <c r="K771" s="30">
        <f>(E771-F771)/IF(E771&gt;0,E771,1)</f>
        <v/>
      </c>
    </row>
    <row r="772">
      <c r="A772" s="22" t="inlineStr">
        <is>
          <t>AI와 발명교육</t>
        </is>
      </c>
      <c r="B772" s="22" t="inlineStr">
        <is>
          <t>김다솔</t>
        </is>
      </c>
      <c r="C772" s="22" t="inlineStr">
        <is>
          <t>커뮤니케이션북스</t>
        </is>
      </c>
      <c r="D772" s="22" t="inlineStr">
        <is>
          <t>2026년 05월</t>
        </is>
      </c>
      <c r="E772" s="28" t="n">
        <v>12000</v>
      </c>
      <c r="F772" s="28" t="n">
        <v>12000</v>
      </c>
      <c r="G772" s="29" t="n">
        <v>0</v>
      </c>
      <c r="H772" s="29" t="n">
        <v>84</v>
      </c>
      <c r="I772" s="21" t="inlineStr">
        <is>
          <t>2026</t>
        </is>
      </c>
      <c r="J772" s="21" t="inlineStr">
        <is>
          <t xml:space="preserve"> 0</t>
        </is>
      </c>
      <c r="K772" s="30">
        <f>(E772-F772)/IF(E772&gt;0,E772,1)</f>
        <v/>
      </c>
    </row>
    <row r="773">
      <c r="A773" s="22" t="inlineStr">
        <is>
          <t>쿠브플로우 중심 AI 모델 설계와 운영</t>
        </is>
      </c>
      <c r="B773" s="22" t="inlineStr">
        <is>
          <t>김동길, 박판종, 정태윤</t>
        </is>
      </c>
      <c r="C773" s="22" t="inlineStr">
        <is>
          <t>커뮤니케이션북스</t>
        </is>
      </c>
      <c r="D773" s="22" t="inlineStr">
        <is>
          <t>2026년 05월</t>
        </is>
      </c>
      <c r="E773" s="28" t="n">
        <v>12000</v>
      </c>
      <c r="F773" s="28" t="n">
        <v>12000</v>
      </c>
      <c r="G773" s="29" t="n">
        <v>0</v>
      </c>
      <c r="H773" s="29" t="n">
        <v>84</v>
      </c>
      <c r="I773" s="21" t="inlineStr">
        <is>
          <t>2026</t>
        </is>
      </c>
      <c r="J773" s="21" t="inlineStr">
        <is>
          <t xml:space="preserve"> 0</t>
        </is>
      </c>
      <c r="K773" s="30">
        <f>(E773-F773)/IF(E773&gt;0,E773,1)</f>
        <v/>
      </c>
    </row>
    <row r="774">
      <c r="A774" s="22" t="inlineStr">
        <is>
          <t>AI 배우</t>
        </is>
      </c>
      <c r="B774" s="22" t="inlineStr">
        <is>
          <t>박인수</t>
        </is>
      </c>
      <c r="C774" s="22" t="inlineStr">
        <is>
          <t>커뮤니케이션북스</t>
        </is>
      </c>
      <c r="D774" s="22" t="inlineStr">
        <is>
          <t>2026년 05월</t>
        </is>
      </c>
      <c r="E774" s="28" t="n">
        <v>12000</v>
      </c>
      <c r="F774" s="28" t="n">
        <v>12000</v>
      </c>
      <c r="G774" s="29" t="n">
        <v>0</v>
      </c>
      <c r="H774" s="29" t="n">
        <v>84</v>
      </c>
      <c r="I774" s="21" t="inlineStr">
        <is>
          <t>2026</t>
        </is>
      </c>
      <c r="J774" s="21" t="inlineStr">
        <is>
          <t xml:space="preserve"> 0</t>
        </is>
      </c>
      <c r="K774" s="30">
        <f>(E774-F774)/IF(E774&gt;0,E774,1)</f>
        <v/>
      </c>
    </row>
    <row r="775">
      <c r="A775" s="22" t="inlineStr">
        <is>
          <t>AI 학습·생성과 저작권</t>
        </is>
      </c>
      <c r="B775" s="22" t="inlineStr">
        <is>
          <t>김경숙</t>
        </is>
      </c>
      <c r="C775" s="22" t="inlineStr">
        <is>
          <t>커뮤니케이션북스</t>
        </is>
      </c>
      <c r="D775" s="22" t="inlineStr">
        <is>
          <t>2026년 05월</t>
        </is>
      </c>
      <c r="E775" s="28" t="n">
        <v>12000</v>
      </c>
      <c r="F775" s="28" t="n">
        <v>12000</v>
      </c>
      <c r="G775" s="29" t="n">
        <v>0</v>
      </c>
      <c r="H775" s="29" t="n">
        <v>84</v>
      </c>
      <c r="I775" s="21" t="inlineStr">
        <is>
          <t>2026</t>
        </is>
      </c>
      <c r="J775" s="21" t="inlineStr">
        <is>
          <t xml:space="preserve"> 0</t>
        </is>
      </c>
      <c r="K775" s="30">
        <f>(E775-F775)/IF(E775&gt;0,E775,1)</f>
        <v/>
      </c>
    </row>
    <row r="776">
      <c r="A776" s="22" t="inlineStr">
        <is>
          <t>당신이 AI를 만나면 생기는 일</t>
        </is>
      </c>
      <c r="B776" s="22" t="inlineStr">
        <is>
          <t>민경호</t>
        </is>
      </c>
      <c r="C776" s="22" t="inlineStr">
        <is>
          <t>세계로미디어</t>
        </is>
      </c>
      <c r="D776" s="22" t="inlineStr">
        <is>
          <t>2026년 05월</t>
        </is>
      </c>
      <c r="E776" s="28" t="n">
        <v>18000</v>
      </c>
      <c r="F776" s="28" t="n">
        <v>16200</v>
      </c>
      <c r="G776" s="29" t="n">
        <v>0</v>
      </c>
      <c r="H776" s="29" t="n">
        <v>84</v>
      </c>
      <c r="I776" s="21" t="inlineStr">
        <is>
          <t>2026</t>
        </is>
      </c>
      <c r="J776" s="21" t="inlineStr">
        <is>
          <t xml:space="preserve"> 0</t>
        </is>
      </c>
      <c r="K776" s="30">
        <f>(E776-F776)/IF(E776&gt;0,E776,1)</f>
        <v/>
      </c>
    </row>
    <row r="777">
      <c r="A777" s="22" t="inlineStr">
        <is>
          <t>생성형 AI와 잉여 데이터</t>
        </is>
      </c>
      <c r="B777" s="22" t="inlineStr">
        <is>
          <t>김홍규</t>
        </is>
      </c>
      <c r="C777" s="22" t="inlineStr">
        <is>
          <t>커뮤니케이션북스</t>
        </is>
      </c>
      <c r="D777" s="22" t="inlineStr">
        <is>
          <t>2026년 05월</t>
        </is>
      </c>
      <c r="E777" s="28" t="n">
        <v>12000</v>
      </c>
      <c r="F777" s="28" t="n">
        <v>12000</v>
      </c>
      <c r="G777" s="29" t="n">
        <v>0</v>
      </c>
      <c r="H777" s="29" t="n">
        <v>84</v>
      </c>
      <c r="I777" s="21" t="inlineStr">
        <is>
          <t>2026</t>
        </is>
      </c>
      <c r="J777" s="21" t="inlineStr">
        <is>
          <t xml:space="preserve"> 0</t>
        </is>
      </c>
      <c r="K777" s="30">
        <f>(E777-F777)/IF(E777&gt;0,E777,1)</f>
        <v/>
      </c>
    </row>
    <row r="778">
      <c r="A778" s="22" t="inlineStr">
        <is>
          <t>인공지능과 윤리적 맥락</t>
        </is>
      </c>
      <c r="B778" s="22" t="inlineStr">
        <is>
          <t>이희구</t>
        </is>
      </c>
      <c r="C778" s="22" t="inlineStr">
        <is>
          <t>커뮤니케이션북스</t>
        </is>
      </c>
      <c r="D778" s="22" t="inlineStr">
        <is>
          <t>2026년 05월</t>
        </is>
      </c>
      <c r="E778" s="28" t="n">
        <v>12000</v>
      </c>
      <c r="F778" s="28" t="n">
        <v>12000</v>
      </c>
      <c r="G778" s="29" t="n">
        <v>0</v>
      </c>
      <c r="H778" s="29" t="n">
        <v>105</v>
      </c>
      <c r="I778" s="21" t="inlineStr">
        <is>
          <t>2026</t>
        </is>
      </c>
      <c r="J778" s="21" t="inlineStr">
        <is>
          <t xml:space="preserve"> 0</t>
        </is>
      </c>
      <c r="K778" s="30">
        <f>(E778-F778)/IF(E778&gt;0,E778,1)</f>
        <v/>
      </c>
    </row>
    <row r="779">
      <c r="A779" s="22" t="inlineStr">
        <is>
          <t>AI와 유가 철학</t>
        </is>
      </c>
      <c r="B779" s="22" t="inlineStr">
        <is>
          <t>정두호</t>
        </is>
      </c>
      <c r="C779" s="22" t="inlineStr">
        <is>
          <t>커뮤니케이션북스</t>
        </is>
      </c>
      <c r="D779" s="22" t="inlineStr">
        <is>
          <t>2026년 05월</t>
        </is>
      </c>
      <c r="E779" s="28" t="n">
        <v>12000</v>
      </c>
      <c r="F779" s="28" t="n">
        <v>12000</v>
      </c>
      <c r="G779" s="29" t="n">
        <v>0</v>
      </c>
      <c r="H779" s="29" t="n">
        <v>333</v>
      </c>
      <c r="I779" s="21" t="inlineStr">
        <is>
          <t>2026</t>
        </is>
      </c>
      <c r="J779" s="21" t="inlineStr">
        <is>
          <t xml:space="preserve"> 0</t>
        </is>
      </c>
      <c r="K779" s="30">
        <f>(E779-F779)/IF(E779&gt;0,E779,1)</f>
        <v/>
      </c>
    </row>
    <row r="780">
      <c r="A780" s="22" t="inlineStr">
        <is>
          <t>라즈베리파이와 함께하는 AI 비전 시스템 구축 첫 걸음</t>
        </is>
      </c>
      <c r="B780" s="22" t="inlineStr">
        <is>
          <t>김기태, 조주용</t>
        </is>
      </c>
      <c r="C780" s="22" t="inlineStr">
        <is>
          <t>BOOKK(부크크)</t>
        </is>
      </c>
      <c r="D780" s="22" t="inlineStr">
        <is>
          <t>2026년 04월</t>
        </is>
      </c>
      <c r="E780" s="28" t="n">
        <v>29000</v>
      </c>
      <c r="F780" s="28" t="n">
        <v>29000</v>
      </c>
      <c r="G780" s="29" t="n">
        <v>0</v>
      </c>
      <c r="H780" s="29" t="n">
        <v>96</v>
      </c>
      <c r="I780" s="21" t="inlineStr">
        <is>
          <t>2026</t>
        </is>
      </c>
      <c r="J780" s="21" t="inlineStr">
        <is>
          <t xml:space="preserve"> 0</t>
        </is>
      </c>
      <c r="K780" s="30">
        <f>(E780-F780)/IF(E780&gt;0,E780,1)</f>
        <v/>
      </c>
    </row>
    <row r="781">
      <c r="A781" s="22" t="inlineStr">
        <is>
          <t>다크 AI</t>
        </is>
      </c>
      <c r="B781" s="22" t="inlineStr">
        <is>
          <t>박찬선</t>
        </is>
      </c>
      <c r="C781" s="22" t="inlineStr">
        <is>
          <t>커뮤니케이션북스</t>
        </is>
      </c>
      <c r="D781" s="22" t="inlineStr">
        <is>
          <t>2026년 05월</t>
        </is>
      </c>
      <c r="E781" s="28" t="n">
        <v>12000</v>
      </c>
      <c r="F781" s="28" t="n">
        <v>12000</v>
      </c>
      <c r="G781" s="29" t="n">
        <v>0</v>
      </c>
      <c r="H781" s="29" t="n">
        <v>144</v>
      </c>
      <c r="I781" s="21" t="inlineStr">
        <is>
          <t>2026</t>
        </is>
      </c>
      <c r="J781" s="21" t="inlineStr">
        <is>
          <t xml:space="preserve"> 0</t>
        </is>
      </c>
      <c r="K781" s="30">
        <f>(E781-F781)/IF(E781&gt;0,E781,1)</f>
        <v/>
      </c>
    </row>
    <row r="782">
      <c r="A782" s="22" t="inlineStr">
        <is>
          <t>인공지능과 인간의 위기</t>
        </is>
      </c>
      <c r="B782" s="22" t="inlineStr">
        <is>
          <t>손영창</t>
        </is>
      </c>
      <c r="C782" s="22" t="inlineStr">
        <is>
          <t>커뮤니케이션북스</t>
        </is>
      </c>
      <c r="D782" s="22" t="inlineStr">
        <is>
          <t>2026년 05월</t>
        </is>
      </c>
      <c r="E782" s="28" t="n">
        <v>12000</v>
      </c>
      <c r="F782" s="28" t="n">
        <v>12000</v>
      </c>
      <c r="G782" s="29" t="n">
        <v>0</v>
      </c>
      <c r="H782" s="29" t="n">
        <v>126</v>
      </c>
      <c r="I782" s="21" t="inlineStr">
        <is>
          <t>2026</t>
        </is>
      </c>
      <c r="J782" s="21" t="inlineStr">
        <is>
          <t xml:space="preserve"> 0</t>
        </is>
      </c>
      <c r="K782" s="30">
        <f>(E782-F782)/IF(E782&gt;0,E782,1)</f>
        <v/>
      </c>
    </row>
    <row r="783">
      <c r="A783" s="22" t="inlineStr">
        <is>
          <t>AI 내부자들</t>
        </is>
      </c>
      <c r="B783" s="22" t="inlineStr">
        <is>
          <t>안건, 황민영, 김영현, 이활석, 박지혁, 정보 더 보기/감추기, 안건, 황민영, 김영현, 이활석, 박지혁, 홍창기, 설형욱, 문현지, 한승주, 이성민, 문인태, 이동현, 노지혜, 김수현, 이민아, 장요엘, 유윤아, 오창환</t>
        </is>
      </c>
      <c r="C783" s="22" t="inlineStr">
        <is>
          <t>스마트북스</t>
        </is>
      </c>
      <c r="D783" s="22" t="inlineStr">
        <is>
          <t>2025년 09월</t>
        </is>
      </c>
      <c r="E783" s="28" t="n">
        <v>22000</v>
      </c>
      <c r="F783" s="28" t="n">
        <v>19800</v>
      </c>
      <c r="G783" s="29" t="n">
        <v>6</v>
      </c>
      <c r="H783" s="29" t="n">
        <v>2508</v>
      </c>
      <c r="I783" s="21" t="inlineStr">
        <is>
          <t>2025</t>
        </is>
      </c>
      <c r="J783" s="21" t="inlineStr">
        <is>
          <t xml:space="preserve"> 0</t>
        </is>
      </c>
      <c r="K783" s="30">
        <f>(E783-F783)/IF(E783&gt;0,E783,1)</f>
        <v/>
      </c>
    </row>
    <row r="784">
      <c r="A784" s="22" t="inlineStr">
        <is>
          <t>한국인이 알아야 할 인공지능</t>
        </is>
      </c>
      <c r="B784" s="22" t="inlineStr">
        <is>
          <t>황동현</t>
        </is>
      </c>
      <c r="C784" s="22" t="inlineStr">
        <is>
          <t>스토리하우스</t>
        </is>
      </c>
      <c r="D784" s="22" t="inlineStr">
        <is>
          <t>2023년 07월</t>
        </is>
      </c>
      <c r="E784" s="28" t="n">
        <v>19800</v>
      </c>
      <c r="F784" s="28" t="n">
        <v>17820</v>
      </c>
      <c r="G784" s="29" t="n">
        <v>0</v>
      </c>
      <c r="H784" s="29" t="n">
        <v>84</v>
      </c>
      <c r="I784" s="21" t="inlineStr">
        <is>
          <t>2023</t>
        </is>
      </c>
      <c r="J784" s="21" t="inlineStr">
        <is>
          <t xml:space="preserve"> 0</t>
        </is>
      </c>
      <c r="K784" s="30">
        <f>(E784-F784)/IF(E784&gt;0,E784,1)</f>
        <v/>
      </c>
    </row>
    <row r="785">
      <c r="A785" s="22" t="inlineStr">
        <is>
          <t>핸즈온 생성형 AI</t>
        </is>
      </c>
      <c r="B785" s="22" t="inlineStr">
        <is>
          <t>오마르 산세비에로, 페드로 쿠엥카, 아폴리나리우 파소스, 조나단 휘태커, 장윤경</t>
        </is>
      </c>
      <c r="C785" s="22" t="inlineStr">
        <is>
          <t>한빛미디어</t>
        </is>
      </c>
      <c r="D785" s="22" t="inlineStr">
        <is>
          <t>2025년 06월</t>
        </is>
      </c>
      <c r="E785" s="28" t="n">
        <v>39000</v>
      </c>
      <c r="F785" s="28" t="n">
        <v>35100</v>
      </c>
      <c r="G785" s="29" t="n">
        <v>10</v>
      </c>
      <c r="H785" s="29" t="n">
        <v>1338</v>
      </c>
      <c r="I785" s="21" t="inlineStr">
        <is>
          <t>2025</t>
        </is>
      </c>
      <c r="J785" s="21" t="inlineStr">
        <is>
          <t xml:space="preserve"> 0</t>
        </is>
      </c>
      <c r="K785" s="30">
        <f>(E785-F785)/IF(E785&gt;0,E785,1)</f>
        <v/>
      </c>
    </row>
    <row r="786">
      <c r="A786" s="22" t="inlineStr">
        <is>
          <t>바이브 코딩</t>
        </is>
      </c>
      <c r="B786" s="22" t="inlineStr">
        <is>
          <t>이석현</t>
        </is>
      </c>
      <c r="C786" s="22" t="inlineStr">
        <is>
          <t>아이콕스(iCox)</t>
        </is>
      </c>
      <c r="D786" s="22" t="inlineStr">
        <is>
          <t>2025년 11월</t>
        </is>
      </c>
      <c r="E786" s="28" t="n">
        <v>27000</v>
      </c>
      <c r="F786" s="28" t="n">
        <v>24300</v>
      </c>
      <c r="G786" s="29" t="n">
        <v>0</v>
      </c>
      <c r="H786" s="29" t="n">
        <v>1170</v>
      </c>
      <c r="I786" s="21" t="inlineStr">
        <is>
          <t>2025</t>
        </is>
      </c>
      <c r="J786" s="21" t="inlineStr">
        <is>
          <t xml:space="preserve"> 1</t>
        </is>
      </c>
      <c r="K786" s="30">
        <f>(E786-F786)/IF(E786&gt;0,E786,1)</f>
        <v/>
      </c>
    </row>
    <row r="787">
      <c r="A787" s="22" t="inlineStr">
        <is>
          <t>1400만 직장인을 위한 챗GPT 비즈니스 프롬프트</t>
        </is>
      </c>
      <c r="B787" s="22" t="inlineStr">
        <is>
          <t>민진홍, 유경화</t>
        </is>
      </c>
      <c r="C787" s="22" t="inlineStr">
        <is>
          <t>성안당</t>
        </is>
      </c>
      <c r="D787" s="22" t="inlineStr">
        <is>
          <t>2025년 02월</t>
        </is>
      </c>
      <c r="E787" s="28" t="n">
        <v>23000</v>
      </c>
      <c r="F787" s="28" t="n">
        <v>20700</v>
      </c>
      <c r="G787" s="29" t="n">
        <v>92</v>
      </c>
      <c r="H787" s="29" t="n">
        <v>1254</v>
      </c>
      <c r="I787" s="21" t="inlineStr">
        <is>
          <t>2025</t>
        </is>
      </c>
      <c r="J787" s="21" t="inlineStr">
        <is>
          <t xml:space="preserve"> 0</t>
        </is>
      </c>
      <c r="K787" s="30">
        <f>(E787-F787)/IF(E787&gt;0,E787,1)</f>
        <v/>
      </c>
    </row>
    <row r="788">
      <c r="A788" s="22" t="inlineStr">
        <is>
          <t>오렌지3 with 파이썬</t>
        </is>
      </c>
      <c r="B788" s="22" t="inlineStr">
        <is>
          <t>김현철, 김종혜, 박종화, 임진숙</t>
        </is>
      </c>
      <c r="C788" s="22" t="inlineStr">
        <is>
          <t>생능북스</t>
        </is>
      </c>
      <c r="D788" s="22" t="inlineStr">
        <is>
          <t>2024년 07월</t>
        </is>
      </c>
      <c r="E788" s="28" t="n">
        <v>30000</v>
      </c>
      <c r="F788" s="28" t="n">
        <v>27000</v>
      </c>
      <c r="G788" s="29" t="n">
        <v>6</v>
      </c>
      <c r="H788" s="29" t="n">
        <v>1692</v>
      </c>
      <c r="I788" s="21" t="inlineStr">
        <is>
          <t>2024</t>
        </is>
      </c>
      <c r="J788" s="21" t="inlineStr">
        <is>
          <t xml:space="preserve"> 0</t>
        </is>
      </c>
      <c r="K788" s="30">
        <f>(E788-F788)/IF(E788&gt;0,E788,1)</f>
        <v/>
      </c>
    </row>
    <row r="789">
      <c r="A789" s="22" t="inlineStr">
        <is>
          <t>제미나이 인공지능 프로그래밍</t>
        </is>
      </c>
      <c r="B789" s="22" t="inlineStr">
        <is>
          <t>후루카와 히데카즈, 하승민</t>
        </is>
      </c>
      <c r="C789" s="22" t="inlineStr">
        <is>
          <t>길벗</t>
        </is>
      </c>
      <c r="D789" s="22" t="inlineStr">
        <is>
          <t>2025년 05월</t>
        </is>
      </c>
      <c r="E789" s="28" t="n">
        <v>35000</v>
      </c>
      <c r="F789" s="28" t="n">
        <v>31500</v>
      </c>
      <c r="G789" s="29" t="n">
        <v>14</v>
      </c>
      <c r="H789" s="29" t="n">
        <v>1110</v>
      </c>
      <c r="I789" s="21" t="inlineStr">
        <is>
          <t>2025</t>
        </is>
      </c>
      <c r="J789" s="21" t="inlineStr">
        <is>
          <t xml:space="preserve"> 0</t>
        </is>
      </c>
      <c r="K789" s="30">
        <f>(E789-F789)/IF(E789&gt;0,E789,1)</f>
        <v/>
      </c>
    </row>
    <row r="790">
      <c r="A790" s="22" t="inlineStr">
        <is>
          <t>으뜸 데이터 분석과 머신러닝</t>
        </is>
      </c>
      <c r="B790" s="22" t="inlineStr">
        <is>
          <t>박동규, 강영민, 김병욱</t>
        </is>
      </c>
      <c r="C790" s="22" t="inlineStr">
        <is>
          <t>생능출판사</t>
        </is>
      </c>
      <c r="D790" s="22" t="inlineStr">
        <is>
          <t>2024년 12월</t>
        </is>
      </c>
      <c r="E790" s="28" t="n">
        <v>32000</v>
      </c>
      <c r="F790" s="28" t="n">
        <v>32000</v>
      </c>
      <c r="G790" s="29" t="n">
        <v>0</v>
      </c>
      <c r="H790" s="29" t="n">
        <v>1086</v>
      </c>
      <c r="I790" s="21" t="inlineStr">
        <is>
          <t>2024</t>
        </is>
      </c>
      <c r="J790" s="21" t="inlineStr">
        <is>
          <t xml:space="preserve"> 1</t>
        </is>
      </c>
      <c r="K790" s="30">
        <f>(E790-F790)/IF(E790&gt;0,E790,1)</f>
        <v/>
      </c>
    </row>
    <row r="791">
      <c r="A791" s="22" t="inlineStr">
        <is>
          <t>회사에서 바로 쓰는 AI 치트키</t>
        </is>
      </c>
      <c r="B791" s="22" t="inlineStr">
        <is>
          <t>이혜정, 윤재현, 엄혜경</t>
        </is>
      </c>
      <c r="C791" s="22" t="inlineStr">
        <is>
          <t>애드앤미디어</t>
        </is>
      </c>
      <c r="D791" s="22" t="inlineStr">
        <is>
          <t>2025년 06월</t>
        </is>
      </c>
      <c r="E791" s="28" t="n">
        <v>20000</v>
      </c>
      <c r="F791" s="28" t="n">
        <v>18000</v>
      </c>
      <c r="G791" s="29" t="n">
        <v>17</v>
      </c>
      <c r="H791" s="29" t="n">
        <v>1140</v>
      </c>
      <c r="I791" s="21" t="inlineStr">
        <is>
          <t>2025</t>
        </is>
      </c>
      <c r="J791" s="21" t="inlineStr">
        <is>
          <t xml:space="preserve"> 0</t>
        </is>
      </c>
      <c r="K791" s="30">
        <f>(E791-F791)/IF(E791&gt;0,E791,1)</f>
        <v/>
      </c>
    </row>
    <row r="792">
      <c r="A792" s="22" t="inlineStr">
        <is>
          <t>ChatGPT 마케팅</t>
        </is>
      </c>
      <c r="B792" s="22" t="inlineStr">
        <is>
          <t>임헌수</t>
        </is>
      </c>
      <c r="C792" s="22" t="inlineStr">
        <is>
          <t>이코노믹북스</t>
        </is>
      </c>
      <c r="D792" s="22" t="inlineStr">
        <is>
          <t>2025년 01월</t>
        </is>
      </c>
      <c r="E792" s="28" t="n">
        <v>25000</v>
      </c>
      <c r="F792" s="28" t="n">
        <v>22500</v>
      </c>
      <c r="G792" s="29" t="n">
        <v>31</v>
      </c>
      <c r="H792" s="29" t="n">
        <v>1002</v>
      </c>
      <c r="I792" s="21" t="inlineStr">
        <is>
          <t>2025</t>
        </is>
      </c>
      <c r="J792" s="21" t="inlineStr">
        <is>
          <t xml:space="preserve"> 0</t>
        </is>
      </c>
      <c r="K792" s="30">
        <f>(E792-F792)/IF(E792&gt;0,E792,1)</f>
        <v/>
      </c>
    </row>
    <row r="793">
      <c r="A793" s="22" t="inlineStr">
        <is>
          <t>챗GPT, 글쓰기 코치가 되어 줘</t>
        </is>
      </c>
      <c r="B793" s="22" t="inlineStr">
        <is>
          <t>이석현</t>
        </is>
      </c>
      <c r="C793" s="22" t="inlineStr">
        <is>
          <t>제이펍</t>
        </is>
      </c>
      <c r="D793" s="22" t="inlineStr">
        <is>
          <t>2025년 04월</t>
        </is>
      </c>
      <c r="E793" s="28" t="n">
        <v>22000</v>
      </c>
      <c r="F793" s="28" t="n">
        <v>19800</v>
      </c>
      <c r="G793" s="29" t="n">
        <v>58</v>
      </c>
      <c r="H793" s="29" t="n">
        <v>840</v>
      </c>
      <c r="I793" s="21" t="inlineStr">
        <is>
          <t>2025</t>
        </is>
      </c>
      <c r="J793" s="21" t="inlineStr">
        <is>
          <t xml:space="preserve"> 0</t>
        </is>
      </c>
      <c r="K793" s="30">
        <f>(E793-F793)/IF(E793&gt;0,E793,1)</f>
        <v/>
      </c>
    </row>
    <row r="794">
      <c r="A794" s="22" t="inlineStr">
        <is>
          <t>교실에서 바로 통하는 배움중심수업 에듀테크와 AI로 확!잡자</t>
        </is>
      </c>
      <c r="B794" s="22" t="inlineStr">
        <is>
          <t>유수근</t>
        </is>
      </c>
      <c r="C794" s="22" t="inlineStr">
        <is>
          <t>앤써북</t>
        </is>
      </c>
      <c r="D794" s="22" t="inlineStr">
        <is>
          <t>2024년 06월</t>
        </is>
      </c>
      <c r="E794" s="28" t="n">
        <v>15500</v>
      </c>
      <c r="F794" s="28" t="n">
        <v>13950</v>
      </c>
      <c r="G794" s="29" t="n">
        <v>16</v>
      </c>
      <c r="H794" s="29" t="n">
        <v>1194</v>
      </c>
      <c r="I794" s="21" t="inlineStr">
        <is>
          <t>2024</t>
        </is>
      </c>
      <c r="J794" s="21" t="inlineStr">
        <is>
          <t xml:space="preserve"> 0</t>
        </is>
      </c>
      <c r="K794" s="30">
        <f>(E794-F794)/IF(E794&gt;0,E794,1)</f>
        <v/>
      </c>
    </row>
    <row r="795">
      <c r="A795" s="22" t="inlineStr">
        <is>
          <t>혼자 AI로 끝까지 완성하는 풀스택 온라인 게임 개발</t>
        </is>
      </c>
      <c r="B795" s="22" t="inlineStr">
        <is>
          <t>정금호</t>
        </is>
      </c>
      <c r="C795" s="22" t="inlineStr">
        <is>
          <t>로드북</t>
        </is>
      </c>
      <c r="D795" s="22" t="inlineStr">
        <is>
          <t>2026년 01월</t>
        </is>
      </c>
      <c r="E795" s="28" t="n">
        <v>30000</v>
      </c>
      <c r="F795" s="28" t="n">
        <v>27000</v>
      </c>
      <c r="G795" s="29" t="n">
        <v>1</v>
      </c>
      <c r="H795" s="29" t="n">
        <v>858</v>
      </c>
      <c r="I795" s="21" t="inlineStr">
        <is>
          <t>2026</t>
        </is>
      </c>
      <c r="J795" s="21" t="inlineStr">
        <is>
          <t xml:space="preserve"> 0</t>
        </is>
      </c>
      <c r="K795" s="30">
        <f>(E795-F795)/IF(E795&gt;0,E795,1)</f>
        <v/>
      </c>
    </row>
    <row r="796">
      <c r="A796" s="22" t="inlineStr">
        <is>
          <t>LLM 인 프로덕션</t>
        </is>
      </c>
      <c r="B796" s="22" t="inlineStr">
        <is>
          <t>크리스토퍼 브루소, 매슈 샤프, 307번역랩, 류광</t>
        </is>
      </c>
      <c r="C796" s="22" t="inlineStr">
        <is>
          <t>위키북스</t>
        </is>
      </c>
      <c r="D796" s="22" t="inlineStr">
        <is>
          <t>2025년 06월</t>
        </is>
      </c>
      <c r="E796" s="28" t="n">
        <v>35000</v>
      </c>
      <c r="F796" s="28" t="n">
        <v>31500</v>
      </c>
      <c r="G796" s="29" t="n">
        <v>4</v>
      </c>
      <c r="H796" s="29" t="n">
        <v>906</v>
      </c>
      <c r="I796" s="21" t="inlineStr">
        <is>
          <t>2025</t>
        </is>
      </c>
      <c r="J796" s="21" t="inlineStr">
        <is>
          <t xml:space="preserve"> 0</t>
        </is>
      </c>
      <c r="K796" s="30">
        <f>(E796-F796)/IF(E796&gt;0,E796,1)</f>
        <v/>
      </c>
    </row>
    <row r="797">
      <c r="A797" s="22" t="inlineStr">
        <is>
          <t>GPTs 제작·노출·고도화·수익화 진짜 잘함</t>
        </is>
      </c>
      <c r="B797" s="22" t="inlineStr">
        <is>
          <t>이태경</t>
        </is>
      </c>
      <c r="C797" s="22" t="inlineStr">
        <is>
          <t>리코멘드</t>
        </is>
      </c>
      <c r="D797" s="22" t="inlineStr">
        <is>
          <t>2024년 12월</t>
        </is>
      </c>
      <c r="E797" s="28" t="n">
        <v>18800</v>
      </c>
      <c r="F797" s="28" t="n">
        <v>16920</v>
      </c>
      <c r="G797" s="29" t="n">
        <v>21</v>
      </c>
      <c r="H797" s="29" t="n">
        <v>798</v>
      </c>
      <c r="I797" s="21" t="inlineStr">
        <is>
          <t>2024</t>
        </is>
      </c>
      <c r="J797" s="21" t="inlineStr">
        <is>
          <t xml:space="preserve"> 1</t>
        </is>
      </c>
      <c r="K797" s="30">
        <f>(E797-F797)/IF(E797&gt;0,E797,1)</f>
        <v/>
      </c>
    </row>
    <row r="798">
      <c r="A798" s="22" t="inlineStr">
        <is>
          <t>파이썬 시계열 예측 분석</t>
        </is>
      </c>
      <c r="B798" s="22" t="inlineStr">
        <is>
          <t>마르쿠 페이셰이루, 동동구</t>
        </is>
      </c>
      <c r="C798" s="22" t="inlineStr">
        <is>
          <t>제이펍</t>
        </is>
      </c>
      <c r="D798" s="22" t="inlineStr">
        <is>
          <t>2024년 07월</t>
        </is>
      </c>
      <c r="E798" s="28" t="n">
        <v>38000</v>
      </c>
      <c r="F798" s="28" t="n">
        <v>34200</v>
      </c>
      <c r="G798" s="29" t="n">
        <v>16</v>
      </c>
      <c r="H798" s="29" t="n">
        <v>840</v>
      </c>
      <c r="I798" s="21" t="inlineStr">
        <is>
          <t>2024</t>
        </is>
      </c>
      <c r="J798" s="21" t="inlineStr">
        <is>
          <t xml:space="preserve"> 0</t>
        </is>
      </c>
      <c r="K798" s="30">
        <f>(E798-F798)/IF(E798&gt;0,E798,1)</f>
        <v/>
      </c>
    </row>
    <row r="799">
      <c r="A799" s="22" t="inlineStr">
        <is>
          <t>AI  혁명</t>
        </is>
      </c>
      <c r="B799" s="22" t="inlineStr">
        <is>
          <t>송경희</t>
        </is>
      </c>
      <c r="C799" s="22" t="inlineStr">
        <is>
          <t>메디치미디어</t>
        </is>
      </c>
      <c r="D799" s="22" t="inlineStr">
        <is>
          <t>2025년 05월</t>
        </is>
      </c>
      <c r="E799" s="28" t="n">
        <v>20000</v>
      </c>
      <c r="F799" s="28" t="n">
        <v>18000</v>
      </c>
      <c r="G799" s="29" t="n">
        <v>2</v>
      </c>
      <c r="H799" s="29" t="n">
        <v>1914</v>
      </c>
      <c r="I799" s="21" t="inlineStr">
        <is>
          <t>2025</t>
        </is>
      </c>
      <c r="J799" s="21" t="inlineStr">
        <is>
          <t xml:space="preserve"> 0</t>
        </is>
      </c>
      <c r="K799" s="30">
        <f>(E799-F799)/IF(E799&gt;0,E799,1)</f>
        <v/>
      </c>
    </row>
    <row r="800">
      <c r="A800" s="22" t="inlineStr">
        <is>
          <t>피그마 with AI</t>
        </is>
      </c>
      <c r="B800" s="22" t="inlineStr">
        <is>
          <t>신승희</t>
        </is>
      </c>
      <c r="C800" s="22" t="inlineStr">
        <is>
          <t>길벗캠퍼스</t>
        </is>
      </c>
      <c r="D800" s="22" t="inlineStr">
        <is>
          <t>2025년 08월</t>
        </is>
      </c>
      <c r="E800" s="28" t="n">
        <v>27000</v>
      </c>
      <c r="F800" s="28" t="n">
        <v>27000</v>
      </c>
      <c r="G800" s="29" t="n">
        <v>4</v>
      </c>
      <c r="H800" s="29" t="n">
        <v>870</v>
      </c>
      <c r="I800" s="21" t="inlineStr">
        <is>
          <t>2025</t>
        </is>
      </c>
      <c r="J800" s="21" t="inlineStr">
        <is>
          <t xml:space="preserve"> 0</t>
        </is>
      </c>
      <c r="K800" s="30">
        <f>(E800-F800)/IF(E800&gt;0,E800,1)</f>
        <v/>
      </c>
    </row>
    <row r="801">
      <c r="A801" s="22" t="inlineStr">
        <is>
          <t>기획에서 출시까지 FastAPI 개발 백서</t>
        </is>
      </c>
      <c r="B801" s="22" t="inlineStr">
        <is>
          <t>차경묵</t>
        </is>
      </c>
      <c r="C801" s="22" t="inlineStr">
        <is>
          <t>길벗</t>
        </is>
      </c>
      <c r="D801" s="22" t="inlineStr">
        <is>
          <t>2025년 11월</t>
        </is>
      </c>
      <c r="E801" s="28" t="n">
        <v>42000</v>
      </c>
      <c r="F801" s="28" t="n">
        <v>37800</v>
      </c>
      <c r="G801" s="29" t="n">
        <v>26</v>
      </c>
      <c r="H801" s="29" t="n">
        <v>774</v>
      </c>
      <c r="I801" s="21" t="inlineStr">
        <is>
          <t>2025</t>
        </is>
      </c>
      <c r="J801" s="21" t="inlineStr">
        <is>
          <t xml:space="preserve"> 1</t>
        </is>
      </c>
      <c r="K801" s="30">
        <f>(E801-F801)/IF(E801&gt;0,E801,1)</f>
        <v/>
      </c>
    </row>
    <row r="802">
      <c r="A802" s="22" t="inlineStr">
        <is>
          <t>랭체인으로 RAG 개발하기: VectorRAG &amp; GraphRAG</t>
        </is>
      </c>
      <c r="B802" s="22" t="inlineStr">
        <is>
          <t>서지영</t>
        </is>
      </c>
      <c r="C802" s="22" t="inlineStr">
        <is>
          <t>길벗</t>
        </is>
      </c>
      <c r="D802" s="22" t="inlineStr">
        <is>
          <t>2025년 04월</t>
        </is>
      </c>
      <c r="E802" s="28" t="n">
        <v>29000</v>
      </c>
      <c r="F802" s="28" t="n">
        <v>26100</v>
      </c>
      <c r="G802" s="29" t="n">
        <v>13</v>
      </c>
      <c r="H802" s="29" t="n">
        <v>762</v>
      </c>
      <c r="I802" s="21" t="inlineStr">
        <is>
          <t>2025</t>
        </is>
      </c>
      <c r="J802" s="21" t="inlineStr">
        <is>
          <t xml:space="preserve"> 0</t>
        </is>
      </c>
      <c r="K802" s="30">
        <f>(E802-F802)/IF(E802&gt;0,E802,1)</f>
        <v/>
      </c>
    </row>
    <row r="803">
      <c r="A803" s="22" t="inlineStr">
        <is>
          <t>챗GPT와 파이썬으로 주식 자동매매 앱 및 웹 투자 리포트 만들기</t>
        </is>
      </c>
      <c r="B803" s="22" t="inlineStr">
        <is>
          <t>박찬의</t>
        </is>
      </c>
      <c r="C803" s="22" t="inlineStr">
        <is>
          <t>앤써북</t>
        </is>
      </c>
      <c r="D803" s="22" t="inlineStr">
        <is>
          <t>2024년 05월</t>
        </is>
      </c>
      <c r="E803" s="28" t="n">
        <v>16800</v>
      </c>
      <c r="F803" s="28" t="n">
        <v>15120</v>
      </c>
      <c r="G803" s="29" t="n">
        <v>15</v>
      </c>
      <c r="H803" s="29" t="n">
        <v>774</v>
      </c>
      <c r="I803" s="21" t="inlineStr">
        <is>
          <t>2024</t>
        </is>
      </c>
      <c r="J803" s="21" t="inlineStr">
        <is>
          <t xml:space="preserve"> 0</t>
        </is>
      </c>
      <c r="K803" s="30">
        <f>(E803-F803)/IF(E803&gt;0,E803,1)</f>
        <v/>
      </c>
    </row>
    <row r="804">
      <c r="A804" s="22" t="inlineStr">
        <is>
          <t>랭체인과 RAG로 배우는 실전 LLM 애플리케이션 개발</t>
        </is>
      </c>
      <c r="B804" s="22" t="inlineStr">
        <is>
          <t>양기빈, 조국일, 장지선, 조수현</t>
        </is>
      </c>
      <c r="C804" s="22" t="inlineStr">
        <is>
          <t>위키북스</t>
        </is>
      </c>
      <c r="D804" s="22" t="inlineStr">
        <is>
          <t>2025년 04월</t>
        </is>
      </c>
      <c r="E804" s="28" t="n">
        <v>28000</v>
      </c>
      <c r="F804" s="28" t="n">
        <v>25200</v>
      </c>
      <c r="G804" s="29" t="n">
        <v>4</v>
      </c>
      <c r="H804" s="29" t="n">
        <v>732</v>
      </c>
      <c r="I804" s="21" t="inlineStr">
        <is>
          <t>2025</t>
        </is>
      </c>
      <c r="J804" s="21" t="inlineStr">
        <is>
          <t xml:space="preserve"> 0</t>
        </is>
      </c>
      <c r="K804" s="30">
        <f>(E804-F804)/IF(E804&gt;0,E804,1)</f>
        <v/>
      </c>
    </row>
    <row r="805">
      <c r="A805" s="22" t="inlineStr">
        <is>
          <t>돈이 되는 AI 영상만들기</t>
        </is>
      </c>
      <c r="B805" s="22" t="inlineStr">
        <is>
          <t>심동엽</t>
        </is>
      </c>
      <c r="C805" s="22" t="inlineStr">
        <is>
          <t>비엘북스</t>
        </is>
      </c>
      <c r="D805" s="22" t="inlineStr">
        <is>
          <t>2025년 03월</t>
        </is>
      </c>
      <c r="E805" s="28" t="n">
        <v>22000</v>
      </c>
      <c r="F805" s="28" t="n">
        <v>19800</v>
      </c>
      <c r="G805" s="29" t="n">
        <v>2</v>
      </c>
      <c r="H805" s="29" t="n">
        <v>744</v>
      </c>
      <c r="I805" s="21" t="inlineStr">
        <is>
          <t>2025</t>
        </is>
      </c>
      <c r="J805" s="21" t="inlineStr">
        <is>
          <t xml:space="preserve"> 0</t>
        </is>
      </c>
      <c r="K805" s="30">
        <f>(E805-F805)/IF(E805&gt;0,E805,1)</f>
        <v/>
      </c>
    </row>
    <row r="806">
      <c r="A806" s="22" t="inlineStr">
        <is>
          <t>개발자를 위한 생성형 AI 활용 가이드</t>
        </is>
      </c>
      <c r="B806" s="22" t="inlineStr">
        <is>
          <t>핫토리 유우키, 하승민</t>
        </is>
      </c>
      <c r="C806" s="22" t="inlineStr">
        <is>
          <t>길벗</t>
        </is>
      </c>
      <c r="D806" s="22" t="inlineStr">
        <is>
          <t>2025년 09월</t>
        </is>
      </c>
      <c r="E806" s="28" t="n">
        <v>28000</v>
      </c>
      <c r="F806" s="28" t="n">
        <v>25200</v>
      </c>
      <c r="G806" s="29" t="n">
        <v>14</v>
      </c>
      <c r="H806" s="29" t="n">
        <v>810</v>
      </c>
      <c r="I806" s="21" t="inlineStr">
        <is>
          <t>2025</t>
        </is>
      </c>
      <c r="J806" s="21" t="inlineStr">
        <is>
          <t xml:space="preserve"> 0</t>
        </is>
      </c>
      <c r="K806" s="30">
        <f>(E806-F806)/IF(E806&gt;0,E806,1)</f>
        <v/>
      </c>
    </row>
    <row r="807">
      <c r="A807" s="22" t="inlineStr">
        <is>
          <t>1인 앱 개발, 커서 AI와 함께 배우기</t>
        </is>
      </c>
      <c r="B807" s="22" t="inlineStr">
        <is>
          <t>이석현</t>
        </is>
      </c>
      <c r="C807" s="22" t="inlineStr">
        <is>
          <t>아이콕스(iCox)</t>
        </is>
      </c>
      <c r="D807" s="22" t="inlineStr">
        <is>
          <t>2025년 09월</t>
        </is>
      </c>
      <c r="E807" s="28" t="n">
        <v>30000</v>
      </c>
      <c r="F807" s="28" t="n">
        <v>27000</v>
      </c>
      <c r="G807" s="29" t="n">
        <v>1</v>
      </c>
      <c r="H807" s="29" t="n">
        <v>648</v>
      </c>
      <c r="I807" s="21" t="inlineStr">
        <is>
          <t>2025</t>
        </is>
      </c>
      <c r="J807" s="21" t="inlineStr">
        <is>
          <t xml:space="preserve"> 0</t>
        </is>
      </c>
      <c r="K807" s="30">
        <f>(E807-F807)/IF(E807&gt;0,E807,1)</f>
        <v/>
      </c>
    </row>
    <row r="808">
      <c r="A808" s="22" t="inlineStr">
        <is>
          <t>프로그램을 읽는 기술</t>
        </is>
      </c>
      <c r="B808" s="22" t="inlineStr">
        <is>
          <t>이와마츠 히로시, 나민성</t>
        </is>
      </c>
      <c r="C808" s="22" t="inlineStr">
        <is>
          <t>길벗</t>
        </is>
      </c>
      <c r="D808" s="22" t="inlineStr">
        <is>
          <t>2025년 12월</t>
        </is>
      </c>
      <c r="E808" s="28" t="n">
        <v>20000</v>
      </c>
      <c r="F808" s="28" t="n">
        <v>18000</v>
      </c>
      <c r="G808" s="29" t="n">
        <v>14</v>
      </c>
      <c r="H808" s="29" t="n">
        <v>672</v>
      </c>
      <c r="I808" s="21" t="inlineStr">
        <is>
          <t>2025</t>
        </is>
      </c>
      <c r="J808" s="21" t="inlineStr">
        <is>
          <t xml:space="preserve"> 1</t>
        </is>
      </c>
      <c r="K808" s="30">
        <f>(E808-F808)/IF(E808&gt;0,E808,1)</f>
        <v/>
      </c>
    </row>
    <row r="809">
      <c r="A809" s="22" t="inlineStr">
        <is>
          <t>AI로 쉽게 만드는 캔바 콘텐츠 디자인</t>
        </is>
      </c>
      <c r="B809" s="22" t="inlineStr">
        <is>
          <t>임진영(갓찌뇽)</t>
        </is>
      </c>
      <c r="C809" s="22" t="inlineStr">
        <is>
          <t>시대인</t>
        </is>
      </c>
      <c r="D809" s="22" t="inlineStr">
        <is>
          <t>2025년 10월</t>
        </is>
      </c>
      <c r="E809" s="28" t="n">
        <v>18000</v>
      </c>
      <c r="F809" s="28" t="n">
        <v>16200</v>
      </c>
      <c r="G809" s="29" t="n">
        <v>18</v>
      </c>
      <c r="H809" s="29" t="n">
        <v>828</v>
      </c>
      <c r="I809" s="21" t="inlineStr">
        <is>
          <t>2025</t>
        </is>
      </c>
      <c r="J809" s="21" t="inlineStr">
        <is>
          <t xml:space="preserve"> 1</t>
        </is>
      </c>
      <c r="K809" s="30">
        <f>(E809-F809)/IF(E809&gt;0,E809,1)</f>
        <v/>
      </c>
    </row>
    <row r="810">
      <c r="A810" s="22" t="inlineStr">
        <is>
          <t>챗GPT를 활용한 파이썬 프로그래밍</t>
        </is>
      </c>
      <c r="B810" s="22" t="inlineStr">
        <is>
          <t>김종덕</t>
        </is>
      </c>
      <c r="C810" s="22" t="inlineStr">
        <is>
          <t>아이티포럼</t>
        </is>
      </c>
      <c r="D810" s="22" t="inlineStr">
        <is>
          <t>2025년 08월</t>
        </is>
      </c>
      <c r="E810" s="28" t="n">
        <v>32000</v>
      </c>
      <c r="F810" s="28" t="n">
        <v>32000</v>
      </c>
      <c r="G810" s="29" t="n">
        <v>0</v>
      </c>
      <c r="H810" s="29" t="n">
        <v>642</v>
      </c>
      <c r="I810" s="21" t="inlineStr">
        <is>
          <t>2025</t>
        </is>
      </c>
      <c r="J810" s="21" t="inlineStr">
        <is>
          <t xml:space="preserve"> 0</t>
        </is>
      </c>
      <c r="K810" s="30">
        <f>(E810-F810)/IF(E810&gt;0,E810,1)</f>
        <v/>
      </c>
    </row>
    <row r="811">
      <c r="A811" s="22" t="inlineStr">
        <is>
          <t>인공지능은 생각하지 않는다</t>
        </is>
      </c>
      <c r="B811" s="22" t="inlineStr">
        <is>
          <t>김송규</t>
        </is>
      </c>
      <c r="C811" s="22" t="inlineStr">
        <is>
          <t>좋은습관연구소</t>
        </is>
      </c>
      <c r="D811" s="22" t="inlineStr">
        <is>
          <t>2025년 05월</t>
        </is>
      </c>
      <c r="E811" s="28" t="n">
        <v>18500</v>
      </c>
      <c r="F811" s="28" t="n">
        <v>16650</v>
      </c>
      <c r="G811" s="29" t="n">
        <v>16</v>
      </c>
      <c r="H811" s="29" t="n">
        <v>771</v>
      </c>
      <c r="I811" s="21" t="inlineStr">
        <is>
          <t>2025</t>
        </is>
      </c>
      <c r="J811" s="21" t="inlineStr">
        <is>
          <t xml:space="preserve"> 0</t>
        </is>
      </c>
      <c r="K811" s="30">
        <f>(E811-F811)/IF(E811&gt;0,E811,1)</f>
        <v/>
      </c>
    </row>
    <row r="812">
      <c r="A812" s="22" t="inlineStr">
        <is>
          <t>OpenAI, 구글 Gemini, 업스테이지 Solar API를 활용한 실전 LLM 앱 개발</t>
        </is>
      </c>
      <c r="B812" s="22" t="inlineStr">
        <is>
          <t>최용, 이승우</t>
        </is>
      </c>
      <c r="C812" s="22" t="inlineStr">
        <is>
          <t>위키북스</t>
        </is>
      </c>
      <c r="D812" s="22" t="inlineStr">
        <is>
          <t>2025년 01월</t>
        </is>
      </c>
      <c r="E812" s="28" t="n">
        <v>35000</v>
      </c>
      <c r="F812" s="28" t="n">
        <v>31500</v>
      </c>
      <c r="G812" s="29" t="n">
        <v>5</v>
      </c>
      <c r="H812" s="29" t="n">
        <v>654</v>
      </c>
      <c r="I812" s="21" t="inlineStr">
        <is>
          <t>2025</t>
        </is>
      </c>
      <c r="J812" s="21" t="inlineStr">
        <is>
          <t xml:space="preserve"> 0</t>
        </is>
      </c>
      <c r="K812" s="30">
        <f>(E812-F812)/IF(E812&gt;0,E812,1)</f>
        <v/>
      </c>
    </row>
    <row r="813">
      <c r="A813" s="22" t="inlineStr">
        <is>
          <t>교실에서 바로 통하는 하이테크 에듀테크 미래교육 실전활용법</t>
        </is>
      </c>
      <c r="B813" s="22" t="inlineStr">
        <is>
          <t>김병남, 유경윤, 이종상, 박민, 박준원</t>
        </is>
      </c>
      <c r="C813" s="22" t="inlineStr">
        <is>
          <t>앤써북</t>
        </is>
      </c>
      <c r="D813" s="22" t="inlineStr">
        <is>
          <t>2024년 06월</t>
        </is>
      </c>
      <c r="E813" s="28" t="n">
        <v>18800</v>
      </c>
      <c r="F813" s="28" t="n">
        <v>16920</v>
      </c>
      <c r="G813" s="29" t="n">
        <v>13</v>
      </c>
      <c r="H813" s="29" t="n">
        <v>702</v>
      </c>
      <c r="I813" s="21" t="inlineStr">
        <is>
          <t>2024</t>
        </is>
      </c>
      <c r="J813" s="21" t="inlineStr">
        <is>
          <t xml:space="preserve"> 0</t>
        </is>
      </c>
      <c r="K813" s="30">
        <f>(E813-F813)/IF(E813&gt;0,E813,1)</f>
        <v/>
      </c>
    </row>
    <row r="814">
      <c r="A814" s="22" t="inlineStr">
        <is>
          <t>머신러닝을 위한 수학</t>
        </is>
      </c>
      <c r="B814" s="22" t="inlineStr">
        <is>
          <t>이병준</t>
        </is>
      </c>
      <c r="C814" s="22" t="inlineStr">
        <is>
          <t>한빛아카데미</t>
        </is>
      </c>
      <c r="D814" s="22" t="inlineStr">
        <is>
          <t>2022년 12월</t>
        </is>
      </c>
      <c r="E814" s="28" t="n">
        <v>28000</v>
      </c>
      <c r="F814" s="28" t="n">
        <v>28000</v>
      </c>
      <c r="G814" s="29" t="n">
        <v>0</v>
      </c>
      <c r="H814" s="29" t="n">
        <v>630</v>
      </c>
      <c r="I814" s="21" t="inlineStr">
        <is>
          <t>2022</t>
        </is>
      </c>
      <c r="J814" s="21" t="inlineStr">
        <is>
          <t xml:space="preserve"> 1</t>
        </is>
      </c>
      <c r="K814" s="30">
        <f>(E814-F814)/IF(E814&gt;0,E814,1)</f>
        <v/>
      </c>
    </row>
    <row r="815">
      <c r="A815" s="22" t="inlineStr">
        <is>
          <t>소라 2 AI</t>
        </is>
      </c>
      <c r="B815" s="22" t="inlineStr">
        <is>
          <t>박범희, 앤미디어</t>
        </is>
      </c>
      <c r="C815" s="22" t="inlineStr">
        <is>
          <t>생능북스</t>
        </is>
      </c>
      <c r="D815" s="22" t="inlineStr">
        <is>
          <t>2026년 02월</t>
        </is>
      </c>
      <c r="E815" s="28" t="n">
        <v>25000</v>
      </c>
      <c r="F815" s="28" t="n">
        <v>22500</v>
      </c>
      <c r="G815" s="29" t="n">
        <v>36</v>
      </c>
      <c r="H815" s="29" t="n">
        <v>630</v>
      </c>
      <c r="I815" s="21" t="inlineStr">
        <is>
          <t>2026</t>
        </is>
      </c>
      <c r="J815" s="21" t="inlineStr">
        <is>
          <t xml:space="preserve"> 0</t>
        </is>
      </c>
      <c r="K815" s="30">
        <f>(E815-F815)/IF(E815&gt;0,E815,1)</f>
        <v/>
      </c>
    </row>
    <row r="816">
      <c r="A816" s="22" t="inlineStr">
        <is>
          <t>AI 프롬프트 의미 설계</t>
        </is>
      </c>
      <c r="B816" s="22" t="inlineStr">
        <is>
          <t>김한성</t>
        </is>
      </c>
      <c r="C816" s="22" t="inlineStr">
        <is>
          <t>커뮤니케이션북스</t>
        </is>
      </c>
      <c r="D816" s="22" t="inlineStr">
        <is>
          <t>2025년 08월</t>
        </is>
      </c>
      <c r="E816" s="28" t="n">
        <v>12000</v>
      </c>
      <c r="F816" s="28" t="n">
        <v>12000</v>
      </c>
      <c r="G816" s="29" t="n">
        <v>4</v>
      </c>
      <c r="H816" s="29" t="n">
        <v>1224</v>
      </c>
      <c r="I816" s="21" t="inlineStr">
        <is>
          <t>2025</t>
        </is>
      </c>
      <c r="J816" s="21" t="inlineStr">
        <is>
          <t xml:space="preserve"> 0</t>
        </is>
      </c>
      <c r="K816" s="30">
        <f>(E816-F816)/IF(E816&gt;0,E816,1)</f>
        <v/>
      </c>
    </row>
    <row r="817">
      <c r="A817" s="22" t="inlineStr">
        <is>
          <t>HCI 3.0</t>
        </is>
      </c>
      <c r="B817" s="22" t="inlineStr">
        <is>
          <t>김진우, 연세대학교 HCI Lab</t>
        </is>
      </c>
      <c r="C817" s="22" t="inlineStr">
        <is>
          <t>안그라픽스</t>
        </is>
      </c>
      <c r="D817" s="22" t="inlineStr">
        <is>
          <t>2024년 07월</t>
        </is>
      </c>
      <c r="E817" s="28" t="n">
        <v>35000</v>
      </c>
      <c r="F817" s="28" t="n">
        <v>31500</v>
      </c>
      <c r="G817" s="29" t="n">
        <v>1</v>
      </c>
      <c r="H817" s="29" t="n">
        <v>558</v>
      </c>
      <c r="I817" s="21" t="inlineStr">
        <is>
          <t>2024</t>
        </is>
      </c>
      <c r="J817" s="21" t="inlineStr">
        <is>
          <t xml:space="preserve"> 0</t>
        </is>
      </c>
      <c r="K817" s="30">
        <f>(E817-F817)/IF(E817&gt;0,E817,1)</f>
        <v/>
      </c>
    </row>
    <row r="818">
      <c r="A818" s="22" t="inlineStr">
        <is>
          <t>파이썬을 활용한 금융 분석</t>
        </is>
      </c>
      <c r="B818" s="22" t="inlineStr">
        <is>
          <t>이브 힐피시, 김도형</t>
        </is>
      </c>
      <c r="C818" s="22" t="inlineStr">
        <is>
          <t>한빛미디어</t>
        </is>
      </c>
      <c r="D818" s="22" t="inlineStr">
        <is>
          <t>2022년 03월</t>
        </is>
      </c>
      <c r="E818" s="28" t="n">
        <v>45000</v>
      </c>
      <c r="F818" s="28" t="n">
        <v>40500</v>
      </c>
      <c r="G818" s="29" t="n">
        <v>16</v>
      </c>
      <c r="H818" s="29" t="n">
        <v>582</v>
      </c>
      <c r="I818" s="21" t="inlineStr">
        <is>
          <t>2022</t>
        </is>
      </c>
      <c r="J818" s="21" t="inlineStr">
        <is>
          <t xml:space="preserve"> 0</t>
        </is>
      </c>
      <c r="K818" s="30">
        <f>(E818-F818)/IF(E818&gt;0,E818,1)</f>
        <v/>
      </c>
    </row>
    <row r="819">
      <c r="A819" s="22" t="inlineStr">
        <is>
          <t>한 권으로 끝내는 실전 LLM 파인튜닝</t>
        </is>
      </c>
      <c r="B819" s="22" t="inlineStr">
        <is>
          <t>강다솔</t>
        </is>
      </c>
      <c r="C819" s="22" t="inlineStr">
        <is>
          <t>위키북스</t>
        </is>
      </c>
      <c r="D819" s="22" t="inlineStr">
        <is>
          <t>2024년 12월</t>
        </is>
      </c>
      <c r="E819" s="28" t="n">
        <v>28000</v>
      </c>
      <c r="F819" s="28" t="n">
        <v>25200</v>
      </c>
      <c r="G819" s="29" t="n">
        <v>10</v>
      </c>
      <c r="H819" s="29" t="n">
        <v>1788</v>
      </c>
      <c r="I819" s="21" t="inlineStr">
        <is>
          <t>2024</t>
        </is>
      </c>
      <c r="J819" s="21" t="inlineStr">
        <is>
          <t xml:space="preserve"> 1</t>
        </is>
      </c>
      <c r="K819" s="30">
        <f>(E819-F819)/IF(E819&gt;0,E819,1)</f>
        <v/>
      </c>
    </row>
    <row r="820">
      <c r="A820" s="22" t="inlineStr">
        <is>
          <t>그림으로 배우는 양자 컴퓨터</t>
        </is>
      </c>
      <c r="B820" s="22" t="inlineStr">
        <is>
          <t>미나토 유이치로, 이승훈</t>
        </is>
      </c>
      <c r="C820" s="22" t="inlineStr">
        <is>
          <t>영진닷컴</t>
        </is>
      </c>
      <c r="D820" s="22" t="inlineStr">
        <is>
          <t>2021년 10월</t>
        </is>
      </c>
      <c r="E820" s="28" t="n">
        <v>18000</v>
      </c>
      <c r="F820" s="28" t="n">
        <v>16200</v>
      </c>
      <c r="G820" s="29" t="n">
        <v>13</v>
      </c>
      <c r="H820" s="29" t="n">
        <v>636</v>
      </c>
      <c r="I820" s="21" t="inlineStr">
        <is>
          <t>2021</t>
        </is>
      </c>
      <c r="J820" s="21" t="inlineStr">
        <is>
          <t xml:space="preserve"> 1</t>
        </is>
      </c>
      <c r="K820" s="30">
        <f>(E820-F820)/IF(E820&gt;0,E820,1)</f>
        <v/>
      </c>
    </row>
    <row r="821">
      <c r="A821" s="22" t="inlineStr">
        <is>
          <t>한 번에 끝내는 라마인덱스 × RAG × AI 에이전트</t>
        </is>
      </c>
      <c r="B821" s="22" t="inlineStr">
        <is>
          <t>에디 유, 정용범, 손상우</t>
        </is>
      </c>
      <c r="C821" s="22" t="inlineStr">
        <is>
          <t>제이펍</t>
        </is>
      </c>
      <c r="D821" s="22" t="inlineStr">
        <is>
          <t>2025년 12월</t>
        </is>
      </c>
      <c r="E821" s="28" t="n">
        <v>30000</v>
      </c>
      <c r="F821" s="28" t="n">
        <v>27000</v>
      </c>
      <c r="G821" s="29" t="n">
        <v>1</v>
      </c>
      <c r="H821" s="29" t="n">
        <v>522</v>
      </c>
      <c r="I821" s="21" t="inlineStr">
        <is>
          <t>2025</t>
        </is>
      </c>
      <c r="J821" s="21" t="inlineStr">
        <is>
          <t xml:space="preserve"> 1</t>
        </is>
      </c>
      <c r="K821" s="30">
        <f>(E821-F821)/IF(E821&gt;0,E821,1)</f>
        <v/>
      </c>
    </row>
    <row r="822">
      <c r="A822" s="22" t="inlineStr">
        <is>
          <t>만들면서 배우는 생성형 AI 첫걸음</t>
        </is>
      </c>
      <c r="B822" s="22" t="inlineStr">
        <is>
          <t>천인국, 천명준</t>
        </is>
      </c>
      <c r="C822" s="22" t="inlineStr">
        <is>
          <t>생능출판사</t>
        </is>
      </c>
      <c r="D822" s="22" t="inlineStr">
        <is>
          <t>2025년 12월</t>
        </is>
      </c>
      <c r="E822" s="28" t="n">
        <v>29000</v>
      </c>
      <c r="F822" s="28" t="n">
        <v>29000</v>
      </c>
      <c r="G822" s="29" t="n">
        <v>0</v>
      </c>
      <c r="H822" s="29" t="n">
        <v>1698</v>
      </c>
      <c r="I822" s="21" t="inlineStr">
        <is>
          <t>2025</t>
        </is>
      </c>
      <c r="J822" s="21" t="inlineStr">
        <is>
          <t xml:space="preserve"> 1</t>
        </is>
      </c>
      <c r="K822" s="30">
        <f>(E822-F822)/IF(E822&gt;0,E822,1)</f>
        <v/>
      </c>
    </row>
    <row r="823">
      <c r="A823" s="22" t="inlineStr">
        <is>
          <t>따라만 하세요 챗GPT 비오3 VEO3 미드저니 AI로 유튜브 쇼츠 인스타그램 릴스 틱톡 네이버 클립 숏폼 인공지능 동영상 만들기 제작 책 학원강의 교재보다 좋은 USB 강좌 교육(USB)</t>
        </is>
      </c>
      <c r="B823" s="22" t="inlineStr">
        <is>
          <t>액션미디어 편집부</t>
        </is>
      </c>
      <c r="C823" s="22" t="inlineStr">
        <is>
          <t>액션미디어</t>
        </is>
      </c>
      <c r="D823" s="22" t="inlineStr">
        <is>
          <t>2025년 12월</t>
        </is>
      </c>
      <c r="E823" s="28" t="n">
        <v>39800</v>
      </c>
      <c r="F823" s="28" t="n">
        <v>39800</v>
      </c>
      <c r="G823" s="29" t="n">
        <v>1</v>
      </c>
      <c r="H823" s="29" t="n">
        <v>546</v>
      </c>
      <c r="I823" s="21" t="inlineStr">
        <is>
          <t>2025</t>
        </is>
      </c>
      <c r="J823" s="21" t="inlineStr">
        <is>
          <t xml:space="preserve"> 1</t>
        </is>
      </c>
      <c r="K823" s="30">
        <f>(E823-F823)/IF(E823&gt;0,E823,1)</f>
        <v/>
      </c>
    </row>
    <row r="824">
      <c r="A824" s="22" t="inlineStr">
        <is>
          <t>문과의 언어로 풀어낸 AI 필수 용어 56</t>
        </is>
      </c>
      <c r="B824" s="22" t="inlineStr">
        <is>
          <t>남규택</t>
        </is>
      </c>
      <c r="C824" s="22" t="inlineStr">
        <is>
          <t>파이돈</t>
        </is>
      </c>
      <c r="D824" s="22" t="inlineStr">
        <is>
          <t>2025년 10월</t>
        </is>
      </c>
      <c r="E824" s="28" t="n">
        <v>13000</v>
      </c>
      <c r="F824" s="28" t="n">
        <v>11700</v>
      </c>
      <c r="G824" s="29" t="n">
        <v>2</v>
      </c>
      <c r="H824" s="29" t="n">
        <v>1128</v>
      </c>
      <c r="I824" s="21" t="inlineStr">
        <is>
          <t>2025</t>
        </is>
      </c>
      <c r="J824" s="21" t="inlineStr">
        <is>
          <t xml:space="preserve"> 1</t>
        </is>
      </c>
      <c r="K824" s="30">
        <f>(E824-F824)/IF(E824&gt;0,E824,1)</f>
        <v/>
      </c>
    </row>
    <row r="825">
      <c r="A825" s="22" t="inlineStr">
        <is>
          <t>LLMOps를 활용한 LLM 엔지니어링</t>
        </is>
      </c>
      <c r="B825" s="22" t="inlineStr">
        <is>
          <t>박슬기</t>
        </is>
      </c>
      <c r="C825" s="22" t="inlineStr">
        <is>
          <t>위키북스</t>
        </is>
      </c>
      <c r="D825" s="22" t="inlineStr">
        <is>
          <t>2025년 04월</t>
        </is>
      </c>
      <c r="E825" s="28" t="n">
        <v>28000</v>
      </c>
      <c r="F825" s="28" t="n">
        <v>25200</v>
      </c>
      <c r="G825" s="29" t="n">
        <v>0</v>
      </c>
      <c r="H825" s="29" t="n">
        <v>546</v>
      </c>
      <c r="I825" s="21" t="inlineStr">
        <is>
          <t>2025</t>
        </is>
      </c>
      <c r="J825" s="21" t="inlineStr">
        <is>
          <t xml:space="preserve"> 0</t>
        </is>
      </c>
      <c r="K825" s="30">
        <f>(E825-F825)/IF(E825&gt;0,E825,1)</f>
        <v/>
      </c>
    </row>
    <row r="826">
      <c r="A826" s="22" t="inlineStr">
        <is>
          <t>AI, 너 내 마케터가 돼라!</t>
        </is>
      </c>
      <c r="B826" s="22" t="inlineStr">
        <is>
          <t>오종현</t>
        </is>
      </c>
      <c r="C826" s="22" t="inlineStr">
        <is>
          <t>e비즈북스</t>
        </is>
      </c>
      <c r="D826" s="22" t="inlineStr">
        <is>
          <t>2025년 01월</t>
        </is>
      </c>
      <c r="E826" s="28" t="n">
        <v>18000</v>
      </c>
      <c r="F826" s="28" t="n">
        <v>16200</v>
      </c>
      <c r="G826" s="29" t="n">
        <v>0</v>
      </c>
      <c r="H826" s="29" t="n">
        <v>522</v>
      </c>
      <c r="I826" s="21" t="inlineStr">
        <is>
          <t>2025</t>
        </is>
      </c>
      <c r="J826" s="21" t="inlineStr">
        <is>
          <t xml:space="preserve"> 0</t>
        </is>
      </c>
      <c r="K826" s="30">
        <f>(E826-F826)/IF(E826&gt;0,E826,1)</f>
        <v/>
      </c>
    </row>
    <row r="827">
      <c r="A827" s="22" t="inlineStr">
        <is>
          <t>파이썬 머신러닝 판다스 데이터 분석</t>
        </is>
      </c>
      <c r="B827" s="22" t="inlineStr">
        <is>
          <t>오승환</t>
        </is>
      </c>
      <c r="C827" s="22" t="inlineStr">
        <is>
          <t>정보문화사</t>
        </is>
      </c>
      <c r="D827" s="22" t="inlineStr">
        <is>
          <t>2024년 06월</t>
        </is>
      </c>
      <c r="E827" s="28" t="n">
        <v>30000</v>
      </c>
      <c r="F827" s="28" t="n">
        <v>27000</v>
      </c>
      <c r="G827" s="29" t="n">
        <v>26</v>
      </c>
      <c r="H827" s="29" t="n">
        <v>546</v>
      </c>
      <c r="I827" s="21" t="inlineStr">
        <is>
          <t>2024</t>
        </is>
      </c>
      <c r="J827" s="21" t="inlineStr">
        <is>
          <t xml:space="preserve"> 0</t>
        </is>
      </c>
      <c r="K827" s="30">
        <f>(E827-F827)/IF(E827&gt;0,E827,1)</f>
        <v/>
      </c>
    </row>
    <row r="828">
      <c r="A828" s="22" t="inlineStr">
        <is>
          <t>가장 쉬운 AI (인공지능) 입문서</t>
        </is>
      </c>
      <c r="B828" s="22" t="inlineStr">
        <is>
          <t>오니시 가나코, 전지혜</t>
        </is>
      </c>
      <c r="C828" s="22" t="inlineStr">
        <is>
          <t>아티오</t>
        </is>
      </c>
      <c r="D828" s="22" t="inlineStr">
        <is>
          <t>2019년 07월</t>
        </is>
      </c>
      <c r="E828" s="28" t="n">
        <v>15000</v>
      </c>
      <c r="F828" s="28" t="n">
        <v>13500</v>
      </c>
      <c r="G828" s="29" t="n">
        <v>19</v>
      </c>
      <c r="H828" s="29" t="n">
        <v>2244</v>
      </c>
      <c r="I828" s="21" t="inlineStr">
        <is>
          <t>2019</t>
        </is>
      </c>
      <c r="J828" s="21" t="inlineStr">
        <is>
          <t xml:space="preserve"> 0</t>
        </is>
      </c>
      <c r="K828" s="30">
        <f>(E828-F828)/IF(E828&gt;0,E828,1)</f>
        <v/>
      </c>
    </row>
    <row r="829">
      <c r="A829" s="22" t="inlineStr">
        <is>
          <t>OpenCV 4로 배우는 컴퓨터 비전과 머신 러닝</t>
        </is>
      </c>
      <c r="B829" s="22" t="inlineStr">
        <is>
          <t>황선규</t>
        </is>
      </c>
      <c r="C829" s="22" t="inlineStr">
        <is>
          <t>길벗</t>
        </is>
      </c>
      <c r="D829" s="22" t="inlineStr">
        <is>
          <t>2019년 04월</t>
        </is>
      </c>
      <c r="E829" s="28" t="n">
        <v>42000</v>
      </c>
      <c r="F829" s="28" t="n">
        <v>37800</v>
      </c>
      <c r="G829" s="29" t="n">
        <v>21</v>
      </c>
      <c r="H829" s="29" t="n">
        <v>600</v>
      </c>
      <c r="I829" s="21" t="inlineStr">
        <is>
          <t>2019</t>
        </is>
      </c>
      <c r="J829" s="21" t="inlineStr">
        <is>
          <t xml:space="preserve"> 0</t>
        </is>
      </c>
      <c r="K829" s="30">
        <f>(E829-F829)/IF(E829&gt;0,E829,1)</f>
        <v/>
      </c>
    </row>
    <row r="830">
      <c r="A830" s="22" t="inlineStr">
        <is>
          <t>AI로 완성하는 고수익 유튜브 운영 비법</t>
        </is>
      </c>
      <c r="B830" s="22" t="inlineStr">
        <is>
          <t>현승효(디스이즈머니)</t>
        </is>
      </c>
      <c r="C830" s="22" t="inlineStr">
        <is>
          <t>시대인</t>
        </is>
      </c>
      <c r="D830" s="22" t="inlineStr">
        <is>
          <t>2026년 01월</t>
        </is>
      </c>
      <c r="E830" s="28" t="n">
        <v>18000</v>
      </c>
      <c r="F830" s="28" t="n">
        <v>16200</v>
      </c>
      <c r="G830" s="29" t="n">
        <v>21</v>
      </c>
      <c r="H830" s="29" t="n">
        <v>540</v>
      </c>
      <c r="I830" s="21" t="inlineStr">
        <is>
          <t>2026</t>
        </is>
      </c>
      <c r="J830" s="21" t="inlineStr">
        <is>
          <t xml:space="preserve"> 0</t>
        </is>
      </c>
      <c r="K830" s="30">
        <f>(E830-F830)/IF(E830&gt;0,E830,1)</f>
        <v/>
      </c>
    </row>
    <row r="831">
      <c r="A831" s="22" t="inlineStr">
        <is>
          <t>월 20달러로 비즈니스 글쓰기 with 챗GPT</t>
        </is>
      </c>
      <c r="B831" s="22" t="inlineStr">
        <is>
          <t>홍순성</t>
        </is>
      </c>
      <c r="C831" s="22" t="inlineStr">
        <is>
          <t>한빛미디어</t>
        </is>
      </c>
      <c r="D831" s="22" t="inlineStr">
        <is>
          <t>2024년 08월</t>
        </is>
      </c>
      <c r="E831" s="28" t="n">
        <v>22000</v>
      </c>
      <c r="F831" s="28" t="n">
        <v>19800</v>
      </c>
      <c r="G831" s="29" t="n">
        <v>20</v>
      </c>
      <c r="H831" s="29" t="n">
        <v>474</v>
      </c>
      <c r="I831" s="21" t="inlineStr">
        <is>
          <t>2024</t>
        </is>
      </c>
      <c r="J831" s="21" t="inlineStr">
        <is>
          <t xml:space="preserve"> 0</t>
        </is>
      </c>
      <c r="K831" s="30">
        <f>(E831-F831)/IF(E831&gt;0,E831,1)</f>
        <v/>
      </c>
    </row>
    <row r="832">
      <c r="A832" s="22" t="inlineStr">
        <is>
          <t>AI 법률문서 작성법 : 형사사건편</t>
        </is>
      </c>
      <c r="B832" s="22" t="inlineStr">
        <is>
          <t>김종엽</t>
        </is>
      </c>
      <c r="C832" s="22" t="inlineStr">
        <is>
          <t>박영사</t>
        </is>
      </c>
      <c r="D832" s="22" t="inlineStr">
        <is>
          <t>2025년 12월</t>
        </is>
      </c>
      <c r="E832" s="28" t="n">
        <v>28000</v>
      </c>
      <c r="F832" s="28" t="n">
        <v>28000</v>
      </c>
      <c r="G832" s="29" t="n">
        <v>2</v>
      </c>
      <c r="H832" s="29" t="n">
        <v>516</v>
      </c>
      <c r="I832" s="21" t="inlineStr">
        <is>
          <t>2025</t>
        </is>
      </c>
      <c r="J832" s="21" t="inlineStr">
        <is>
          <t xml:space="preserve"> 1</t>
        </is>
      </c>
      <c r="K832" s="30">
        <f>(E832-F832)/IF(E832&gt;0,E832,1)</f>
        <v/>
      </c>
    </row>
    <row r="833">
      <c r="A833" s="22" t="inlineStr">
        <is>
          <t>챗GPT &amp; AI 31가지 실전 활용</t>
        </is>
      </c>
      <c r="B833" s="22" t="inlineStr">
        <is>
          <t>권지선, 박지해, 서산화, 한지아</t>
        </is>
      </c>
      <c r="C833" s="22" t="inlineStr">
        <is>
          <t>앤써북</t>
        </is>
      </c>
      <c r="D833" s="22" t="inlineStr">
        <is>
          <t>2023년 04월</t>
        </is>
      </c>
      <c r="E833" s="28" t="n">
        <v>17700</v>
      </c>
      <c r="F833" s="28" t="n">
        <v>15930</v>
      </c>
      <c r="G833" s="29" t="n">
        <v>23</v>
      </c>
      <c r="H833" s="29" t="n">
        <v>498</v>
      </c>
      <c r="I833" s="21" t="inlineStr">
        <is>
          <t>2023</t>
        </is>
      </c>
      <c r="J833" s="21" t="inlineStr">
        <is>
          <t xml:space="preserve"> 0</t>
        </is>
      </c>
      <c r="K833" s="30">
        <f>(E833-F833)/IF(E833&gt;0,E833,1)</f>
        <v/>
      </c>
    </row>
    <row r="834">
      <c r="A834" s="22" t="inlineStr">
        <is>
          <t>그림으로 이해하는 인지과학</t>
        </is>
      </c>
      <c r="B834" s="22" t="inlineStr">
        <is>
          <t>기타하라 요시노리, 조태호</t>
        </is>
      </c>
      <c r="C834" s="22" t="inlineStr">
        <is>
          <t>길벗</t>
        </is>
      </c>
      <c r="D834" s="22" t="inlineStr">
        <is>
          <t>2022년 03월</t>
        </is>
      </c>
      <c r="E834" s="28" t="n">
        <v>18000</v>
      </c>
      <c r="F834" s="28" t="n">
        <v>16200</v>
      </c>
      <c r="G834" s="29" t="n">
        <v>7</v>
      </c>
      <c r="H834" s="29" t="n">
        <v>696</v>
      </c>
      <c r="I834" s="21" t="inlineStr">
        <is>
          <t>2022</t>
        </is>
      </c>
      <c r="J834" s="21" t="inlineStr">
        <is>
          <t xml:space="preserve"> 0</t>
        </is>
      </c>
      <c r="K834" s="30">
        <f>(E834-F834)/IF(E834&gt;0,E834,1)</f>
        <v/>
      </c>
    </row>
    <row r="835">
      <c r="A835" s="22" t="inlineStr">
        <is>
          <t>데이터사이언스 입문</t>
        </is>
      </c>
      <c r="B835" s="22" t="inlineStr">
        <is>
          <t>타케무라 아키미치, 황석형, 김응희, 김민경</t>
        </is>
      </c>
      <c r="C835" s="22" t="inlineStr">
        <is>
          <t>인피니티북스</t>
        </is>
      </c>
      <c r="D835" s="22" t="inlineStr">
        <is>
          <t>2020년 03월</t>
        </is>
      </c>
      <c r="E835" s="28" t="n">
        <v>22000</v>
      </c>
      <c r="F835" s="28" t="n">
        <v>22000</v>
      </c>
      <c r="G835" s="29" t="n">
        <v>0</v>
      </c>
      <c r="H835" s="29" t="n">
        <v>474</v>
      </c>
      <c r="I835" s="21" t="inlineStr">
        <is>
          <t>2020</t>
        </is>
      </c>
      <c r="J835" s="21" t="inlineStr">
        <is>
          <t xml:space="preserve"> 0</t>
        </is>
      </c>
      <c r="K835" s="30">
        <f>(E835-F835)/IF(E835&gt;0,E835,1)</f>
        <v/>
      </c>
    </row>
    <row r="836">
      <c r="A836" s="22" t="inlineStr">
        <is>
          <t>딥러닝 프로젝트를 위한 허깅페이스 실전 가이드</t>
        </is>
      </c>
      <c r="B836" s="22" t="inlineStr">
        <is>
          <t>윤대희, 김동화, 송종민, 진현두</t>
        </is>
      </c>
      <c r="C836" s="22" t="inlineStr">
        <is>
          <t>위키북스</t>
        </is>
      </c>
      <c r="D836" s="22" t="inlineStr">
        <is>
          <t>2024년 09월</t>
        </is>
      </c>
      <c r="E836" s="28" t="n">
        <v>32000</v>
      </c>
      <c r="F836" s="28" t="n">
        <v>28800</v>
      </c>
      <c r="G836" s="29" t="n">
        <v>2</v>
      </c>
      <c r="H836" s="29" t="n">
        <v>510</v>
      </c>
      <c r="I836" s="21" t="inlineStr">
        <is>
          <t>2024</t>
        </is>
      </c>
      <c r="J836" s="21" t="inlineStr">
        <is>
          <t xml:space="preserve"> 0</t>
        </is>
      </c>
      <c r="K836" s="30">
        <f>(E836-F836)/IF(E836&gt;0,E836,1)</f>
        <v/>
      </c>
    </row>
    <row r="837">
      <c r="A837" s="22" t="inlineStr">
        <is>
          <t>슬기로운 AI 생활</t>
        </is>
      </c>
      <c r="B837" s="22" t="inlineStr">
        <is>
          <t>구자영, 이채연, 박상윤, 김소연</t>
        </is>
      </c>
      <c r="C837" s="22" t="inlineStr">
        <is>
          <t>박영사</t>
        </is>
      </c>
      <c r="D837" s="22" t="inlineStr">
        <is>
          <t>2026년 01월</t>
        </is>
      </c>
      <c r="E837" s="28" t="n">
        <v>17000</v>
      </c>
      <c r="F837" s="28" t="n">
        <v>17000</v>
      </c>
      <c r="G837" s="29" t="n">
        <v>1</v>
      </c>
      <c r="H837" s="29" t="n">
        <v>426</v>
      </c>
      <c r="I837" s="21" t="inlineStr">
        <is>
          <t>2026</t>
        </is>
      </c>
      <c r="J837" s="21" t="inlineStr">
        <is>
          <t xml:space="preserve"> 0</t>
        </is>
      </c>
      <c r="K837" s="30">
        <f>(E837-F837)/IF(E837&gt;0,E837,1)</f>
        <v/>
      </c>
    </row>
    <row r="838">
      <c r="A838" s="22" t="inlineStr">
        <is>
          <t>이토록 쉬운 엑셀 데이터 분석 with 챗GPT</t>
        </is>
      </c>
      <c r="B838" s="22" t="inlineStr">
        <is>
          <t>임선집, 채호창, 신경민</t>
        </is>
      </c>
      <c r="C838" s="22" t="inlineStr">
        <is>
          <t>루비페이퍼</t>
        </is>
      </c>
      <c r="D838" s="22" t="inlineStr">
        <is>
          <t>2024년 07월</t>
        </is>
      </c>
      <c r="E838" s="28" t="n">
        <v>30000</v>
      </c>
      <c r="F838" s="28" t="n">
        <v>27000</v>
      </c>
      <c r="G838" s="29" t="n">
        <v>17</v>
      </c>
      <c r="H838" s="29" t="n">
        <v>468</v>
      </c>
      <c r="I838" s="21" t="inlineStr">
        <is>
          <t>2024</t>
        </is>
      </c>
      <c r="J838" s="21" t="inlineStr">
        <is>
          <t xml:space="preserve"> 0</t>
        </is>
      </c>
      <c r="K838" s="30">
        <f>(E838-F838)/IF(E838&gt;0,E838,1)</f>
        <v/>
      </c>
    </row>
    <row r="839">
      <c r="A839" s="22" t="inlineStr">
        <is>
          <t>파이토치로 완성하는 실전 강화학습</t>
        </is>
      </c>
      <c r="B839" s="22" t="inlineStr">
        <is>
          <t>윤성진</t>
        </is>
      </c>
      <c r="C839" s="22" t="inlineStr">
        <is>
          <t>에이콘온</t>
        </is>
      </c>
      <c r="D839" s="22" t="inlineStr">
        <is>
          <t>2025년 08월</t>
        </is>
      </c>
      <c r="E839" s="28" t="n">
        <v>46000</v>
      </c>
      <c r="F839" s="28" t="n">
        <v>43700</v>
      </c>
      <c r="G839" s="29" t="n">
        <v>0</v>
      </c>
      <c r="H839" s="29" t="n">
        <v>522</v>
      </c>
      <c r="I839" s="21" t="inlineStr">
        <is>
          <t>2025</t>
        </is>
      </c>
      <c r="J839" s="21" t="inlineStr">
        <is>
          <t xml:space="preserve"> 0</t>
        </is>
      </c>
      <c r="K839" s="30">
        <f>(E839-F839)/IF(E839&gt;0,E839,1)</f>
        <v/>
      </c>
    </row>
    <row r="840">
      <c r="A840" s="22" t="inlineStr">
        <is>
          <t>생성형 AI의 구조</t>
        </is>
      </c>
      <c r="B840" s="22" t="inlineStr">
        <is>
          <t>오카노하라 다이스케, 정원창</t>
        </is>
      </c>
      <c r="C840" s="22" t="inlineStr">
        <is>
          <t>제이펍</t>
        </is>
      </c>
      <c r="D840" s="22" t="inlineStr">
        <is>
          <t>2025년 05월</t>
        </is>
      </c>
      <c r="E840" s="28" t="n">
        <v>18000</v>
      </c>
      <c r="F840" s="28" t="n">
        <v>16200</v>
      </c>
      <c r="G840" s="29" t="n">
        <v>5</v>
      </c>
      <c r="H840" s="29" t="n">
        <v>438</v>
      </c>
      <c r="I840" s="21" t="inlineStr">
        <is>
          <t>2025</t>
        </is>
      </c>
      <c r="J840" s="21" t="inlineStr">
        <is>
          <t xml:space="preserve"> 0</t>
        </is>
      </c>
      <c r="K840" s="30">
        <f>(E840-F840)/IF(E840&gt;0,E840,1)</f>
        <v/>
      </c>
    </row>
    <row r="841">
      <c r="A841" s="22" t="inlineStr">
        <is>
          <t>머신 러닝 마스터 클래스</t>
        </is>
      </c>
      <c r="B841" s="22" t="inlineStr">
        <is>
          <t>민재식</t>
        </is>
      </c>
      <c r="C841" s="22" t="inlineStr">
        <is>
          <t>인사이트(insight)</t>
        </is>
      </c>
      <c r="D841" s="22" t="inlineStr">
        <is>
          <t>2025년 01월</t>
        </is>
      </c>
      <c r="E841" s="28" t="n">
        <v>25000</v>
      </c>
      <c r="F841" s="28" t="n">
        <v>22500</v>
      </c>
      <c r="G841" s="29" t="n">
        <v>13</v>
      </c>
      <c r="H841" s="29" t="n">
        <v>456</v>
      </c>
      <c r="I841" s="21" t="inlineStr">
        <is>
          <t>2025</t>
        </is>
      </c>
      <c r="J841" s="21" t="inlineStr">
        <is>
          <t xml:space="preserve"> 0</t>
        </is>
      </c>
      <c r="K841" s="30">
        <f>(E841-F841)/IF(E841&gt;0,E841,1)</f>
        <v/>
      </c>
    </row>
    <row r="842">
      <c r="A842" s="22" t="inlineStr">
        <is>
          <t>선형대수와 통계학으로 배우는 머신러닝 with 파이썬</t>
        </is>
      </c>
      <c r="B842" s="22" t="inlineStr">
        <is>
          <t>장철원</t>
        </is>
      </c>
      <c r="C842" s="22" t="inlineStr">
        <is>
          <t>비제이퍼블릭(BJ퍼블릭)</t>
        </is>
      </c>
      <c r="D842" s="22" t="inlineStr">
        <is>
          <t>2021년 01월</t>
        </is>
      </c>
      <c r="E842" s="28" t="n">
        <v>37500</v>
      </c>
      <c r="F842" s="28" t="n">
        <v>33750</v>
      </c>
      <c r="G842" s="29" t="n">
        <v>15</v>
      </c>
      <c r="H842" s="29" t="n">
        <v>426</v>
      </c>
      <c r="I842" s="21" t="inlineStr">
        <is>
          <t>2021</t>
        </is>
      </c>
      <c r="J842" s="21" t="inlineStr">
        <is>
          <t xml:space="preserve"> 0</t>
        </is>
      </c>
      <c r="K842" s="30">
        <f>(E842-F842)/IF(E842&gt;0,E842,1)</f>
        <v/>
      </c>
    </row>
    <row r="843">
      <c r="A843" s="22" t="inlineStr">
        <is>
          <t>Do it! 딥러닝 입문</t>
        </is>
      </c>
      <c r="B843" s="22" t="inlineStr">
        <is>
          <t>박해선</t>
        </is>
      </c>
      <c r="C843" s="22" t="inlineStr">
        <is>
          <t>이지스퍼블리싱</t>
        </is>
      </c>
      <c r="D843" s="22" t="inlineStr">
        <is>
          <t>2019년 09월</t>
        </is>
      </c>
      <c r="E843" s="28" t="n">
        <v>19800</v>
      </c>
      <c r="F843" s="28" t="n">
        <v>17820</v>
      </c>
      <c r="G843" s="29" t="n">
        <v>55</v>
      </c>
      <c r="H843" s="29" t="n">
        <v>474</v>
      </c>
      <c r="I843" s="21" t="inlineStr">
        <is>
          <t>2019</t>
        </is>
      </c>
      <c r="J843" s="21" t="inlineStr">
        <is>
          <t xml:space="preserve"> 0</t>
        </is>
      </c>
      <c r="K843" s="30">
        <f>(E843-F843)/IF(E843&gt;0,E843,1)</f>
        <v/>
      </c>
    </row>
    <row r="844">
      <c r="A844" s="22" t="inlineStr">
        <is>
          <t>수업이 달라지는 교사 맞춤형 ChatGPT 활용 레시피</t>
        </is>
      </c>
      <c r="B844" s="22" t="inlineStr">
        <is>
          <t>정지영</t>
        </is>
      </c>
      <c r="C844" s="22" t="inlineStr">
        <is>
          <t>내하출판사</t>
        </is>
      </c>
      <c r="D844" s="22" t="inlineStr">
        <is>
          <t>2025년 07월</t>
        </is>
      </c>
      <c r="E844" s="28" t="n">
        <v>25000</v>
      </c>
      <c r="F844" s="28" t="n">
        <v>25000</v>
      </c>
      <c r="G844" s="29" t="n">
        <v>0</v>
      </c>
      <c r="H844" s="29" t="n">
        <v>462</v>
      </c>
      <c r="I844" s="21" t="inlineStr">
        <is>
          <t>2025</t>
        </is>
      </c>
      <c r="J844" s="21" t="inlineStr">
        <is>
          <t xml:space="preserve"> 0</t>
        </is>
      </c>
      <c r="K844" s="30">
        <f>(E844-F844)/IF(E844&gt;0,E844,1)</f>
        <v/>
      </c>
    </row>
    <row r="845">
      <c r="A845" s="22" t="inlineStr">
        <is>
          <t>초보자를 위한 ChatGPT 활용법</t>
        </is>
      </c>
      <c r="B845" s="22" t="inlineStr">
        <is>
          <t>정하영, 이도현</t>
        </is>
      </c>
      <c r="C845" s="22" t="inlineStr">
        <is>
          <t>지식과감성#</t>
        </is>
      </c>
      <c r="D845" s="22" t="inlineStr">
        <is>
          <t>2024년 11월</t>
        </is>
      </c>
      <c r="E845" s="28" t="n">
        <v>20000</v>
      </c>
      <c r="F845" s="28" t="n">
        <v>18000</v>
      </c>
      <c r="G845" s="29" t="n">
        <v>8</v>
      </c>
      <c r="H845" s="29" t="n">
        <v>426</v>
      </c>
      <c r="I845" s="21" t="inlineStr">
        <is>
          <t>2024</t>
        </is>
      </c>
      <c r="J845" s="21" t="inlineStr">
        <is>
          <t xml:space="preserve"> 1</t>
        </is>
      </c>
      <c r="K845" s="30">
        <f>(E845-F845)/IF(E845&gt;0,E845,1)</f>
        <v/>
      </c>
    </row>
    <row r="846">
      <c r="A846" s="22" t="inlineStr">
        <is>
          <t>소프트웨어 개발에 ChatGPT 사용하기</t>
        </is>
      </c>
      <c r="B846" s="22" t="inlineStr">
        <is>
          <t>오노 사토시, 김진호</t>
        </is>
      </c>
      <c r="C846" s="22" t="inlineStr">
        <is>
          <t>제이펍</t>
        </is>
      </c>
      <c r="D846" s="22" t="inlineStr">
        <is>
          <t>2024년 09월</t>
        </is>
      </c>
      <c r="E846" s="28" t="n">
        <v>28000</v>
      </c>
      <c r="F846" s="28" t="n">
        <v>25200</v>
      </c>
      <c r="G846" s="29" t="n">
        <v>14</v>
      </c>
      <c r="H846" s="29" t="n">
        <v>558</v>
      </c>
      <c r="I846" s="21" t="inlineStr">
        <is>
          <t>2024</t>
        </is>
      </c>
      <c r="J846" s="21" t="inlineStr">
        <is>
          <t xml:space="preserve"> 0</t>
        </is>
      </c>
      <c r="K846" s="30">
        <f>(E846-F846)/IF(E846&gt;0,E846,1)</f>
        <v/>
      </c>
    </row>
    <row r="847">
      <c r="A847" s="22" t="inlineStr">
        <is>
          <t>디지털 전환 시대의 AI 디지털 교육</t>
        </is>
      </c>
      <c r="B847" s="22" t="inlineStr">
        <is>
          <t>홍지연, 홍장우</t>
        </is>
      </c>
      <c r="C847" s="22" t="inlineStr">
        <is>
          <t>생능북스</t>
        </is>
      </c>
      <c r="D847" s="22" t="inlineStr">
        <is>
          <t>2025년 02월</t>
        </is>
      </c>
      <c r="E847" s="28" t="n">
        <v>20000</v>
      </c>
      <c r="F847" s="28" t="n">
        <v>18000</v>
      </c>
      <c r="G847" s="29" t="n">
        <v>26</v>
      </c>
      <c r="H847" s="29" t="n">
        <v>924</v>
      </c>
      <c r="I847" s="21" t="inlineStr">
        <is>
          <t>2025</t>
        </is>
      </c>
      <c r="J847" s="21" t="inlineStr">
        <is>
          <t xml:space="preserve"> 0</t>
        </is>
      </c>
      <c r="K847" s="30">
        <f>(E847-F847)/IF(E847&gt;0,E847,1)</f>
        <v/>
      </c>
    </row>
    <row r="848">
      <c r="A848" s="22" t="inlineStr">
        <is>
          <t>실전 비즈니스 프롬프트 엔지니어링</t>
        </is>
      </c>
      <c r="B848" s="22" t="inlineStr">
        <is>
          <t>전용준, 이진천</t>
        </is>
      </c>
      <c r="C848" s="22" t="inlineStr">
        <is>
          <t>홍릉</t>
        </is>
      </c>
      <c r="D848" s="22" t="inlineStr">
        <is>
          <t>2025년 08월</t>
        </is>
      </c>
      <c r="E848" s="28" t="n">
        <v>35000</v>
      </c>
      <c r="F848" s="28" t="n">
        <v>35000</v>
      </c>
      <c r="G848" s="29" t="n">
        <v>0</v>
      </c>
      <c r="H848" s="29" t="n">
        <v>384</v>
      </c>
      <c r="I848" s="21" t="inlineStr">
        <is>
          <t>2025</t>
        </is>
      </c>
      <c r="J848" s="21" t="inlineStr">
        <is>
          <t xml:space="preserve"> 0</t>
        </is>
      </c>
      <c r="K848" s="30">
        <f>(E848-F848)/IF(E848&gt;0,E848,1)</f>
        <v/>
      </c>
    </row>
    <row r="849">
      <c r="A849" s="22" t="inlineStr">
        <is>
          <t>라즈베리파이5로 구현하는 사물인터넷(IoT)과 인공지능(AI) 자율주행 자동차</t>
        </is>
      </c>
      <c r="B849" s="22" t="inlineStr">
        <is>
          <t>이현, 김경연, 김명생</t>
        </is>
      </c>
      <c r="C849" s="22" t="inlineStr">
        <is>
          <t>광문각</t>
        </is>
      </c>
      <c r="D849" s="22" t="inlineStr">
        <is>
          <t>2025년 08월</t>
        </is>
      </c>
      <c r="E849" s="28" t="n">
        <v>26000</v>
      </c>
      <c r="F849" s="28" t="n">
        <v>26000</v>
      </c>
      <c r="G849" s="29" t="n">
        <v>0</v>
      </c>
      <c r="H849" s="29" t="n">
        <v>450</v>
      </c>
      <c r="I849" s="21" t="inlineStr">
        <is>
          <t>2025</t>
        </is>
      </c>
      <c r="J849" s="21" t="inlineStr">
        <is>
          <t xml:space="preserve"> 0</t>
        </is>
      </c>
      <c r="K849" s="30">
        <f>(E849-F849)/IF(E849&gt;0,E849,1)</f>
        <v/>
      </c>
    </row>
    <row r="850">
      <c r="A850" s="22" t="inlineStr">
        <is>
          <t>감으로 하는 브랜딩은 끝났다</t>
        </is>
      </c>
      <c r="B850" s="22" t="inlineStr">
        <is>
          <t>조연심</t>
        </is>
      </c>
      <c r="C850" s="22" t="inlineStr">
        <is>
          <t>힘찬북스</t>
        </is>
      </c>
      <c r="D850" s="22" t="inlineStr">
        <is>
          <t>2025년 03월</t>
        </is>
      </c>
      <c r="E850" s="28" t="n">
        <v>22000</v>
      </c>
      <c r="F850" s="28" t="n">
        <v>19800</v>
      </c>
      <c r="G850" s="29" t="n">
        <v>45</v>
      </c>
      <c r="H850" s="29" t="n">
        <v>378</v>
      </c>
      <c r="I850" s="21" t="inlineStr">
        <is>
          <t>2025</t>
        </is>
      </c>
      <c r="J850" s="21" t="inlineStr">
        <is>
          <t xml:space="preserve"> 0</t>
        </is>
      </c>
      <c r="K850" s="30">
        <f>(E850-F850)/IF(E850&gt;0,E850,1)</f>
        <v/>
      </c>
    </row>
    <row r="851">
      <c r="A851" s="22" t="inlineStr">
        <is>
          <t>챗GPT 영어회화</t>
        </is>
      </c>
      <c r="B851" s="22" t="inlineStr">
        <is>
          <t>반병현, 김연정</t>
        </is>
      </c>
      <c r="C851" s="22" t="inlineStr">
        <is>
          <t>생능북스</t>
        </is>
      </c>
      <c r="D851" s="22" t="inlineStr">
        <is>
          <t>2023년 08월</t>
        </is>
      </c>
      <c r="E851" s="28" t="n">
        <v>19500</v>
      </c>
      <c r="F851" s="28" t="n">
        <v>17550</v>
      </c>
      <c r="G851" s="29" t="n">
        <v>54</v>
      </c>
      <c r="H851" s="29" t="n">
        <v>390</v>
      </c>
      <c r="I851" s="21" t="inlineStr">
        <is>
          <t>2023</t>
        </is>
      </c>
      <c r="J851" s="21" t="inlineStr">
        <is>
          <t xml:space="preserve"> 0</t>
        </is>
      </c>
      <c r="K851" s="30">
        <f>(E851-F851)/IF(E851&gt;0,E851,1)</f>
        <v/>
      </c>
    </row>
    <row r="852">
      <c r="A852" s="22" t="inlineStr">
        <is>
          <t>인공지능</t>
        </is>
      </c>
      <c r="B852" s="22" t="inlineStr">
        <is>
          <t>이건명</t>
        </is>
      </c>
      <c r="C852" s="22" t="inlineStr">
        <is>
          <t>생능출판사</t>
        </is>
      </c>
      <c r="D852" s="22" t="inlineStr">
        <is>
          <t>2018년 09월</t>
        </is>
      </c>
      <c r="E852" s="28" t="n">
        <v>35000</v>
      </c>
      <c r="F852" s="28" t="n">
        <v>35000</v>
      </c>
      <c r="G852" s="29" t="n">
        <v>8</v>
      </c>
      <c r="H852" s="29" t="n">
        <v>342</v>
      </c>
      <c r="I852" s="21" t="inlineStr">
        <is>
          <t>2018</t>
        </is>
      </c>
      <c r="J852" s="21" t="inlineStr">
        <is>
          <t xml:space="preserve"> 0</t>
        </is>
      </c>
      <c r="K852" s="30">
        <f>(E852-F852)/IF(E852&gt;0,E852,1)</f>
        <v/>
      </c>
    </row>
    <row r="853">
      <c r="A853" s="22" t="inlineStr">
        <is>
          <t>모방하는 기계들의 시대</t>
        </is>
      </c>
      <c r="B853" s="22" t="inlineStr">
        <is>
          <t>김태훈</t>
        </is>
      </c>
      <c r="C853" s="22" t="inlineStr">
        <is>
          <t>좋은습관연구소</t>
        </is>
      </c>
      <c r="D853" s="22" t="inlineStr">
        <is>
          <t>2026년 01월</t>
        </is>
      </c>
      <c r="E853" s="28" t="n">
        <v>20000</v>
      </c>
      <c r="F853" s="28" t="n">
        <v>18000</v>
      </c>
      <c r="G853" s="29" t="n">
        <v>2</v>
      </c>
      <c r="H853" s="29" t="n">
        <v>366</v>
      </c>
      <c r="I853" s="21" t="inlineStr">
        <is>
          <t>2026</t>
        </is>
      </c>
      <c r="J853" s="21" t="inlineStr">
        <is>
          <t xml:space="preserve"> 0</t>
        </is>
      </c>
      <c r="K853" s="30">
        <f>(E853-F853)/IF(E853&gt;0,E853,1)</f>
        <v/>
      </c>
    </row>
    <row r="854">
      <c r="A854" s="22" t="inlineStr">
        <is>
          <t>2026 빠르게 따는 ADsP(1권(이론)+2권(빈출 족보+기출&amp;모의고사) 분권, 웹 CBT(PC/모바일) 제공, 시험 직전 Live 빠따 특강)</t>
        </is>
      </c>
      <c r="B854" s="22" t="inlineStr">
        <is>
          <t>임한울, 조영훈, 이유성</t>
        </is>
      </c>
      <c r="C854" s="22" t="inlineStr">
        <is>
          <t>골든래빗</t>
        </is>
      </c>
      <c r="D854" s="22" t="inlineStr">
        <is>
          <t>2026년 01월</t>
        </is>
      </c>
      <c r="E854" s="28" t="n">
        <v>30000</v>
      </c>
      <c r="F854" s="28" t="n">
        <v>27000</v>
      </c>
      <c r="G854" s="29" t="n">
        <v>13</v>
      </c>
      <c r="H854" s="29" t="n">
        <v>450</v>
      </c>
      <c r="I854" s="21" t="inlineStr">
        <is>
          <t>2026</t>
        </is>
      </c>
      <c r="J854" s="21" t="inlineStr">
        <is>
          <t xml:space="preserve"> 0</t>
        </is>
      </c>
      <c r="K854" s="30">
        <f>(E854-F854)/IF(E854&gt;0,E854,1)</f>
        <v/>
      </c>
    </row>
    <row r="855">
      <c r="A855" s="22" t="inlineStr">
        <is>
          <t>퀵스타트 SQL with 챗GPT</t>
        </is>
      </c>
      <c r="B855" s="22" t="inlineStr">
        <is>
          <t>정미나</t>
        </is>
      </c>
      <c r="C855" s="22" t="inlineStr">
        <is>
          <t>한빛미디어</t>
        </is>
      </c>
      <c r="D855" s="22" t="inlineStr">
        <is>
          <t>2025년 12월</t>
        </is>
      </c>
      <c r="E855" s="28" t="n">
        <v>27000</v>
      </c>
      <c r="F855" s="28" t="n">
        <v>24300</v>
      </c>
      <c r="G855" s="29" t="n">
        <v>15</v>
      </c>
      <c r="H855" s="29" t="n">
        <v>360</v>
      </c>
      <c r="I855" s="21" t="inlineStr">
        <is>
          <t>2025</t>
        </is>
      </c>
      <c r="J855" s="21" t="inlineStr">
        <is>
          <t xml:space="preserve"> 1</t>
        </is>
      </c>
      <c r="K855" s="30">
        <f>(E855-F855)/IF(E855&gt;0,E855,1)</f>
        <v/>
      </c>
    </row>
    <row r="856">
      <c r="A856" s="22" t="inlineStr">
        <is>
          <t>AI 시대의 글쓰기</t>
        </is>
      </c>
      <c r="B856" s="22" t="inlineStr">
        <is>
          <t>장성민</t>
        </is>
      </c>
      <c r="C856" s="22" t="inlineStr">
        <is>
          <t>커뮤니케이션북스</t>
        </is>
      </c>
      <c r="D856" s="22" t="inlineStr">
        <is>
          <t>2024년 10월</t>
        </is>
      </c>
      <c r="E856" s="28" t="n">
        <v>12000</v>
      </c>
      <c r="F856" s="28" t="n">
        <v>12000</v>
      </c>
      <c r="G856" s="29" t="n">
        <v>0</v>
      </c>
      <c r="H856" s="29" t="n">
        <v>807</v>
      </c>
      <c r="I856" s="21" t="inlineStr">
        <is>
          <t>2024</t>
        </is>
      </c>
      <c r="J856" s="21" t="inlineStr">
        <is>
          <t xml:space="preserve"> 1</t>
        </is>
      </c>
      <c r="K856" s="30">
        <f>(E856-F856)/IF(E856&gt;0,E856,1)</f>
        <v/>
      </c>
    </row>
    <row r="857">
      <c r="A857" s="22" t="inlineStr">
        <is>
          <t>PHYSICAL AI: 인공지능에 몸을 더하다</t>
        </is>
      </c>
      <c r="B857" s="22" t="inlineStr">
        <is>
          <t>손병희, 주해종, 최창훈</t>
        </is>
      </c>
      <c r="C857" s="22" t="inlineStr">
        <is>
          <t>지오북스</t>
        </is>
      </c>
      <c r="D857" s="22" t="inlineStr">
        <is>
          <t>2025년 11월</t>
        </is>
      </c>
      <c r="E857" s="28" t="n">
        <v>24000</v>
      </c>
      <c r="F857" s="28" t="n">
        <v>24000</v>
      </c>
      <c r="G857" s="29" t="n">
        <v>0</v>
      </c>
      <c r="H857" s="29" t="n">
        <v>312</v>
      </c>
      <c r="I857" s="21" t="inlineStr">
        <is>
          <t>2025</t>
        </is>
      </c>
      <c r="J857" s="21" t="inlineStr">
        <is>
          <t xml:space="preserve"> 1</t>
        </is>
      </c>
      <c r="K857" s="30">
        <f>(E857-F857)/IF(E857&gt;0,E857,1)</f>
        <v/>
      </c>
    </row>
    <row r="858">
      <c r="A858" s="22" t="inlineStr">
        <is>
          <t>누구나 쉽게 배우는 딥러닝 스타트</t>
        </is>
      </c>
      <c r="B858" s="22" t="inlineStr">
        <is>
          <t>박동규</t>
        </is>
      </c>
      <c r="C858" s="22" t="inlineStr">
        <is>
          <t>인피니티북스</t>
        </is>
      </c>
      <c r="D858" s="22" t="inlineStr">
        <is>
          <t>2023년 12월</t>
        </is>
      </c>
      <c r="E858" s="28" t="n">
        <v>30000</v>
      </c>
      <c r="F858" s="28" t="n">
        <v>28500</v>
      </c>
      <c r="G858" s="29" t="n">
        <v>1</v>
      </c>
      <c r="H858" s="29" t="n">
        <v>330</v>
      </c>
      <c r="I858" s="21" t="inlineStr">
        <is>
          <t>2023</t>
        </is>
      </c>
      <c r="J858" s="21" t="inlineStr">
        <is>
          <t xml:space="preserve"> 1</t>
        </is>
      </c>
      <c r="K858" s="30">
        <f>(E858-F858)/IF(E858&gt;0,E858,1)</f>
        <v/>
      </c>
    </row>
    <row r="859">
      <c r="A859" s="22" t="inlineStr">
        <is>
          <t>Prophet 시계열 데이터 분석</t>
        </is>
      </c>
      <c r="B859" s="22" t="inlineStr">
        <is>
          <t>그렉 래퍼티, 임선집, 채호창</t>
        </is>
      </c>
      <c r="C859" s="22" t="inlineStr">
        <is>
          <t>루비페이퍼</t>
        </is>
      </c>
      <c r="D859" s="22" t="inlineStr">
        <is>
          <t>2025년 10월</t>
        </is>
      </c>
      <c r="E859" s="28" t="n">
        <v>28000</v>
      </c>
      <c r="F859" s="28" t="n">
        <v>25200</v>
      </c>
      <c r="G859" s="29" t="n">
        <v>0</v>
      </c>
      <c r="H859" s="29" t="n">
        <v>366</v>
      </c>
      <c r="I859" s="21" t="inlineStr">
        <is>
          <t>2025</t>
        </is>
      </c>
      <c r="J859" s="21" t="inlineStr">
        <is>
          <t xml:space="preserve"> 1</t>
        </is>
      </c>
      <c r="K859" s="30">
        <f>(E859-F859)/IF(E859&gt;0,E859,1)</f>
        <v/>
      </c>
    </row>
    <row r="860">
      <c r="A860" s="22" t="inlineStr">
        <is>
          <t>AI와 전문직의 미래</t>
        </is>
      </c>
      <c r="B860" s="22" t="inlineStr">
        <is>
          <t>김예성</t>
        </is>
      </c>
      <c r="C860" s="22" t="inlineStr">
        <is>
          <t>커뮤니케이션북스</t>
        </is>
      </c>
      <c r="D860" s="22" t="inlineStr">
        <is>
          <t>2025년 10월</t>
        </is>
      </c>
      <c r="E860" s="28" t="n">
        <v>12000</v>
      </c>
      <c r="F860" s="28" t="n">
        <v>12000</v>
      </c>
      <c r="G860" s="29" t="n">
        <v>0</v>
      </c>
      <c r="H860" s="29" t="n">
        <v>549</v>
      </c>
      <c r="I860" s="21" t="inlineStr">
        <is>
          <t>2025</t>
        </is>
      </c>
      <c r="J860" s="21" t="inlineStr">
        <is>
          <t xml:space="preserve"> 1</t>
        </is>
      </c>
      <c r="K860" s="30">
        <f>(E860-F860)/IF(E860&gt;0,E860,1)</f>
        <v/>
      </c>
    </row>
    <row r="861">
      <c r="A861" s="22" t="inlineStr">
        <is>
          <t>AI와 직장인 글쓰기</t>
        </is>
      </c>
      <c r="B861" s="22" t="inlineStr">
        <is>
          <t>전안나</t>
        </is>
      </c>
      <c r="C861" s="22" t="inlineStr">
        <is>
          <t>커뮤니케이션북스</t>
        </is>
      </c>
      <c r="D861" s="22" t="inlineStr">
        <is>
          <t>2025년 10월</t>
        </is>
      </c>
      <c r="E861" s="28" t="n">
        <v>12000</v>
      </c>
      <c r="F861" s="28" t="n">
        <v>12000</v>
      </c>
      <c r="G861" s="29" t="n">
        <v>7</v>
      </c>
      <c r="H861" s="29" t="n">
        <v>348</v>
      </c>
      <c r="I861" s="21" t="inlineStr">
        <is>
          <t>2025</t>
        </is>
      </c>
      <c r="J861" s="21" t="inlineStr">
        <is>
          <t xml:space="preserve"> 1</t>
        </is>
      </c>
      <c r="K861" s="30">
        <f>(E861-F861)/IF(E861&gt;0,E861,1)</f>
        <v/>
      </c>
    </row>
    <row r="862">
      <c r="A862" s="22" t="inlineStr">
        <is>
          <t>AX2025 세상을 변화시키는 AX</t>
        </is>
      </c>
      <c r="B862" s="22" t="inlineStr">
        <is>
          <t>윤커뮤니케이션즈 디지털미디어랩</t>
        </is>
      </c>
      <c r="C862" s="22" t="inlineStr">
        <is>
          <t>연두에디션</t>
        </is>
      </c>
      <c r="D862" s="22" t="inlineStr">
        <is>
          <t>2025년 02월</t>
        </is>
      </c>
      <c r="E862" s="28" t="n">
        <v>19000</v>
      </c>
      <c r="F862" s="28" t="n">
        <v>19000</v>
      </c>
      <c r="G862" s="29" t="n">
        <v>19</v>
      </c>
      <c r="H862" s="29" t="n">
        <v>330</v>
      </c>
      <c r="I862" s="21" t="inlineStr">
        <is>
          <t>2025</t>
        </is>
      </c>
      <c r="J862" s="21" t="inlineStr">
        <is>
          <t xml:space="preserve"> 0</t>
        </is>
      </c>
      <c r="K862" s="30">
        <f>(E862-F862)/IF(E862&gt;0,E862,1)</f>
        <v/>
      </c>
    </row>
    <row r="863">
      <c r="A863" s="22" t="inlineStr">
        <is>
          <t>업무 생산성을 확 높이는 AI 서비스</t>
        </is>
      </c>
      <c r="B863" s="22" t="inlineStr">
        <is>
          <t>김종철</t>
        </is>
      </c>
      <c r="C863" s="22" t="inlineStr">
        <is>
          <t>성안당</t>
        </is>
      </c>
      <c r="D863" s="22" t="inlineStr">
        <is>
          <t>2025년 01월</t>
        </is>
      </c>
      <c r="E863" s="28" t="n">
        <v>20000</v>
      </c>
      <c r="F863" s="28" t="n">
        <v>18000</v>
      </c>
      <c r="G863" s="29" t="n">
        <v>36</v>
      </c>
      <c r="H863" s="29" t="n">
        <v>384</v>
      </c>
      <c r="I863" s="21" t="inlineStr">
        <is>
          <t>2025</t>
        </is>
      </c>
      <c r="J863" s="21" t="inlineStr">
        <is>
          <t xml:space="preserve"> 0</t>
        </is>
      </c>
      <c r="K863" s="30">
        <f>(E863-F863)/IF(E863&gt;0,E863,1)</f>
        <v/>
      </c>
    </row>
    <row r="864">
      <c r="A864" s="22" t="inlineStr">
        <is>
          <t>개발자를 위한 머신러닝&amp;딥러닝</t>
        </is>
      </c>
      <c r="B864" s="22" t="inlineStr">
        <is>
          <t>로런스 모로니, 박해선</t>
        </is>
      </c>
      <c r="C864" s="22" t="inlineStr">
        <is>
          <t>한빛미디어</t>
        </is>
      </c>
      <c r="D864" s="22" t="inlineStr">
        <is>
          <t>2022년 08월</t>
        </is>
      </c>
      <c r="E864" s="28" t="n">
        <v>34000</v>
      </c>
      <c r="F864" s="28" t="n">
        <v>30600</v>
      </c>
      <c r="G864" s="29" t="n">
        <v>40</v>
      </c>
      <c r="H864" s="29" t="n">
        <v>342</v>
      </c>
      <c r="I864" s="21" t="inlineStr">
        <is>
          <t>2022</t>
        </is>
      </c>
      <c r="J864" s="21" t="inlineStr">
        <is>
          <t xml:space="preserve"> 0</t>
        </is>
      </c>
      <c r="K864" s="30">
        <f>(E864-F864)/IF(E864&gt;0,E864,1)</f>
        <v/>
      </c>
    </row>
    <row r="865">
      <c r="A865" s="22" t="inlineStr">
        <is>
          <t>마이크로비트 IoT 사물인터넷 정복</t>
        </is>
      </c>
      <c r="B865" s="22" t="inlineStr">
        <is>
          <t>이연곤</t>
        </is>
      </c>
      <c r="C865" s="22" t="inlineStr">
        <is>
          <t>앤써북</t>
        </is>
      </c>
      <c r="D865" s="22" t="inlineStr">
        <is>
          <t>2022년 08월</t>
        </is>
      </c>
      <c r="E865" s="28" t="n">
        <v>18800</v>
      </c>
      <c r="F865" s="28" t="n">
        <v>16920</v>
      </c>
      <c r="G865" s="29" t="n">
        <v>10</v>
      </c>
      <c r="H865" s="29" t="n">
        <v>354</v>
      </c>
      <c r="I865" s="21" t="inlineStr">
        <is>
          <t>2022</t>
        </is>
      </c>
      <c r="J865" s="21" t="inlineStr">
        <is>
          <t xml:space="preserve"> 0</t>
        </is>
      </c>
      <c r="K865" s="30">
        <f>(E865-F865)/IF(E865&gt;0,E865,1)</f>
        <v/>
      </c>
    </row>
    <row r="866">
      <c r="A866" s="22" t="inlineStr">
        <is>
          <t>비전공자를 위한 딥러닝</t>
        </is>
      </c>
      <c r="B866" s="22" t="inlineStr">
        <is>
          <t>윤준호</t>
        </is>
      </c>
      <c r="C866" s="22" t="inlineStr">
        <is>
          <t>디지털북스</t>
        </is>
      </c>
      <c r="D866" s="22" t="inlineStr">
        <is>
          <t>2022년 02월</t>
        </is>
      </c>
      <c r="E866" s="28" t="n">
        <v>12000</v>
      </c>
      <c r="F866" s="28" t="n">
        <v>10800</v>
      </c>
      <c r="G866" s="29" t="n">
        <v>12</v>
      </c>
      <c r="H866" s="29" t="n">
        <v>372</v>
      </c>
      <c r="I866" s="21" t="inlineStr">
        <is>
          <t>2022</t>
        </is>
      </c>
      <c r="J866" s="21" t="inlineStr">
        <is>
          <t xml:space="preserve"> 0</t>
        </is>
      </c>
      <c r="K866" s="30">
        <f>(E866-F866)/IF(E866&gt;0,E866,1)</f>
        <v/>
      </c>
    </row>
    <row r="867">
      <c r="A867" s="22" t="inlineStr">
        <is>
          <t>라즈베리파이로 만드는 인공지능과 사물인터넷</t>
        </is>
      </c>
      <c r="B867" s="22" t="inlineStr">
        <is>
          <t>장문철</t>
        </is>
      </c>
      <c r="C867" s="22" t="inlineStr">
        <is>
          <t>먼슬리북스</t>
        </is>
      </c>
      <c r="D867" s="22" t="inlineStr">
        <is>
          <t>2026년 03월</t>
        </is>
      </c>
      <c r="E867" s="28" t="n">
        <v>22500</v>
      </c>
      <c r="F867" s="28" t="n">
        <v>20250</v>
      </c>
      <c r="G867" s="29" t="n">
        <v>8</v>
      </c>
      <c r="H867" s="29" t="n">
        <v>264</v>
      </c>
      <c r="I867" s="21" t="inlineStr">
        <is>
          <t>2026</t>
        </is>
      </c>
      <c r="J867" s="21" t="inlineStr">
        <is>
          <t xml:space="preserve"> 0</t>
        </is>
      </c>
      <c r="K867" s="30">
        <f>(E867-F867)/IF(E867&gt;0,E867,1)</f>
        <v/>
      </c>
    </row>
    <row r="868">
      <c r="A868" s="22" t="inlineStr">
        <is>
          <t>전자인간의 탄생</t>
        </is>
      </c>
      <c r="B868" s="22" t="inlineStr">
        <is>
          <t>배종성</t>
        </is>
      </c>
      <c r="C868" s="22" t="inlineStr">
        <is>
          <t>페스트북</t>
        </is>
      </c>
      <c r="D868" s="22" t="inlineStr">
        <is>
          <t>2025년 10월</t>
        </is>
      </c>
      <c r="E868" s="28" t="n">
        <v>18000</v>
      </c>
      <c r="F868" s="28" t="n">
        <v>16200</v>
      </c>
      <c r="G868" s="29" t="n">
        <v>6</v>
      </c>
      <c r="H868" s="29" t="n">
        <v>390</v>
      </c>
      <c r="I868" s="21" t="inlineStr">
        <is>
          <t>2025</t>
        </is>
      </c>
      <c r="J868" s="21" t="inlineStr">
        <is>
          <t xml:space="preserve"> 1</t>
        </is>
      </c>
      <c r="K868" s="30">
        <f>(E868-F868)/IF(E868&gt;0,E868,1)</f>
        <v/>
      </c>
    </row>
    <row r="869">
      <c r="A869" s="22" t="inlineStr">
        <is>
          <t>이것이 생성형 AI다</t>
        </is>
      </c>
      <c r="B869" s="22" t="inlineStr">
        <is>
          <t>김명락</t>
        </is>
      </c>
      <c r="C869" s="22" t="inlineStr">
        <is>
          <t>슬로디미디어</t>
        </is>
      </c>
      <c r="D869" s="22" t="inlineStr">
        <is>
          <t>2025년 02월</t>
        </is>
      </c>
      <c r="E869" s="28" t="n">
        <v>16800</v>
      </c>
      <c r="F869" s="28" t="n">
        <v>15120</v>
      </c>
      <c r="G869" s="29" t="n">
        <v>15</v>
      </c>
      <c r="H869" s="29" t="n">
        <v>306</v>
      </c>
      <c r="I869" s="21" t="inlineStr">
        <is>
          <t>2025</t>
        </is>
      </c>
      <c r="J869" s="21" t="inlineStr">
        <is>
          <t xml:space="preserve"> 0</t>
        </is>
      </c>
      <c r="K869" s="30">
        <f>(E869-F869)/IF(E869&gt;0,E869,1)</f>
        <v/>
      </c>
    </row>
    <row r="870">
      <c r="A870" s="22" t="inlineStr">
        <is>
          <t>AI·디지털 문화유산과 떠나는 역사 여행</t>
        </is>
      </c>
      <c r="B870" s="22" t="inlineStr">
        <is>
          <t>디지털문화유산교육연구회, 김수진, 오송이, 윤혜정, 이수진, 정보 더 보기/감추기, 디지털문화유산교육연구회, 김수진, 오송이, 윤혜정, 이수진, 임효진, 조영훈</t>
        </is>
      </c>
      <c r="C870" s="22" t="inlineStr">
        <is>
          <t>폭스에듀</t>
        </is>
      </c>
      <c r="D870" s="22" t="inlineStr">
        <is>
          <t>2024년 10월</t>
        </is>
      </c>
      <c r="E870" s="28" t="n">
        <v>20000</v>
      </c>
      <c r="F870" s="28" t="n">
        <v>18000</v>
      </c>
      <c r="G870" s="29" t="n">
        <v>2</v>
      </c>
      <c r="H870" s="29" t="n">
        <v>276</v>
      </c>
      <c r="I870" s="21" t="inlineStr">
        <is>
          <t>2024</t>
        </is>
      </c>
      <c r="J870" s="21" t="inlineStr">
        <is>
          <t xml:space="preserve"> 1</t>
        </is>
      </c>
      <c r="K870" s="30">
        <f>(E870-F870)/IF(E870&gt;0,E870,1)</f>
        <v/>
      </c>
    </row>
    <row r="871">
      <c r="A871" s="22" t="inlineStr">
        <is>
          <t>AI와 함께 살기</t>
        </is>
      </c>
      <c r="B871" s="22" t="inlineStr">
        <is>
          <t>이운성, 박영순</t>
        </is>
      </c>
      <c r="C871" s="22" t="inlineStr">
        <is>
          <t>살림출판사</t>
        </is>
      </c>
      <c r="D871" s="22" t="inlineStr">
        <is>
          <t>2026년 03월</t>
        </is>
      </c>
      <c r="E871" s="28" t="n">
        <v>9800</v>
      </c>
      <c r="F871" s="28" t="n">
        <v>8820</v>
      </c>
      <c r="G871" s="29" t="n">
        <v>1</v>
      </c>
      <c r="H871" s="29" t="n">
        <v>354</v>
      </c>
      <c r="I871" s="21" t="inlineStr">
        <is>
          <t>2026</t>
        </is>
      </c>
      <c r="J871" s="21" t="inlineStr">
        <is>
          <t xml:space="preserve"> 0</t>
        </is>
      </c>
      <c r="K871" s="30">
        <f>(E871-F871)/IF(E871&gt;0,E871,1)</f>
        <v/>
      </c>
    </row>
    <row r="872">
      <c r="A872" s="22" t="inlineStr">
        <is>
          <t>로봇, 그리고 로봇을 사랑하는 사람들</t>
        </is>
      </c>
      <c r="B872" s="22" t="inlineStr">
        <is>
          <t>이브 헤롤드, 김창규</t>
        </is>
      </c>
      <c r="C872" s="22" t="inlineStr">
        <is>
          <t>현암사</t>
        </is>
      </c>
      <c r="D872" s="22" t="inlineStr">
        <is>
          <t>2026년 03월</t>
        </is>
      </c>
      <c r="E872" s="28" t="n">
        <v>20000</v>
      </c>
      <c r="F872" s="28" t="n">
        <v>18000</v>
      </c>
      <c r="G872" s="29" t="n">
        <v>10</v>
      </c>
      <c r="H872" s="29" t="n">
        <v>306</v>
      </c>
      <c r="I872" s="21" t="inlineStr">
        <is>
          <t>2026</t>
        </is>
      </c>
      <c r="J872" s="21" t="inlineStr">
        <is>
          <t xml:space="preserve"> 0</t>
        </is>
      </c>
      <c r="K872" s="30">
        <f>(E872-F872)/IF(E872&gt;0,E872,1)</f>
        <v/>
      </c>
    </row>
    <row r="873">
      <c r="A873" s="22" t="inlineStr">
        <is>
          <t>왕초보도 7일 만에 완성하는 동화작가</t>
        </is>
      </c>
      <c r="B873" s="22" t="inlineStr">
        <is>
          <t>윤서아, 서성미, 유양석, 손미화, 이은순, 정보 더 보기/감추기, 윤서아, 서성미, 유양석, 손미화, 이은순, 문혜정, 석승희, 이기정, 이성미, 임혜경</t>
        </is>
      </c>
      <c r="C873" s="22" t="inlineStr">
        <is>
          <t>재노북스</t>
        </is>
      </c>
      <c r="D873" s="22" t="inlineStr">
        <is>
          <t>2025년 10월</t>
        </is>
      </c>
      <c r="E873" s="28" t="n">
        <v>34000</v>
      </c>
      <c r="F873" s="28" t="n">
        <v>34000</v>
      </c>
      <c r="G873" s="29" t="n">
        <v>3</v>
      </c>
      <c r="H873" s="29" t="n">
        <v>270</v>
      </c>
      <c r="I873" s="21" t="inlineStr">
        <is>
          <t>2025</t>
        </is>
      </c>
      <c r="J873" s="21" t="inlineStr">
        <is>
          <t xml:space="preserve"> 1</t>
        </is>
      </c>
      <c r="K873" s="30">
        <f>(E873-F873)/IF(E873&gt;0,E873,1)</f>
        <v/>
      </c>
    </row>
    <row r="874">
      <c r="A874" s="22" t="inlineStr">
        <is>
          <t>하루 5분 A.I 챌린지</t>
        </is>
      </c>
      <c r="B874" s="22" t="inlineStr">
        <is>
          <t>이지선</t>
        </is>
      </c>
      <c r="C874" s="22" t="inlineStr">
        <is>
          <t>쑬딴스북</t>
        </is>
      </c>
      <c r="D874" s="22" t="inlineStr">
        <is>
          <t>2025년 10월</t>
        </is>
      </c>
      <c r="E874" s="28" t="n">
        <v>9900</v>
      </c>
      <c r="F874" s="28" t="n">
        <v>8910</v>
      </c>
      <c r="G874" s="29" t="n">
        <v>0</v>
      </c>
      <c r="H874" s="29" t="n">
        <v>330</v>
      </c>
      <c r="I874" s="21" t="inlineStr">
        <is>
          <t>2025</t>
        </is>
      </c>
      <c r="J874" s="21" t="inlineStr">
        <is>
          <t xml:space="preserve"> 1</t>
        </is>
      </c>
      <c r="K874" s="30">
        <f>(E874-F874)/IF(E874&gt;0,E874,1)</f>
        <v/>
      </c>
    </row>
    <row r="875">
      <c r="A875" s="22" t="inlineStr">
        <is>
          <t>AI 휴머노이드 로봇</t>
        </is>
      </c>
      <c r="B875" s="22" t="inlineStr">
        <is>
          <t>손영성</t>
        </is>
      </c>
      <c r="C875" s="22" t="inlineStr">
        <is>
          <t>커뮤니케이션북스</t>
        </is>
      </c>
      <c r="D875" s="22" t="inlineStr">
        <is>
          <t>2025년 10월</t>
        </is>
      </c>
      <c r="E875" s="28" t="n">
        <v>12000</v>
      </c>
      <c r="F875" s="28" t="n">
        <v>12000</v>
      </c>
      <c r="G875" s="29" t="n">
        <v>0</v>
      </c>
      <c r="H875" s="29" t="n">
        <v>282</v>
      </c>
      <c r="I875" s="21" t="inlineStr">
        <is>
          <t>2025</t>
        </is>
      </c>
      <c r="J875" s="21" t="inlineStr">
        <is>
          <t xml:space="preserve"> 1</t>
        </is>
      </c>
      <c r="K875" s="30">
        <f>(E875-F875)/IF(E875&gt;0,E875,1)</f>
        <v/>
      </c>
    </row>
    <row r="876">
      <c r="A876" s="22" t="inlineStr">
        <is>
          <t>AI와 사회복지</t>
        </is>
      </c>
      <c r="B876" s="22" t="inlineStr">
        <is>
          <t>김현진</t>
        </is>
      </c>
      <c r="C876" s="22" t="inlineStr">
        <is>
          <t>커뮤니케이션북스</t>
        </is>
      </c>
      <c r="D876" s="22" t="inlineStr">
        <is>
          <t>2024년 06월</t>
        </is>
      </c>
      <c r="E876" s="28" t="n">
        <v>12000</v>
      </c>
      <c r="F876" s="28" t="n">
        <v>12000</v>
      </c>
      <c r="G876" s="29" t="n">
        <v>0</v>
      </c>
      <c r="H876" s="29" t="n">
        <v>306</v>
      </c>
      <c r="I876" s="21" t="inlineStr">
        <is>
          <t>2024</t>
        </is>
      </c>
      <c r="J876" s="21" t="inlineStr">
        <is>
          <t xml:space="preserve"> 0</t>
        </is>
      </c>
      <c r="K876" s="30">
        <f>(E876-F876)/IF(E876&gt;0,E876,1)</f>
        <v/>
      </c>
    </row>
    <row r="877">
      <c r="A877" s="22" t="inlineStr">
        <is>
          <t>인공지능 소프트웨어 품질 보증을 위한 테스트 기법</t>
        </is>
      </c>
      <c r="B877" s="22" t="inlineStr">
        <is>
          <t>사토 나오토, 오가와 히데토, 구루마 히로노부, 묘진 도모유키, 황석형</t>
        </is>
      </c>
      <c r="C877" s="22" t="inlineStr">
        <is>
          <t>제이펍</t>
        </is>
      </c>
      <c r="D877" s="22" t="inlineStr">
        <is>
          <t>2023년 03월</t>
        </is>
      </c>
      <c r="E877" s="28" t="n">
        <v>26000</v>
      </c>
      <c r="F877" s="28" t="n">
        <v>23400</v>
      </c>
      <c r="G877" s="29" t="n">
        <v>9</v>
      </c>
      <c r="H877" s="29" t="n">
        <v>288</v>
      </c>
      <c r="I877" s="21" t="inlineStr">
        <is>
          <t>2023</t>
        </is>
      </c>
      <c r="J877" s="21" t="inlineStr">
        <is>
          <t xml:space="preserve"> 0</t>
        </is>
      </c>
      <c r="K877" s="30">
        <f>(E877-F877)/IF(E877&gt;0,E877,1)</f>
        <v/>
      </c>
    </row>
    <row r="878">
      <c r="A878" s="22" t="inlineStr">
        <is>
          <t>사물인터넷 개론</t>
        </is>
      </c>
      <c r="B878" s="22" t="inlineStr">
        <is>
          <t>서경환, 최종철, 권명규, 장원규</t>
        </is>
      </c>
      <c r="C878" s="22" t="inlineStr">
        <is>
          <t>배움터</t>
        </is>
      </c>
      <c r="D878" s="22" t="inlineStr">
        <is>
          <t>2023년 02월</t>
        </is>
      </c>
      <c r="E878" s="28" t="n">
        <v>22000</v>
      </c>
      <c r="F878" s="28" t="n">
        <v>22000</v>
      </c>
      <c r="G878" s="29" t="n">
        <v>0</v>
      </c>
      <c r="H878" s="29" t="n">
        <v>372</v>
      </c>
      <c r="I878" s="21" t="inlineStr">
        <is>
          <t>2023</t>
        </is>
      </c>
      <c r="J878" s="21" t="inlineStr">
        <is>
          <t xml:space="preserve"> 0</t>
        </is>
      </c>
      <c r="K878" s="30">
        <f>(E878-F878)/IF(E878&gt;0,E878,1)</f>
        <v/>
      </c>
    </row>
    <row r="879">
      <c r="A879" s="22" t="inlineStr">
        <is>
          <t>처음 만나는 AI 수학 with Python</t>
        </is>
      </c>
      <c r="B879" s="22" t="inlineStr">
        <is>
          <t>아즈마 유키나가, 유세라</t>
        </is>
      </c>
      <c r="C879" s="22" t="inlineStr">
        <is>
          <t>영진닷컴</t>
        </is>
      </c>
      <c r="D879" s="22" t="inlineStr">
        <is>
          <t>2021년 01월</t>
        </is>
      </c>
      <c r="E879" s="28" t="n">
        <v>23000</v>
      </c>
      <c r="F879" s="28" t="n">
        <v>20700</v>
      </c>
      <c r="G879" s="29" t="n">
        <v>4</v>
      </c>
      <c r="H879" s="29" t="n">
        <v>291</v>
      </c>
      <c r="I879" s="21" t="inlineStr">
        <is>
          <t>2021</t>
        </is>
      </c>
      <c r="J879" s="21" t="inlineStr">
        <is>
          <t xml:space="preserve"> 0</t>
        </is>
      </c>
      <c r="K879" s="30">
        <f>(E879-F879)/IF(E879&gt;0,E879,1)</f>
        <v/>
      </c>
    </row>
    <row r="880">
      <c r="A880" s="22" t="inlineStr">
        <is>
          <t>컴퓨터과학의 기초를 다지는 단단한 수학: CONCRETE MATHEMATICS 구체 수학</t>
        </is>
      </c>
      <c r="B880" s="22" t="inlineStr">
        <is>
          <t>로널드 L. 그레이엄, 도널드 E. 커누스, 오렌 파타슈닉, 류광</t>
        </is>
      </c>
      <c r="C880" s="22" t="inlineStr">
        <is>
          <t>인사이트(insight)</t>
        </is>
      </c>
      <c r="D880" s="22" t="inlineStr">
        <is>
          <t>2018년 04월</t>
        </is>
      </c>
      <c r="E880" s="28" t="n">
        <v>49000</v>
      </c>
      <c r="F880" s="28" t="n">
        <v>44100</v>
      </c>
      <c r="G880" s="29" t="n">
        <v>13</v>
      </c>
      <c r="H880" s="29" t="n">
        <v>294</v>
      </c>
      <c r="I880" s="21" t="inlineStr">
        <is>
          <t>2018</t>
        </is>
      </c>
      <c r="J880" s="21" t="inlineStr">
        <is>
          <t xml:space="preserve"> 0</t>
        </is>
      </c>
      <c r="K880" s="30">
        <f>(E880-F880)/IF(E880&gt;0,E880,1)</f>
        <v/>
      </c>
    </row>
    <row r="881">
      <c r="A881" s="22" t="inlineStr">
        <is>
          <t>린 고객 개발</t>
        </is>
      </c>
      <c r="B881" s="22" t="inlineStr">
        <is>
          <t>신디 앨버레즈, 박주훈, 이광호</t>
        </is>
      </c>
      <c r="C881" s="22" t="inlineStr">
        <is>
          <t>한빛미디어</t>
        </is>
      </c>
      <c r="D881" s="22" t="inlineStr">
        <is>
          <t>2015년 05월</t>
        </is>
      </c>
      <c r="E881" s="28" t="n">
        <v>20000</v>
      </c>
      <c r="F881" s="28" t="n">
        <v>18000</v>
      </c>
      <c r="G881" s="29" t="n">
        <v>15</v>
      </c>
      <c r="H881" s="29" t="n">
        <v>282</v>
      </c>
      <c r="I881" s="21" t="inlineStr">
        <is>
          <t>2015</t>
        </is>
      </c>
      <c r="J881" s="21" t="inlineStr">
        <is>
          <t xml:space="preserve"> 0</t>
        </is>
      </c>
      <c r="K881" s="30">
        <f>(E881-F881)/IF(E881&gt;0,E881,1)</f>
        <v/>
      </c>
    </row>
    <row r="882">
      <c r="A882" s="22" t="inlineStr">
        <is>
          <t>AI와 함께라서</t>
        </is>
      </c>
      <c r="B882" s="22" t="inlineStr">
        <is>
          <t>최원설, 이재하, 고은비</t>
        </is>
      </c>
      <c r="C882" s="22" t="inlineStr">
        <is>
          <t>지식터</t>
        </is>
      </c>
      <c r="D882" s="22" t="inlineStr">
        <is>
          <t>2026년 01월</t>
        </is>
      </c>
      <c r="E882" s="28" t="n">
        <v>18000</v>
      </c>
      <c r="F882" s="28" t="n">
        <v>18000</v>
      </c>
      <c r="G882" s="29" t="n">
        <v>3</v>
      </c>
      <c r="H882" s="29" t="n">
        <v>336</v>
      </c>
      <c r="I882" s="21" t="inlineStr">
        <is>
          <t>2026</t>
        </is>
      </c>
      <c r="J882" s="21" t="inlineStr">
        <is>
          <t xml:space="preserve"> 0</t>
        </is>
      </c>
      <c r="K882" s="30">
        <f>(E882-F882)/IF(E882&gt;0,E882,1)</f>
        <v/>
      </c>
    </row>
    <row r="883">
      <c r="A883" s="22" t="inlineStr">
        <is>
          <t>음악을 SUNO 아!</t>
        </is>
      </c>
      <c r="B883" s="22" t="inlineStr">
        <is>
          <t>최안식</t>
        </is>
      </c>
      <c r="C883" s="22" t="inlineStr">
        <is>
          <t>팀스토리</t>
        </is>
      </c>
      <c r="D883" s="22" t="inlineStr">
        <is>
          <t>2025년 12월</t>
        </is>
      </c>
      <c r="E883" s="28" t="n">
        <v>40000</v>
      </c>
      <c r="F883" s="28" t="n">
        <v>40000</v>
      </c>
      <c r="G883" s="29" t="n">
        <v>0</v>
      </c>
      <c r="H883" s="29" t="n">
        <v>294</v>
      </c>
      <c r="I883" s="21" t="inlineStr">
        <is>
          <t>2025</t>
        </is>
      </c>
      <c r="J883" s="21" t="inlineStr">
        <is>
          <t xml:space="preserve"> 1</t>
        </is>
      </c>
      <c r="K883" s="30">
        <f>(E883-F883)/IF(E883&gt;0,E883,1)</f>
        <v/>
      </c>
    </row>
    <row r="884">
      <c r="A884" s="22" t="inlineStr">
        <is>
          <t>우리 아이는 AI 교실에 갑니다 : AI와 디지털 시대, 부모의 불안 극복 가이드</t>
        </is>
      </c>
      <c r="B884" s="22" t="inlineStr">
        <is>
          <t>전주은</t>
        </is>
      </c>
      <c r="C884" s="22" t="inlineStr">
        <is>
          <t>성안당</t>
        </is>
      </c>
      <c r="D884" s="22" t="inlineStr">
        <is>
          <t>2025년 12월</t>
        </is>
      </c>
      <c r="E884" s="28" t="n">
        <v>19000</v>
      </c>
      <c r="F884" s="28" t="n">
        <v>17100</v>
      </c>
      <c r="G884" s="29" t="n">
        <v>31</v>
      </c>
      <c r="H884" s="29" t="n">
        <v>432</v>
      </c>
      <c r="I884" s="21" t="inlineStr">
        <is>
          <t>2025</t>
        </is>
      </c>
      <c r="J884" s="21" t="inlineStr">
        <is>
          <t xml:space="preserve"> 1</t>
        </is>
      </c>
      <c r="K884" s="30">
        <f>(E884-F884)/IF(E884&gt;0,E884,1)</f>
        <v/>
      </c>
    </row>
    <row r="885">
      <c r="A885" s="22" t="inlineStr">
        <is>
          <t>테라폼으로 시작하는 IaC</t>
        </is>
      </c>
      <c r="B885" s="22" t="inlineStr">
        <is>
          <t>김민수, 김재준, 이규석, 이유종</t>
        </is>
      </c>
      <c r="C885" s="22" t="inlineStr">
        <is>
          <t>한빛미디어</t>
        </is>
      </c>
      <c r="D885" s="22" t="inlineStr">
        <is>
          <t>2024년 09월</t>
        </is>
      </c>
      <c r="E885" s="28" t="n">
        <v>32000</v>
      </c>
      <c r="F885" s="28" t="n">
        <v>28800</v>
      </c>
      <c r="G885" s="29" t="n">
        <v>8</v>
      </c>
      <c r="H885" s="29" t="n">
        <v>270</v>
      </c>
      <c r="I885" s="21" t="inlineStr">
        <is>
          <t>2024</t>
        </is>
      </c>
      <c r="J885" s="21" t="inlineStr">
        <is>
          <t xml:space="preserve"> 0</t>
        </is>
      </c>
      <c r="K885" s="30">
        <f>(E885-F885)/IF(E885&gt;0,E885,1)</f>
        <v/>
      </c>
    </row>
    <row r="886">
      <c r="A886" s="22" t="inlineStr">
        <is>
          <t>상상을 스케치하는 아두이노 우노 R4</t>
        </is>
      </c>
      <c r="B886" s="22" t="inlineStr">
        <is>
          <t>허경용</t>
        </is>
      </c>
      <c r="C886" s="22" t="inlineStr">
        <is>
          <t>제이펍</t>
        </is>
      </c>
      <c r="D886" s="22" t="inlineStr">
        <is>
          <t>2024년 09월</t>
        </is>
      </c>
      <c r="E886" s="28" t="n">
        <v>44000</v>
      </c>
      <c r="F886" s="28" t="n">
        <v>39600</v>
      </c>
      <c r="G886" s="29" t="n">
        <v>5</v>
      </c>
      <c r="H886" s="29" t="n">
        <v>300</v>
      </c>
      <c r="I886" s="21" t="inlineStr">
        <is>
          <t>2024</t>
        </is>
      </c>
      <c r="J886" s="21" t="inlineStr">
        <is>
          <t xml:space="preserve"> 0</t>
        </is>
      </c>
      <c r="K886" s="30">
        <f>(E886-F886)/IF(E886&gt;0,E886,1)</f>
        <v/>
      </c>
    </row>
    <row r="887">
      <c r="A887" s="22" t="inlineStr">
        <is>
          <t>컴퓨터 비전을 위한 다중 시점 기하학 2/e</t>
        </is>
      </c>
      <c r="B887" s="22" t="inlineStr">
        <is>
          <t>리차드 하틀리, 앤드류 지서만, 추정호</t>
        </is>
      </c>
      <c r="C887" s="22" t="inlineStr">
        <is>
          <t>에이콘출판사</t>
        </is>
      </c>
      <c r="D887" s="22" t="inlineStr">
        <is>
          <t>2022년 08월</t>
        </is>
      </c>
      <c r="E887" s="28" t="n">
        <v>65000</v>
      </c>
      <c r="F887" s="28" t="n">
        <v>58500</v>
      </c>
      <c r="G887" s="29" t="n">
        <v>2</v>
      </c>
      <c r="H887" s="29" t="n">
        <v>282</v>
      </c>
      <c r="I887" s="21" t="inlineStr">
        <is>
          <t>2022</t>
        </is>
      </c>
      <c r="J887" s="21" t="inlineStr">
        <is>
          <t xml:space="preserve"> 0</t>
        </is>
      </c>
      <c r="K887" s="30">
        <f>(E887-F887)/IF(E887&gt;0,E887,1)</f>
        <v/>
      </c>
    </row>
    <row r="888">
      <c r="A888" s="22" t="inlineStr">
        <is>
          <t>자율주행차량 기술 입문</t>
        </is>
      </c>
      <c r="B888" s="22" t="inlineStr">
        <is>
          <t>행키 샤프리, 김은도, 남기혁, 서영빈, 이승열</t>
        </is>
      </c>
      <c r="C888" s="22" t="inlineStr">
        <is>
          <t>에이콘출판사</t>
        </is>
      </c>
      <c r="D888" s="22" t="inlineStr">
        <is>
          <t>2021년 05월</t>
        </is>
      </c>
      <c r="E888" s="28" t="n">
        <v>33000</v>
      </c>
      <c r="F888" s="28" t="n">
        <v>29700</v>
      </c>
      <c r="G888" s="29" t="n">
        <v>4</v>
      </c>
      <c r="H888" s="29" t="n">
        <v>354</v>
      </c>
      <c r="I888" s="21" t="inlineStr">
        <is>
          <t>2021</t>
        </is>
      </c>
      <c r="J888" s="21" t="inlineStr">
        <is>
          <t xml:space="preserve"> 0</t>
        </is>
      </c>
      <c r="K888" s="30">
        <f>(E888-F888)/IF(E888&gt;0,E888,1)</f>
        <v/>
      </c>
    </row>
    <row r="889">
      <c r="A889" s="22" t="inlineStr">
        <is>
          <t>랭체인 입문</t>
        </is>
      </c>
      <c r="B889" s="22" t="inlineStr">
        <is>
          <t>오승환</t>
        </is>
      </c>
      <c r="C889" s="22" t="inlineStr">
        <is>
          <t>정보문화사</t>
        </is>
      </c>
      <c r="D889" s="22" t="inlineStr">
        <is>
          <t>2025년 03월</t>
        </is>
      </c>
      <c r="E889" s="28" t="n">
        <v>25000</v>
      </c>
      <c r="F889" s="28" t="n">
        <v>22500</v>
      </c>
      <c r="G889" s="29" t="n">
        <v>14</v>
      </c>
      <c r="H889" s="29" t="n">
        <v>246</v>
      </c>
      <c r="I889" s="21" t="inlineStr">
        <is>
          <t>2025</t>
        </is>
      </c>
      <c r="J889" s="21" t="inlineStr">
        <is>
          <t xml:space="preserve"> 0</t>
        </is>
      </c>
      <c r="K889" s="30">
        <f>(E889-F889)/IF(E889&gt;0,E889,1)</f>
        <v/>
      </c>
    </row>
    <row r="890">
      <c r="A890" s="22" t="inlineStr">
        <is>
          <t>AI와 의료 임상</t>
        </is>
      </c>
      <c r="B890" s="22" t="inlineStr">
        <is>
          <t>고범석</t>
        </is>
      </c>
      <c r="C890" s="22" t="inlineStr">
        <is>
          <t>커뮤니케이션북스</t>
        </is>
      </c>
      <c r="D890" s="22" t="inlineStr">
        <is>
          <t>2024년 08월</t>
        </is>
      </c>
      <c r="E890" s="28" t="n">
        <v>12000</v>
      </c>
      <c r="F890" s="28" t="n">
        <v>12000</v>
      </c>
      <c r="G890" s="29" t="n">
        <v>1</v>
      </c>
      <c r="H890" s="29" t="n">
        <v>240</v>
      </c>
      <c r="I890" s="21" t="inlineStr">
        <is>
          <t>2024</t>
        </is>
      </c>
      <c r="J890" s="21" t="inlineStr">
        <is>
          <t xml:space="preserve"> 0</t>
        </is>
      </c>
      <c r="K890" s="30">
        <f>(E890-F890)/IF(E890&gt;0,E890,1)</f>
        <v/>
      </c>
    </row>
    <row r="891">
      <c r="A891" s="22" t="inlineStr">
        <is>
          <t>실전! RAG 기반 생성형 AI 개발</t>
        </is>
      </c>
      <c r="B891" s="22" t="inlineStr">
        <is>
          <t>데니스 로스먼, 307번역랩, 류광</t>
        </is>
      </c>
      <c r="C891" s="22" t="inlineStr">
        <is>
          <t>위키북스</t>
        </is>
      </c>
      <c r="D891" s="22" t="inlineStr">
        <is>
          <t>2025년 03월</t>
        </is>
      </c>
      <c r="E891" s="28" t="n">
        <v>32000</v>
      </c>
      <c r="F891" s="28" t="n">
        <v>28800</v>
      </c>
      <c r="G891" s="29" t="n">
        <v>0</v>
      </c>
      <c r="H891" s="29" t="n">
        <v>246</v>
      </c>
      <c r="I891" s="21" t="inlineStr">
        <is>
          <t>2025</t>
        </is>
      </c>
      <c r="J891" s="21" t="inlineStr">
        <is>
          <t xml:space="preserve"> 0</t>
        </is>
      </c>
      <c r="K891" s="30">
        <f>(E891-F891)/IF(E891&gt;0,E891,1)</f>
        <v/>
      </c>
    </row>
    <row r="892">
      <c r="A892" s="22" t="inlineStr">
        <is>
          <t>생성형 AI 에듀테크 수업  바로 따라하기</t>
        </is>
      </c>
      <c r="B892" s="22" t="inlineStr">
        <is>
          <t>김정훈, 서유진, 김혜영, 한은진, 방지영, 정보 더 보기/감추기, 김정훈, 서유진, 김혜영, 한은진, 방지영, 주수진</t>
        </is>
      </c>
      <c r="C892" s="22" t="inlineStr">
        <is>
          <t>행복한북창고</t>
        </is>
      </c>
      <c r="D892" s="22" t="inlineStr">
        <is>
          <t>2024년 12월</t>
        </is>
      </c>
      <c r="E892" s="28" t="n">
        <v>30900</v>
      </c>
      <c r="F892" s="28" t="n">
        <v>30900</v>
      </c>
      <c r="G892" s="29" t="n">
        <v>0</v>
      </c>
      <c r="H892" s="29" t="n">
        <v>258</v>
      </c>
      <c r="I892" s="21" t="inlineStr">
        <is>
          <t>2024</t>
        </is>
      </c>
      <c r="J892" s="21" t="inlineStr">
        <is>
          <t xml:space="preserve"> 1</t>
        </is>
      </c>
      <c r="K892" s="30">
        <f>(E892-F892)/IF(E892&gt;0,E892,1)</f>
        <v/>
      </c>
    </row>
    <row r="893">
      <c r="A893" s="22" t="inlineStr">
        <is>
          <t>해석 가능한 AI</t>
        </is>
      </c>
      <c r="B893" s="22" t="inlineStr">
        <is>
          <t>아제이 탐피, 최영재</t>
        </is>
      </c>
      <c r="C893" s="22" t="inlineStr">
        <is>
          <t>에이콘출판사</t>
        </is>
      </c>
      <c r="D893" s="22" t="inlineStr">
        <is>
          <t>2024년 04월</t>
        </is>
      </c>
      <c r="E893" s="28" t="n">
        <v>35000</v>
      </c>
      <c r="F893" s="28" t="n">
        <v>31500</v>
      </c>
      <c r="G893" s="29" t="n">
        <v>0</v>
      </c>
      <c r="H893" s="29" t="n">
        <v>264</v>
      </c>
      <c r="I893" s="21" t="inlineStr">
        <is>
          <t>2024</t>
        </is>
      </c>
      <c r="J893" s="21" t="inlineStr">
        <is>
          <t xml:space="preserve"> 0</t>
        </is>
      </c>
      <c r="K893" s="30">
        <f>(E893-F893)/IF(E893&gt;0,E893,1)</f>
        <v/>
      </c>
    </row>
    <row r="894">
      <c r="A894" s="22" t="inlineStr">
        <is>
          <t>키워드로 완성하는 AI 아트 테크닉 with 미드저니, 니지저니</t>
        </is>
      </c>
      <c r="B894" s="22" t="inlineStr">
        <is>
          <t>권경열</t>
        </is>
      </c>
      <c r="C894" s="22" t="inlineStr">
        <is>
          <t>제이펍</t>
        </is>
      </c>
      <c r="D894" s="22" t="inlineStr">
        <is>
          <t>2024년 02월</t>
        </is>
      </c>
      <c r="E894" s="28" t="n">
        <v>25000</v>
      </c>
      <c r="F894" s="28" t="n">
        <v>22500</v>
      </c>
      <c r="G894" s="29" t="n">
        <v>15</v>
      </c>
      <c r="H894" s="29" t="n">
        <v>246</v>
      </c>
      <c r="I894" s="21" t="inlineStr">
        <is>
          <t>2024</t>
        </is>
      </c>
      <c r="J894" s="21" t="inlineStr">
        <is>
          <t xml:space="preserve"> 0</t>
        </is>
      </c>
      <c r="K894" s="30">
        <f>(E894-F894)/IF(E894&gt;0,E894,1)</f>
        <v/>
      </c>
    </row>
    <row r="895">
      <c r="A895" s="22" t="inlineStr">
        <is>
          <t>스테이블 디퓨전으로 만드는 게임 그래픽</t>
        </is>
      </c>
      <c r="B895" s="22" t="inlineStr">
        <is>
          <t>크로노스 크라운 야나이 마사카즈, 박광수</t>
        </is>
      </c>
      <c r="C895" s="22" t="inlineStr">
        <is>
          <t>한빛미디어</t>
        </is>
      </c>
      <c r="D895" s="22" t="inlineStr">
        <is>
          <t>2024년 01월</t>
        </is>
      </c>
      <c r="E895" s="28" t="n">
        <v>28000</v>
      </c>
      <c r="F895" s="28" t="n">
        <v>25200</v>
      </c>
      <c r="G895" s="29" t="n">
        <v>6</v>
      </c>
      <c r="H895" s="29" t="n">
        <v>222</v>
      </c>
      <c r="I895" s="21" t="inlineStr">
        <is>
          <t>2024</t>
        </is>
      </c>
      <c r="J895" s="21" t="inlineStr">
        <is>
          <t xml:space="preserve"> 0</t>
        </is>
      </c>
      <c r="K895" s="30">
        <f>(E895-F895)/IF(E895&gt;0,E895,1)</f>
        <v/>
      </c>
    </row>
    <row r="896">
      <c r="A896" s="22" t="inlineStr">
        <is>
          <t>챗GPT 활용 영어 공부</t>
        </is>
      </c>
      <c r="B896" s="22" t="inlineStr">
        <is>
          <t>윤근식</t>
        </is>
      </c>
      <c r="C896" s="22" t="inlineStr">
        <is>
          <t>포르체</t>
        </is>
      </c>
      <c r="D896" s="22" t="inlineStr">
        <is>
          <t>2023년 08월</t>
        </is>
      </c>
      <c r="E896" s="28" t="n">
        <v>19000</v>
      </c>
      <c r="F896" s="28" t="n">
        <v>17100</v>
      </c>
      <c r="G896" s="29" t="n">
        <v>20</v>
      </c>
      <c r="H896" s="29" t="n">
        <v>246</v>
      </c>
      <c r="I896" s="21" t="inlineStr">
        <is>
          <t>2023</t>
        </is>
      </c>
      <c r="J896" s="21" t="inlineStr">
        <is>
          <t xml:space="preserve"> 0</t>
        </is>
      </c>
      <c r="K896" s="30">
        <f>(E896-F896)/IF(E896&gt;0,E896,1)</f>
        <v/>
      </c>
    </row>
    <row r="897">
      <c r="A897" s="22" t="inlineStr">
        <is>
          <t>캐글 메달리스트가 알려주는 캐글 노하우</t>
        </is>
      </c>
      <c r="B897" s="22" t="inlineStr">
        <is>
          <t>김태진, 권순환, 김연민, 김현우, 명대우, 정보 더 보기/감추기, 김태진, 권순환, 김연민, 김현우, 명대우, 안수빈, 이유한, 정성훈</t>
        </is>
      </c>
      <c r="C897" s="22" t="inlineStr">
        <is>
          <t>길벗</t>
        </is>
      </c>
      <c r="D897" s="22" t="inlineStr">
        <is>
          <t>2023년 07월</t>
        </is>
      </c>
      <c r="E897" s="28" t="n">
        <v>34000</v>
      </c>
      <c r="F897" s="28" t="n">
        <v>30600</v>
      </c>
      <c r="G897" s="29" t="n">
        <v>18</v>
      </c>
      <c r="H897" s="29" t="n">
        <v>222</v>
      </c>
      <c r="I897" s="21" t="inlineStr">
        <is>
          <t>2023</t>
        </is>
      </c>
      <c r="J897" s="21" t="inlineStr">
        <is>
          <t xml:space="preserve"> 0</t>
        </is>
      </c>
      <c r="K897" s="30">
        <f>(E897-F897)/IF(E897&gt;0,E897,1)</f>
        <v/>
      </c>
    </row>
    <row r="898">
      <c r="A898" s="22" t="inlineStr">
        <is>
          <t>자바와 파이썬으로 만드는 빅데이터 시스템</t>
        </is>
      </c>
      <c r="B898" s="22" t="inlineStr">
        <is>
          <t>황세규</t>
        </is>
      </c>
      <c r="C898" s="22" t="inlineStr">
        <is>
          <t>제이펍</t>
        </is>
      </c>
      <c r="D898" s="22" t="inlineStr">
        <is>
          <t>2023년 05월</t>
        </is>
      </c>
      <c r="E898" s="28" t="n">
        <v>30000</v>
      </c>
      <c r="F898" s="28" t="n">
        <v>27000</v>
      </c>
      <c r="G898" s="29" t="n">
        <v>14</v>
      </c>
      <c r="H898" s="29" t="n">
        <v>222</v>
      </c>
      <c r="I898" s="21" t="inlineStr">
        <is>
          <t>2023</t>
        </is>
      </c>
      <c r="J898" s="21" t="inlineStr">
        <is>
          <t xml:space="preserve"> 0</t>
        </is>
      </c>
      <c r="K898" s="30">
        <f>(E898-F898)/IF(E898&gt;0,E898,1)</f>
        <v/>
      </c>
    </row>
    <row r="899">
      <c r="A899" s="22" t="inlineStr">
        <is>
          <t>만화로 쉽게 배우는 머신러닝</t>
        </is>
      </c>
      <c r="B899" s="22" t="inlineStr">
        <is>
          <t>아라키 마사히로, 김정아, 이강덕</t>
        </is>
      </c>
      <c r="C899" s="22" t="inlineStr">
        <is>
          <t>성안당</t>
        </is>
      </c>
      <c r="D899" s="22" t="inlineStr">
        <is>
          <t>2019년 05월</t>
        </is>
      </c>
      <c r="E899" s="28" t="n">
        <v>15000</v>
      </c>
      <c r="F899" s="28" t="n">
        <v>13500</v>
      </c>
      <c r="G899" s="29" t="n">
        <v>4</v>
      </c>
      <c r="H899" s="29" t="n">
        <v>216</v>
      </c>
      <c r="I899" s="21" t="inlineStr">
        <is>
          <t>2019</t>
        </is>
      </c>
      <c r="J899" s="21" t="inlineStr">
        <is>
          <t xml:space="preserve"> 0</t>
        </is>
      </c>
      <c r="K899" s="30">
        <f>(E899-F899)/IF(E899&gt;0,E899,1)</f>
        <v/>
      </c>
    </row>
    <row r="900">
      <c r="A900" s="22" t="inlineStr">
        <is>
          <t>AI와 패션 산업</t>
        </is>
      </c>
      <c r="B900" s="22" t="inlineStr">
        <is>
          <t>류현석</t>
        </is>
      </c>
      <c r="C900" s="22" t="inlineStr">
        <is>
          <t>커뮤니케이션북스</t>
        </is>
      </c>
      <c r="D900" s="22" t="inlineStr">
        <is>
          <t>2025년 09월</t>
        </is>
      </c>
      <c r="E900" s="28" t="n">
        <v>12000</v>
      </c>
      <c r="F900" s="28" t="n">
        <v>10920</v>
      </c>
      <c r="G900" s="29" t="n">
        <v>0</v>
      </c>
      <c r="H900" s="29" t="n">
        <v>240</v>
      </c>
      <c r="I900" s="21" t="inlineStr">
        <is>
          <t>2025</t>
        </is>
      </c>
      <c r="J900" s="21" t="inlineStr">
        <is>
          <t xml:space="preserve"> 0</t>
        </is>
      </c>
      <c r="K900" s="30">
        <f>(E900-F900)/IF(E900&gt;0,E900,1)</f>
        <v/>
      </c>
    </row>
    <row r="901">
      <c r="A901" s="22" t="inlineStr">
        <is>
          <t>보이는 통계학 with 파이썬</t>
        </is>
      </c>
      <c r="B901" s="22" t="inlineStr">
        <is>
          <t>손원</t>
        </is>
      </c>
      <c r="C901" s="22" t="inlineStr">
        <is>
          <t>한빛아카데미</t>
        </is>
      </c>
      <c r="D901" s="22" t="inlineStr">
        <is>
          <t>2026년 01월</t>
        </is>
      </c>
      <c r="E901" s="28" t="n">
        <v>26000</v>
      </c>
      <c r="F901" s="28" t="n">
        <v>26000</v>
      </c>
      <c r="G901" s="29" t="n">
        <v>0</v>
      </c>
      <c r="H901" s="29" t="n">
        <v>246</v>
      </c>
      <c r="I901" s="21" t="inlineStr">
        <is>
          <t>2026</t>
        </is>
      </c>
      <c r="J901" s="21" t="inlineStr">
        <is>
          <t xml:space="preserve"> 0</t>
        </is>
      </c>
      <c r="K901" s="30">
        <f>(E901-F901)/IF(E901&gt;0,E901,1)</f>
        <v/>
      </c>
    </row>
    <row r="902">
      <c r="A902" s="22" t="inlineStr">
        <is>
          <t>컴퓨터 비전 5/e</t>
        </is>
      </c>
      <c r="B902" s="22" t="inlineStr">
        <is>
          <t>E.R. 데이비스, 전성빈</t>
        </is>
      </c>
      <c r="C902" s="22" t="inlineStr">
        <is>
          <t>에이콘출판사</t>
        </is>
      </c>
      <c r="D902" s="22" t="inlineStr">
        <is>
          <t>2022년 07월</t>
        </is>
      </c>
      <c r="E902" s="28" t="n">
        <v>85000</v>
      </c>
      <c r="F902" s="28" t="n">
        <v>76500</v>
      </c>
      <c r="G902" s="29" t="n">
        <v>3</v>
      </c>
      <c r="H902" s="29" t="n">
        <v>324</v>
      </c>
      <c r="I902" s="21" t="inlineStr">
        <is>
          <t>2022</t>
        </is>
      </c>
      <c r="J902" s="21" t="inlineStr">
        <is>
          <t xml:space="preserve"> 0</t>
        </is>
      </c>
      <c r="K902" s="30">
        <f>(E902-F902)/IF(E902&gt;0,E902,1)</f>
        <v/>
      </c>
    </row>
    <row r="903">
      <c r="A903" s="22" t="inlineStr">
        <is>
          <t>Must Have 머신러닝·딥러닝 문제해결 전략</t>
        </is>
      </c>
      <c r="B903" s="22" t="inlineStr">
        <is>
          <t>신백균</t>
        </is>
      </c>
      <c r="C903" s="22" t="inlineStr">
        <is>
          <t>골든래빗</t>
        </is>
      </c>
      <c r="D903" s="22" t="inlineStr">
        <is>
          <t>2022년 04월</t>
        </is>
      </c>
      <c r="E903" s="28" t="n">
        <v>38000</v>
      </c>
      <c r="F903" s="28" t="n">
        <v>34200</v>
      </c>
      <c r="G903" s="29" t="n">
        <v>2</v>
      </c>
      <c r="H903" s="29" t="n">
        <v>258</v>
      </c>
      <c r="I903" s="21" t="inlineStr">
        <is>
          <t>2022</t>
        </is>
      </c>
      <c r="J903" s="21" t="inlineStr">
        <is>
          <t xml:space="preserve"> 0</t>
        </is>
      </c>
      <c r="K903" s="30">
        <f>(E903-F903)/IF(E903&gt;0,E903,1)</f>
        <v/>
      </c>
    </row>
    <row r="904">
      <c r="A904" s="22" t="inlineStr">
        <is>
          <t>생물정보학 알고리듬 3/e</t>
        </is>
      </c>
      <c r="B904" s="22" t="inlineStr">
        <is>
          <t>필립 콤포, 파벨 페브즈너, 한헌종, 한주현</t>
        </is>
      </c>
      <c r="C904" s="22" t="inlineStr">
        <is>
          <t>에이콘출판사</t>
        </is>
      </c>
      <c r="D904" s="22" t="inlineStr">
        <is>
          <t>2022년 02월</t>
        </is>
      </c>
      <c r="E904" s="28" t="n">
        <v>60000</v>
      </c>
      <c r="F904" s="28" t="n">
        <v>54000</v>
      </c>
      <c r="G904" s="29" t="n">
        <v>3</v>
      </c>
      <c r="H904" s="29" t="n">
        <v>234</v>
      </c>
      <c r="I904" s="21" t="inlineStr">
        <is>
          <t>2022</t>
        </is>
      </c>
      <c r="J904" s="21" t="inlineStr">
        <is>
          <t xml:space="preserve"> 0</t>
        </is>
      </c>
      <c r="K904" s="30">
        <f>(E904-F904)/IF(E904&gt;0,E904,1)</f>
        <v/>
      </c>
    </row>
    <row r="905">
      <c r="A905" s="22" t="inlineStr">
        <is>
          <t>AI가 바꾼 영상제작의 모든 것</t>
        </is>
      </c>
      <c r="B905" s="22" t="inlineStr">
        <is>
          <t>김보승</t>
        </is>
      </c>
      <c r="C905" s="22" t="inlineStr">
        <is>
          <t>BOOKK(부크크)</t>
        </is>
      </c>
      <c r="D905" s="22" t="inlineStr">
        <is>
          <t>2026년 01월</t>
        </is>
      </c>
      <c r="E905" s="28" t="n">
        <v>19000</v>
      </c>
      <c r="F905" s="28" t="n">
        <v>19000</v>
      </c>
      <c r="G905" s="29" t="n">
        <v>0</v>
      </c>
      <c r="H905" s="29" t="n">
        <v>222</v>
      </c>
      <c r="I905" s="21" t="inlineStr">
        <is>
          <t>2026</t>
        </is>
      </c>
      <c r="J905" s="21" t="inlineStr">
        <is>
          <t xml:space="preserve"> 0</t>
        </is>
      </c>
      <c r="K905" s="30">
        <f>(E905-F905)/IF(E905&gt;0,E905,1)</f>
        <v/>
      </c>
    </row>
    <row r="906">
      <c r="A906" s="22" t="inlineStr">
        <is>
          <t>ComfyUI 100선</t>
        </is>
      </c>
      <c r="B906" s="22" t="inlineStr">
        <is>
          <t>조지훈</t>
        </is>
      </c>
      <c r="C906" s="22" t="inlineStr">
        <is>
          <t>비엘북스</t>
        </is>
      </c>
      <c r="D906" s="22" t="inlineStr">
        <is>
          <t>2024년 11월</t>
        </is>
      </c>
      <c r="E906" s="28" t="n">
        <v>33000</v>
      </c>
      <c r="F906" s="28" t="n">
        <v>29700</v>
      </c>
      <c r="G906" s="29" t="n">
        <v>6</v>
      </c>
      <c r="H906" s="29" t="n">
        <v>1314</v>
      </c>
      <c r="I906" s="21" t="inlineStr">
        <is>
          <t>2024</t>
        </is>
      </c>
      <c r="J906" s="21" t="inlineStr">
        <is>
          <t xml:space="preserve"> 1</t>
        </is>
      </c>
      <c r="K906" s="30">
        <f>(E906-F906)/IF(E906&gt;0,E906,1)</f>
        <v/>
      </c>
    </row>
    <row r="907">
      <c r="A907" s="22" t="inlineStr">
        <is>
          <t>부를 창출하는 ChatGPT 활용전략</t>
        </is>
      </c>
      <c r="B907" s="22" t="inlineStr">
        <is>
          <t>정종기</t>
        </is>
      </c>
      <c r="C907" s="22" t="inlineStr">
        <is>
          <t>형설eLife</t>
        </is>
      </c>
      <c r="D907" s="22" t="inlineStr">
        <is>
          <t>2024년 08월</t>
        </is>
      </c>
      <c r="E907" s="28" t="n">
        <v>27000</v>
      </c>
      <c r="F907" s="28" t="n">
        <v>24300</v>
      </c>
      <c r="G907" s="29" t="n">
        <v>0</v>
      </c>
      <c r="H907" s="29" t="n">
        <v>198</v>
      </c>
      <c r="I907" s="21" t="inlineStr">
        <is>
          <t>2024</t>
        </is>
      </c>
      <c r="J907" s="21" t="inlineStr">
        <is>
          <t xml:space="preserve"> 0</t>
        </is>
      </c>
      <c r="K907" s="30">
        <f>(E907-F907)/IF(E907&gt;0,E907,1)</f>
        <v/>
      </c>
    </row>
    <row r="908">
      <c r="A908" s="22" t="inlineStr">
        <is>
          <t>인공지능과 저작권</t>
        </is>
      </c>
      <c r="B908" s="22" t="inlineStr">
        <is>
          <t>최승재</t>
        </is>
      </c>
      <c r="C908" s="22" t="inlineStr">
        <is>
          <t>커뮤니케이션북스</t>
        </is>
      </c>
      <c r="D908" s="22" t="inlineStr">
        <is>
          <t>2024년 06월</t>
        </is>
      </c>
      <c r="E908" s="28" t="n">
        <v>12000</v>
      </c>
      <c r="F908" s="28" t="n">
        <v>12000</v>
      </c>
      <c r="G908" s="29" t="n">
        <v>0</v>
      </c>
      <c r="H908" s="29" t="n">
        <v>174</v>
      </c>
      <c r="I908" s="21" t="inlineStr">
        <is>
          <t>2024</t>
        </is>
      </c>
      <c r="J908" s="21" t="inlineStr">
        <is>
          <t xml:space="preserve"> 0</t>
        </is>
      </c>
      <c r="K908" s="30">
        <f>(E908-F908)/IF(E908&gt;0,E908,1)</f>
        <v/>
      </c>
    </row>
    <row r="909">
      <c r="A909" s="22" t="inlineStr">
        <is>
          <t>생성형 AI로 수업 레벨 업</t>
        </is>
      </c>
      <c r="B909" s="22" t="inlineStr">
        <is>
          <t>최태준, 문담, 최선경, 송세훈, 장세라, 정보 더 보기/감추기, 최태준, 문담, 최선경, 송세훈, 장세라, 김승주</t>
        </is>
      </c>
      <c r="C909" s="22" t="inlineStr">
        <is>
          <t>학교도서관저널</t>
        </is>
      </c>
      <c r="D909" s="22" t="inlineStr">
        <is>
          <t>2024년 06월</t>
        </is>
      </c>
      <c r="E909" s="28" t="n">
        <v>18000</v>
      </c>
      <c r="F909" s="28" t="n">
        <v>16200</v>
      </c>
      <c r="G909" s="29" t="n">
        <v>7</v>
      </c>
      <c r="H909" s="29" t="n">
        <v>348</v>
      </c>
      <c r="I909" s="21" t="inlineStr">
        <is>
          <t>2024</t>
        </is>
      </c>
      <c r="J909" s="21" t="inlineStr">
        <is>
          <t xml:space="preserve"> 0</t>
        </is>
      </c>
      <c r="K909" s="30">
        <f>(E909-F909)/IF(E909&gt;0,E909,1)</f>
        <v/>
      </c>
    </row>
    <row r="910">
      <c r="A910" s="22" t="inlineStr">
        <is>
          <t>XAI, 설명 가능한 AI</t>
        </is>
      </c>
      <c r="B910" s="22" t="inlineStr">
        <is>
          <t>오오쓰보 나오키, 나카에 도시히로, 후카사와 유타, 도요카 쇼, 사카모토 뎃페이, 정보 더 보기/감추기, 오오쓰보 나오키, 나카에 도시히로, 후카사와 유타, 도요카 쇼, 사카모토 뎃페이, 사토 마코토, 이가라시 겐타, 이치하라 다이키, 호리우치 신고, 김대희</t>
        </is>
      </c>
      <c r="C910" s="22" t="inlineStr">
        <is>
          <t>비제이퍼블릭(BJ퍼블릭)</t>
        </is>
      </c>
      <c r="D910" s="22" t="inlineStr">
        <is>
          <t>2022년 11월</t>
        </is>
      </c>
      <c r="E910" s="28" t="n">
        <v>27000</v>
      </c>
      <c r="F910" s="28" t="n">
        <v>24300</v>
      </c>
      <c r="G910" s="29" t="n">
        <v>10</v>
      </c>
      <c r="H910" s="29" t="n">
        <v>210</v>
      </c>
      <c r="I910" s="21" t="inlineStr">
        <is>
          <t>2022</t>
        </is>
      </c>
      <c r="J910" s="21" t="inlineStr">
        <is>
          <t xml:space="preserve"> 1</t>
        </is>
      </c>
      <c r="K910" s="30">
        <f>(E910-F910)/IF(E910&gt;0,E910,1)</f>
        <v/>
      </c>
    </row>
    <row r="911">
      <c r="A911" s="22" t="inlineStr">
        <is>
          <t>엔트리로 인공지능 만들기</t>
        </is>
      </c>
      <c r="B911" s="22" t="inlineStr">
        <is>
          <t>김민정</t>
        </is>
      </c>
      <c r="C911" s="22" t="inlineStr">
        <is>
          <t>마린북스</t>
        </is>
      </c>
      <c r="D911" s="22" t="inlineStr">
        <is>
          <t>2022년 06월</t>
        </is>
      </c>
      <c r="E911" s="28" t="n">
        <v>14000</v>
      </c>
      <c r="F911" s="28" t="n">
        <v>12600</v>
      </c>
      <c r="G911" s="29" t="n">
        <v>0</v>
      </c>
      <c r="H911" s="29" t="n">
        <v>456</v>
      </c>
      <c r="I911" s="21" t="inlineStr">
        <is>
          <t>2022</t>
        </is>
      </c>
      <c r="J911" s="21" t="inlineStr">
        <is>
          <t xml:space="preserve"> 0</t>
        </is>
      </c>
      <c r="K911" s="30">
        <f>(E911-F911)/IF(E911&gt;0,E911,1)</f>
        <v/>
      </c>
    </row>
    <row r="912">
      <c r="A912" s="22" t="inlineStr">
        <is>
          <t>AI와 미술 교육</t>
        </is>
      </c>
      <c r="B912" s="22" t="inlineStr">
        <is>
          <t>손지현</t>
        </is>
      </c>
      <c r="C912" s="22" t="inlineStr">
        <is>
          <t>커뮤니케이션북스</t>
        </is>
      </c>
      <c r="D912" s="22" t="inlineStr">
        <is>
          <t>2025년 09월</t>
        </is>
      </c>
      <c r="E912" s="28" t="n">
        <v>12000</v>
      </c>
      <c r="F912" s="28" t="n">
        <v>12000</v>
      </c>
      <c r="G912" s="29" t="n">
        <v>0</v>
      </c>
      <c r="H912" s="29" t="n">
        <v>216</v>
      </c>
      <c r="I912" s="21" t="inlineStr">
        <is>
          <t>2025</t>
        </is>
      </c>
      <c r="J912" s="21" t="inlineStr">
        <is>
          <t xml:space="preserve"> 0</t>
        </is>
      </c>
      <c r="K912" s="30">
        <f>(E912-F912)/IF(E912&gt;0,E912,1)</f>
        <v/>
      </c>
    </row>
    <row r="913">
      <c r="A913" s="22" t="inlineStr">
        <is>
          <t>AI 리터러시 기초</t>
        </is>
      </c>
      <c r="B913" s="22" t="inlineStr">
        <is>
          <t>Ben Jones</t>
        </is>
      </c>
      <c r="C913" s="22" t="inlineStr">
        <is>
          <t>한국마케팅교육</t>
        </is>
      </c>
      <c r="D913" s="22" t="inlineStr">
        <is>
          <t>2025년 08월</t>
        </is>
      </c>
      <c r="E913" s="28" t="n">
        <v>19800</v>
      </c>
      <c r="F913" s="28" t="n">
        <v>17820</v>
      </c>
      <c r="G913" s="29" t="n">
        <v>0</v>
      </c>
      <c r="H913" s="29" t="n">
        <v>186</v>
      </c>
      <c r="I913" s="21" t="inlineStr">
        <is>
          <t>2025</t>
        </is>
      </c>
      <c r="J913" s="21" t="inlineStr">
        <is>
          <t xml:space="preserve"> 0</t>
        </is>
      </c>
      <c r="K913" s="30">
        <f>(E913-F913)/IF(E913&gt;0,E913,1)</f>
        <v/>
      </c>
    </row>
    <row r="914">
      <c r="A914" s="22" t="inlineStr">
        <is>
          <t>교사를 위한 AI 툴</t>
        </is>
      </c>
      <c r="B914" s="22" t="inlineStr">
        <is>
          <t>임태형</t>
        </is>
      </c>
      <c r="C914" s="22" t="inlineStr">
        <is>
          <t>커뮤니케이션북스</t>
        </is>
      </c>
      <c r="D914" s="22" t="inlineStr">
        <is>
          <t>2025년 05월</t>
        </is>
      </c>
      <c r="E914" s="28" t="n">
        <v>12000</v>
      </c>
      <c r="F914" s="28" t="n">
        <v>12000</v>
      </c>
      <c r="G914" s="29" t="n">
        <v>1</v>
      </c>
      <c r="H914" s="29" t="n">
        <v>186</v>
      </c>
      <c r="I914" s="21" t="inlineStr">
        <is>
          <t>2025</t>
        </is>
      </c>
      <c r="J914" s="21" t="inlineStr">
        <is>
          <t xml:space="preserve"> 0</t>
        </is>
      </c>
      <c r="K914" s="30">
        <f>(E914-F914)/IF(E914&gt;0,E914,1)</f>
        <v/>
      </c>
    </row>
    <row r="915">
      <c r="A915" s="22" t="inlineStr">
        <is>
          <t>생성형 AI 영상 제작</t>
        </is>
      </c>
      <c r="B915" s="22" t="inlineStr">
        <is>
          <t>김광집, 윤권수</t>
        </is>
      </c>
      <c r="C915" s="22" t="inlineStr">
        <is>
          <t>커뮤니케이션북스</t>
        </is>
      </c>
      <c r="D915" s="22" t="inlineStr">
        <is>
          <t>2025년 03월</t>
        </is>
      </c>
      <c r="E915" s="28" t="n">
        <v>12000</v>
      </c>
      <c r="F915" s="28" t="n">
        <v>12000</v>
      </c>
      <c r="G915" s="29" t="n">
        <v>0</v>
      </c>
      <c r="H915" s="29" t="n">
        <v>186</v>
      </c>
      <c r="I915" s="21" t="inlineStr">
        <is>
          <t>2025</t>
        </is>
      </c>
      <c r="J915" s="21" t="inlineStr">
        <is>
          <t xml:space="preserve"> 0</t>
        </is>
      </c>
      <c r="K915" s="30">
        <f>(E915-F915)/IF(E915&gt;0,E915,1)</f>
        <v/>
      </c>
    </row>
    <row r="916">
      <c r="A916" s="22" t="inlineStr">
        <is>
          <t>초등 인공지능 수업 첫걸음</t>
        </is>
      </c>
      <c r="B916" s="22" t="inlineStr">
        <is>
          <t>김소정, 엄주익, 이다정, 이인혁, 이제욱, 정보 더 보기/감추기, 김소정, 엄주익, 이다정, 이인혁, 이제욱, 이혜지, 장형운, 주은영, 하윤주, 홍유원, 유준상</t>
        </is>
      </c>
      <c r="C916" s="22" t="inlineStr">
        <is>
          <t>비상교육</t>
        </is>
      </c>
      <c r="D916" s="22" t="inlineStr">
        <is>
          <t>2023년 07월</t>
        </is>
      </c>
      <c r="E916" s="28" t="n">
        <v>16000</v>
      </c>
      <c r="F916" s="28" t="n">
        <v>15200</v>
      </c>
      <c r="G916" s="29" t="n">
        <v>2</v>
      </c>
      <c r="H916" s="29" t="n">
        <v>210</v>
      </c>
      <c r="I916" s="21" t="inlineStr">
        <is>
          <t>2023</t>
        </is>
      </c>
      <c r="J916" s="21" t="inlineStr">
        <is>
          <t xml:space="preserve"> 0</t>
        </is>
      </c>
      <c r="K916" s="30">
        <f>(E916-F916)/IF(E916&gt;0,E916,1)</f>
        <v/>
      </c>
    </row>
    <row r="917">
      <c r="A917" s="22" t="inlineStr">
        <is>
          <t>인공지능 기반 의료</t>
        </is>
      </c>
      <c r="B917" s="22" t="inlineStr">
        <is>
          <t>앤서니 C. 창, 고석범</t>
        </is>
      </c>
      <c r="C917" s="22" t="inlineStr">
        <is>
          <t>에이콘출판사</t>
        </is>
      </c>
      <c r="D917" s="22" t="inlineStr">
        <is>
          <t>2023년 07월</t>
        </is>
      </c>
      <c r="E917" s="28" t="n">
        <v>60000</v>
      </c>
      <c r="F917" s="28" t="n">
        <v>54000</v>
      </c>
      <c r="G917" s="29" t="n">
        <v>0</v>
      </c>
      <c r="H917" s="29" t="n">
        <v>174</v>
      </c>
      <c r="I917" s="21" t="inlineStr">
        <is>
          <t>2023</t>
        </is>
      </c>
      <c r="J917" s="21" t="inlineStr">
        <is>
          <t xml:space="preserve"> 0</t>
        </is>
      </c>
      <c r="K917" s="30">
        <f>(E917-F917)/IF(E917&gt;0,E917,1)</f>
        <v/>
      </c>
    </row>
    <row r="918">
      <c r="A918" s="22" t="inlineStr">
        <is>
          <t>챗GPT 영어교실</t>
        </is>
      </c>
      <c r="B918" s="22" t="inlineStr">
        <is>
          <t>반병현, 황현목, 이제종</t>
        </is>
      </c>
      <c r="C918" s="22" t="inlineStr">
        <is>
          <t>생능북스</t>
        </is>
      </c>
      <c r="D918" s="22" t="inlineStr">
        <is>
          <t>2023년 07월</t>
        </is>
      </c>
      <c r="E918" s="28" t="n">
        <v>19000</v>
      </c>
      <c r="F918" s="28" t="n">
        <v>17100</v>
      </c>
      <c r="G918" s="29" t="n">
        <v>30</v>
      </c>
      <c r="H918" s="29" t="n">
        <v>186</v>
      </c>
      <c r="I918" s="21" t="inlineStr">
        <is>
          <t>2023</t>
        </is>
      </c>
      <c r="J918" s="21" t="inlineStr">
        <is>
          <t xml:space="preserve"> 0</t>
        </is>
      </c>
      <c r="K918" s="30">
        <f>(E918-F918)/IF(E918&gt;0,E918,1)</f>
        <v/>
      </c>
    </row>
    <row r="919">
      <c r="A919" s="22" t="inlineStr">
        <is>
          <t>자산운용을 위한 금융 머신러닝</t>
        </is>
      </c>
      <c r="B919" s="22" t="inlineStr">
        <is>
          <t>마르코스 로페즈 데 프라도, 이기홍</t>
        </is>
      </c>
      <c r="C919" s="22" t="inlineStr">
        <is>
          <t>에이콘출판사</t>
        </is>
      </c>
      <c r="D919" s="22" t="inlineStr">
        <is>
          <t>2021년 01월</t>
        </is>
      </c>
      <c r="E919" s="28" t="n">
        <v>20000</v>
      </c>
      <c r="F919" s="28" t="n">
        <v>18000</v>
      </c>
      <c r="G919" s="29" t="n">
        <v>1</v>
      </c>
      <c r="H919" s="29" t="n">
        <v>186</v>
      </c>
      <c r="I919" s="21" t="inlineStr">
        <is>
          <t>2021</t>
        </is>
      </c>
      <c r="J919" s="21" t="inlineStr">
        <is>
          <t xml:space="preserve"> 0</t>
        </is>
      </c>
      <c r="K919" s="30">
        <f>(E919-F919)/IF(E919&gt;0,E919,1)</f>
        <v/>
      </c>
    </row>
    <row r="920">
      <c r="A920" s="22" t="inlineStr">
        <is>
          <t>실용 최적화 알고리즘</t>
        </is>
      </c>
      <c r="B920" s="22" t="inlineStr">
        <is>
          <t>마이켈 J. 코첸더퍼, 팀 A. 윌러, 이기홍</t>
        </is>
      </c>
      <c r="C920" s="22" t="inlineStr">
        <is>
          <t>에이콘출판사</t>
        </is>
      </c>
      <c r="D920" s="22" t="inlineStr">
        <is>
          <t>2020년 09월</t>
        </is>
      </c>
      <c r="E920" s="28" t="n">
        <v>40000</v>
      </c>
      <c r="F920" s="28" t="n">
        <v>36000</v>
      </c>
      <c r="G920" s="29" t="n">
        <v>1</v>
      </c>
      <c r="H920" s="29" t="n">
        <v>234</v>
      </c>
      <c r="I920" s="21" t="inlineStr">
        <is>
          <t>2020</t>
        </is>
      </c>
      <c r="J920" s="21" t="inlineStr">
        <is>
          <t xml:space="preserve"> 0</t>
        </is>
      </c>
      <c r="K920" s="30">
        <f>(E920-F920)/IF(E920&gt;0,E920,1)</f>
        <v/>
      </c>
    </row>
    <row r="921">
      <c r="A921" s="22" t="inlineStr">
        <is>
          <t>야사와 만화로 배우는 인공지능 2</t>
        </is>
      </c>
      <c r="B921" s="22" t="inlineStr">
        <is>
          <t>권건우, 허령</t>
        </is>
      </c>
      <c r="C921" s="22" t="inlineStr">
        <is>
          <t>루나파인북스</t>
        </is>
      </c>
      <c r="D921" s="22" t="inlineStr">
        <is>
          <t>2020년 08월</t>
        </is>
      </c>
      <c r="E921" s="28" t="n">
        <v>16000</v>
      </c>
      <c r="F921" s="28" t="n">
        <v>14400</v>
      </c>
      <c r="G921" s="29" t="n">
        <v>1</v>
      </c>
      <c r="H921" s="29" t="n">
        <v>192</v>
      </c>
      <c r="I921" s="21" t="inlineStr">
        <is>
          <t>2020</t>
        </is>
      </c>
      <c r="J921" s="21" t="inlineStr">
        <is>
          <t xml:space="preserve"> 0</t>
        </is>
      </c>
      <c r="K921" s="30">
        <f>(E921-F921)/IF(E921&gt;0,E921,1)</f>
        <v/>
      </c>
    </row>
    <row r="922">
      <c r="A922" s="22" t="inlineStr">
        <is>
          <t>Do it! 첫 인공지능</t>
        </is>
      </c>
      <c r="B922" s="22" t="inlineStr">
        <is>
          <t>이애리</t>
        </is>
      </c>
      <c r="C922" s="22" t="inlineStr">
        <is>
          <t>이지스퍼블리싱</t>
        </is>
      </c>
      <c r="D922" s="22" t="inlineStr">
        <is>
          <t>2022년 04월</t>
        </is>
      </c>
      <c r="E922" s="28" t="n">
        <v>13000</v>
      </c>
      <c r="F922" s="28" t="n">
        <v>11700</v>
      </c>
      <c r="G922" s="29" t="n">
        <v>8</v>
      </c>
      <c r="H922" s="29" t="n">
        <v>342</v>
      </c>
      <c r="I922" s="21" t="inlineStr">
        <is>
          <t>2022</t>
        </is>
      </c>
      <c r="J922" s="21" t="inlineStr">
        <is>
          <t xml:space="preserve"> 0</t>
        </is>
      </c>
      <c r="K922" s="30">
        <f>(E922-F922)/IF(E922&gt;0,E922,1)</f>
        <v/>
      </c>
    </row>
    <row r="923">
      <c r="A923" s="22" t="inlineStr">
        <is>
          <t>AI에게 나를 묻다</t>
        </is>
      </c>
      <c r="B923" s="22" t="inlineStr">
        <is>
          <t>김가원, 정민주</t>
        </is>
      </c>
      <c r="C923" s="22" t="inlineStr">
        <is>
          <t>처음북스(CheomBooks)</t>
        </is>
      </c>
      <c r="D923" s="22" t="inlineStr">
        <is>
          <t>2026년 02월</t>
        </is>
      </c>
      <c r="E923" s="28" t="n">
        <v>18000</v>
      </c>
      <c r="F923" s="28" t="n">
        <v>16200</v>
      </c>
      <c r="G923" s="29" t="n">
        <v>22</v>
      </c>
      <c r="H923" s="29" t="n">
        <v>174</v>
      </c>
      <c r="I923" s="21" t="inlineStr">
        <is>
          <t>2026</t>
        </is>
      </c>
      <c r="J923" s="21" t="inlineStr">
        <is>
          <t xml:space="preserve"> 0</t>
        </is>
      </c>
      <c r="K923" s="30">
        <f>(E923-F923)/IF(E923&gt;0,E923,1)</f>
        <v/>
      </c>
    </row>
    <row r="924">
      <c r="A924" s="22" t="inlineStr">
        <is>
          <t>AI와 사이버 보안</t>
        </is>
      </c>
      <c r="B924" s="22" t="inlineStr">
        <is>
          <t>이승은</t>
        </is>
      </c>
      <c r="C924" s="22" t="inlineStr">
        <is>
          <t>커뮤니케이션북스</t>
        </is>
      </c>
      <c r="D924" s="22" t="inlineStr">
        <is>
          <t>2025년 06월</t>
        </is>
      </c>
      <c r="E924" s="28" t="n">
        <v>12000</v>
      </c>
      <c r="F924" s="28" t="n">
        <v>12000</v>
      </c>
      <c r="G924" s="29" t="n">
        <v>0</v>
      </c>
      <c r="H924" s="29" t="n">
        <v>168</v>
      </c>
      <c r="I924" s="21" t="inlineStr">
        <is>
          <t>2025</t>
        </is>
      </c>
      <c r="J924" s="21" t="inlineStr">
        <is>
          <t xml:space="preserve"> 0</t>
        </is>
      </c>
      <c r="K924" s="30">
        <f>(E924-F924)/IF(E924&gt;0,E924,1)</f>
        <v/>
      </c>
    </row>
    <row r="925">
      <c r="A925" s="22" t="inlineStr">
        <is>
          <t>AI는 어떻게 예술이 되는가</t>
        </is>
      </c>
      <c r="B925" s="22" t="inlineStr">
        <is>
          <t>라이언 오슬링, 박선주, 박승순, 안소정, 양나리, 정보 더 보기/감추기, 라이언 오슬링, 박선주, 박승순, 안소정, 양나리, 조영각, 권한슬, 구도형</t>
        </is>
      </c>
      <c r="C925" s="22" t="inlineStr">
        <is>
          <t>스튜디오사월</t>
        </is>
      </c>
      <c r="D925" s="22" t="inlineStr">
        <is>
          <t>2024년 10월</t>
        </is>
      </c>
      <c r="E925" s="28" t="n">
        <v>20000</v>
      </c>
      <c r="F925" s="28" t="n">
        <v>18000</v>
      </c>
      <c r="G925" s="29" t="n">
        <v>2</v>
      </c>
      <c r="H925" s="29" t="n">
        <v>162</v>
      </c>
      <c r="I925" s="21" t="inlineStr">
        <is>
          <t>2024</t>
        </is>
      </c>
      <c r="J925" s="21" t="inlineStr">
        <is>
          <t xml:space="preserve"> 1</t>
        </is>
      </c>
      <c r="K925" s="30">
        <f>(E925-F925)/IF(E925&gt;0,E925,1)</f>
        <v/>
      </c>
    </row>
    <row r="926">
      <c r="A926" s="22" t="inlineStr">
        <is>
          <t>AI 트루스</t>
        </is>
      </c>
      <c r="B926" s="22" t="inlineStr">
        <is>
          <t>임백준</t>
        </is>
      </c>
      <c r="C926" s="22" t="inlineStr">
        <is>
          <t>한빛미디어</t>
        </is>
      </c>
      <c r="D926" s="22" t="inlineStr">
        <is>
          <t>2024년 08월</t>
        </is>
      </c>
      <c r="E926" s="28" t="n">
        <v>19800</v>
      </c>
      <c r="F926" s="28" t="n">
        <v>17820</v>
      </c>
      <c r="G926" s="29" t="n">
        <v>41</v>
      </c>
      <c r="H926" s="29" t="n">
        <v>204</v>
      </c>
      <c r="I926" s="21" t="inlineStr">
        <is>
          <t>2024</t>
        </is>
      </c>
      <c r="J926" s="21" t="inlineStr">
        <is>
          <t xml:space="preserve"> 0</t>
        </is>
      </c>
      <c r="K926" s="30">
        <f>(E926-F926)/IF(E926&gt;0,E926,1)</f>
        <v/>
      </c>
    </row>
    <row r="927">
      <c r="A927" s="22" t="inlineStr">
        <is>
          <t>텔로에듀 TT 드론코딩 AtoZ</t>
        </is>
      </c>
      <c r="B927" s="22" t="inlineStr">
        <is>
          <t>김형준, 김태훈, 우현호, 부유덕, 서일수</t>
        </is>
      </c>
      <c r="C927" s="22" t="inlineStr">
        <is>
          <t>구미서관</t>
        </is>
      </c>
      <c r="D927" s="22" t="inlineStr">
        <is>
          <t>2022년 01월</t>
        </is>
      </c>
      <c r="E927" s="28" t="n">
        <v>23000</v>
      </c>
      <c r="F927" s="28" t="n">
        <v>23000</v>
      </c>
      <c r="G927" s="29" t="n">
        <v>0</v>
      </c>
      <c r="H927" s="29" t="n">
        <v>240</v>
      </c>
      <c r="I927" s="21" t="inlineStr">
        <is>
          <t>2022</t>
        </is>
      </c>
      <c r="J927" s="21" t="inlineStr">
        <is>
          <t xml:space="preserve"> 0</t>
        </is>
      </c>
      <c r="K927" s="30">
        <f>(E927-F927)/IF(E927&gt;0,E927,1)</f>
        <v/>
      </c>
    </row>
    <row r="928">
      <c r="A928" s="22" t="inlineStr">
        <is>
          <t>AI 디지털리터러시 전문가 남기종,장소영의 스마트폰 AI 챗GPT 사용 길라잡이</t>
        </is>
      </c>
      <c r="B928" s="22" t="inlineStr">
        <is>
          <t>남기종, 장소영</t>
        </is>
      </c>
      <c r="C928" s="22" t="inlineStr">
        <is>
          <t>디지털콘텐츠그룹</t>
        </is>
      </c>
      <c r="D928" s="22" t="inlineStr">
        <is>
          <t>2025년 05월</t>
        </is>
      </c>
      <c r="E928" s="28" t="n">
        <v>18000</v>
      </c>
      <c r="F928" s="28" t="n">
        <v>16200</v>
      </c>
      <c r="G928" s="29" t="n">
        <v>0</v>
      </c>
      <c r="H928" s="29" t="n">
        <v>138</v>
      </c>
      <c r="I928" s="21" t="inlineStr">
        <is>
          <t>2025</t>
        </is>
      </c>
      <c r="J928" s="21" t="inlineStr">
        <is>
          <t xml:space="preserve"> 0</t>
        </is>
      </c>
      <c r="K928" s="30">
        <f>(E928-F928)/IF(E928&gt;0,E928,1)</f>
        <v/>
      </c>
    </row>
    <row r="929">
      <c r="A929" s="22" t="inlineStr">
        <is>
          <t>ECMiner™로 시작하는 인공지능 분석</t>
        </is>
      </c>
      <c r="B929" s="22" t="inlineStr">
        <is>
          <t>민광기, 이혜선, 이근철, 고영명, 최숙, 정보 더 보기/감추기, 민광기, 이혜선, 이근철, 고영명, 최숙, 김삼용</t>
        </is>
      </c>
      <c r="C929" s="22" t="inlineStr">
        <is>
          <t>자유아카데미</t>
        </is>
      </c>
      <c r="D929" s="22" t="inlineStr">
        <is>
          <t>2026년 03월</t>
        </is>
      </c>
      <c r="E929" s="28" t="n">
        <v>33000</v>
      </c>
      <c r="F929" s="28" t="n">
        <v>33000</v>
      </c>
      <c r="G929" s="29" t="n">
        <v>0</v>
      </c>
      <c r="H929" s="29" t="n">
        <v>162</v>
      </c>
      <c r="I929" s="21" t="inlineStr">
        <is>
          <t>2026</t>
        </is>
      </c>
      <c r="J929" s="21" t="inlineStr">
        <is>
          <t xml:space="preserve"> 0</t>
        </is>
      </c>
      <c r="K929" s="30">
        <f>(E929-F929)/IF(E929&gt;0,E929,1)</f>
        <v/>
      </c>
    </row>
    <row r="930">
      <c r="A930" s="22" t="inlineStr">
        <is>
          <t>으뜸 머신러닝</t>
        </is>
      </c>
      <c r="B930" s="22" t="inlineStr">
        <is>
          <t>강영민, 박동규, 김성수</t>
        </is>
      </c>
      <c r="C930" s="22" t="inlineStr">
        <is>
          <t>생능출판사</t>
        </is>
      </c>
      <c r="D930" s="22" t="inlineStr">
        <is>
          <t>2026년 02월</t>
        </is>
      </c>
      <c r="E930" s="28" t="n">
        <v>34000</v>
      </c>
      <c r="F930" s="28" t="n">
        <v>34000</v>
      </c>
      <c r="G930" s="29" t="n">
        <v>0</v>
      </c>
      <c r="H930" s="29" t="n">
        <v>147</v>
      </c>
      <c r="I930" s="21" t="inlineStr">
        <is>
          <t>2026</t>
        </is>
      </c>
      <c r="J930" s="21" t="inlineStr">
        <is>
          <t xml:space="preserve"> 0</t>
        </is>
      </c>
      <c r="K930" s="30">
        <f>(E930-F930)/IF(E930&gt;0,E930,1)</f>
        <v/>
      </c>
    </row>
    <row r="931">
      <c r="A931" s="22" t="inlineStr">
        <is>
          <t>학교에서 바라본 사고하는 AI 리터러시 교육</t>
        </is>
      </c>
      <c r="B931" s="22" t="inlineStr">
        <is>
          <t>신하은</t>
        </is>
      </c>
      <c r="C931" s="22" t="inlineStr">
        <is>
          <t>커뮤니케이션북스</t>
        </is>
      </c>
      <c r="D931" s="22" t="inlineStr">
        <is>
          <t>2026년 01월</t>
        </is>
      </c>
      <c r="E931" s="28" t="n">
        <v>12000</v>
      </c>
      <c r="F931" s="28" t="n">
        <v>12000</v>
      </c>
      <c r="G931" s="29" t="n">
        <v>0</v>
      </c>
      <c r="H931" s="29" t="n">
        <v>126</v>
      </c>
      <c r="I931" s="21" t="inlineStr">
        <is>
          <t>2026</t>
        </is>
      </c>
      <c r="J931" s="21" t="inlineStr">
        <is>
          <t xml:space="preserve"> 0</t>
        </is>
      </c>
      <c r="K931" s="30">
        <f>(E931-F931)/IF(E931&gt;0,E931,1)</f>
        <v/>
      </c>
    </row>
    <row r="932">
      <c r="A932" s="22" t="inlineStr">
        <is>
          <t>AI와 도시 계획</t>
        </is>
      </c>
      <c r="B932" s="22" t="inlineStr">
        <is>
          <t>이희정</t>
        </is>
      </c>
      <c r="C932" s="22" t="inlineStr">
        <is>
          <t>커뮤니케이션북스</t>
        </is>
      </c>
      <c r="D932" s="22" t="inlineStr">
        <is>
          <t>2026년 01월</t>
        </is>
      </c>
      <c r="E932" s="28" t="n">
        <v>12000</v>
      </c>
      <c r="F932" s="28" t="n">
        <v>12000</v>
      </c>
      <c r="G932" s="29" t="n">
        <v>2</v>
      </c>
      <c r="H932" s="29" t="n">
        <v>132</v>
      </c>
      <c r="I932" s="21" t="inlineStr">
        <is>
          <t>2026</t>
        </is>
      </c>
      <c r="J932" s="21" t="inlineStr">
        <is>
          <t xml:space="preserve"> 0</t>
        </is>
      </c>
      <c r="K932" s="30">
        <f>(E932-F932)/IF(E932&gt;0,E932,1)</f>
        <v/>
      </c>
    </row>
    <row r="933">
      <c r="A933" s="22" t="inlineStr">
        <is>
          <t>ChatGPT와 아두이노로 만드는 AI 음성비서</t>
        </is>
      </c>
      <c r="B933" s="22" t="inlineStr">
        <is>
          <t>장문철</t>
        </is>
      </c>
      <c r="C933" s="22" t="inlineStr">
        <is>
          <t>먼슬리북스</t>
        </is>
      </c>
      <c r="D933" s="22" t="inlineStr">
        <is>
          <t>2026년 01월</t>
        </is>
      </c>
      <c r="E933" s="28" t="n">
        <v>19500</v>
      </c>
      <c r="F933" s="28" t="n">
        <v>17550</v>
      </c>
      <c r="G933" s="29" t="n">
        <v>9</v>
      </c>
      <c r="H933" s="29" t="n">
        <v>162</v>
      </c>
      <c r="I933" s="21" t="inlineStr">
        <is>
          <t>2026</t>
        </is>
      </c>
      <c r="J933" s="21" t="inlineStr">
        <is>
          <t xml:space="preserve"> 0</t>
        </is>
      </c>
      <c r="K933" s="30">
        <f>(E933-F933)/IF(E933&gt;0,E933,1)</f>
        <v/>
      </c>
    </row>
    <row r="934">
      <c r="A934" s="22" t="inlineStr">
        <is>
          <t>기업의 생존! AI 트랜스포메이션</t>
        </is>
      </c>
      <c r="B934" s="22" t="inlineStr">
        <is>
          <t>정종기</t>
        </is>
      </c>
      <c r="C934" s="22" t="inlineStr">
        <is>
          <t>형설eLife</t>
        </is>
      </c>
      <c r="D934" s="22" t="inlineStr">
        <is>
          <t>2025년 03월</t>
        </is>
      </c>
      <c r="E934" s="28" t="n">
        <v>27000</v>
      </c>
      <c r="F934" s="28" t="n">
        <v>25650</v>
      </c>
      <c r="G934" s="29" t="n">
        <v>0</v>
      </c>
      <c r="H934" s="29" t="n">
        <v>162</v>
      </c>
      <c r="I934" s="21" t="inlineStr">
        <is>
          <t>2025</t>
        </is>
      </c>
      <c r="J934" s="21" t="inlineStr">
        <is>
          <t xml:space="preserve"> 0</t>
        </is>
      </c>
      <c r="K934" s="30">
        <f>(E934-F934)/IF(E934&gt;0,E934,1)</f>
        <v/>
      </c>
    </row>
    <row r="935">
      <c r="A935" s="22" t="inlineStr">
        <is>
          <t>AI, 결국 인간이 써야 한다</t>
        </is>
      </c>
      <c r="B935" s="22" t="inlineStr">
        <is>
          <t>이석현</t>
        </is>
      </c>
      <c r="C935" s="22" t="inlineStr">
        <is>
          <t>아이콕스(iCox)</t>
        </is>
      </c>
      <c r="D935" s="22" t="inlineStr">
        <is>
          <t>2024년 12월</t>
        </is>
      </c>
      <c r="E935" s="28" t="n">
        <v>24000</v>
      </c>
      <c r="F935" s="28" t="n">
        <v>21600</v>
      </c>
      <c r="G935" s="29" t="n">
        <v>13</v>
      </c>
      <c r="H935" s="29" t="n">
        <v>138</v>
      </c>
      <c r="I935" s="21" t="inlineStr">
        <is>
          <t>2024</t>
        </is>
      </c>
      <c r="J935" s="21" t="inlineStr">
        <is>
          <t xml:space="preserve"> 1</t>
        </is>
      </c>
      <c r="K935" s="30">
        <f>(E935-F935)/IF(E935&gt;0,E935,1)</f>
        <v/>
      </c>
    </row>
    <row r="936">
      <c r="A936" s="22" t="inlineStr">
        <is>
          <t>AI를 활용한 쉬운 미디어 콘텐츠 제작하기!</t>
        </is>
      </c>
      <c r="B936" s="22" t="inlineStr">
        <is>
          <t>장세인</t>
        </is>
      </c>
      <c r="C936" s="22" t="inlineStr">
        <is>
          <t>위메이크북</t>
        </is>
      </c>
      <c r="D936" s="22" t="inlineStr">
        <is>
          <t>2024년 07월</t>
        </is>
      </c>
      <c r="E936" s="28" t="n">
        <v>22000</v>
      </c>
      <c r="F936" s="28" t="n">
        <v>19800</v>
      </c>
      <c r="G936" s="29" t="n">
        <v>0</v>
      </c>
      <c r="H936" s="29" t="n">
        <v>126</v>
      </c>
      <c r="I936" s="21" t="inlineStr">
        <is>
          <t>2024</t>
        </is>
      </c>
      <c r="J936" s="21" t="inlineStr">
        <is>
          <t xml:space="preserve"> 0</t>
        </is>
      </c>
      <c r="K936" s="30">
        <f>(E936-F936)/IF(E936&gt;0,E936,1)</f>
        <v/>
      </c>
    </row>
    <row r="937">
      <c r="A937" s="22" t="inlineStr">
        <is>
          <t>인공지능의 어두운 그림자</t>
        </is>
      </c>
      <c r="B937" s="22" t="inlineStr">
        <is>
          <t>김창익</t>
        </is>
      </c>
      <c r="C937" s="22" t="inlineStr">
        <is>
          <t>홍릉</t>
        </is>
      </c>
      <c r="D937" s="22" t="inlineStr">
        <is>
          <t>2024년 07월</t>
        </is>
      </c>
      <c r="E937" s="28" t="n">
        <v>21000</v>
      </c>
      <c r="F937" s="28" t="n">
        <v>21000</v>
      </c>
      <c r="G937" s="29" t="n">
        <v>0</v>
      </c>
      <c r="H937" s="29" t="n">
        <v>168</v>
      </c>
      <c r="I937" s="21" t="inlineStr">
        <is>
          <t>2024</t>
        </is>
      </c>
      <c r="J937" s="21" t="inlineStr">
        <is>
          <t xml:space="preserve"> 0</t>
        </is>
      </c>
      <c r="K937" s="30">
        <f>(E937-F937)/IF(E937&gt;0,E937,1)</f>
        <v/>
      </c>
    </row>
    <row r="938">
      <c r="A938" s="22" t="inlineStr">
        <is>
          <t>머신러닝을 위한 효율적 데이터 레이블링</t>
        </is>
      </c>
      <c r="B938" s="22" t="inlineStr">
        <is>
          <t>로버트 (먼로) 모나크, 김택구, 제갈호준</t>
        </is>
      </c>
      <c r="C938" s="22" t="inlineStr">
        <is>
          <t>에이콘출판사</t>
        </is>
      </c>
      <c r="D938" s="22" t="inlineStr">
        <is>
          <t>2023년 12월</t>
        </is>
      </c>
      <c r="E938" s="28" t="n">
        <v>40000</v>
      </c>
      <c r="F938" s="28" t="n">
        <v>36000</v>
      </c>
      <c r="G938" s="29" t="n">
        <v>0</v>
      </c>
      <c r="H938" s="29" t="n">
        <v>156</v>
      </c>
      <c r="I938" s="21" t="inlineStr">
        <is>
          <t>2023</t>
        </is>
      </c>
      <c r="J938" s="21" t="inlineStr">
        <is>
          <t xml:space="preserve"> 1</t>
        </is>
      </c>
      <c r="K938" s="30">
        <f>(E938-F938)/IF(E938&gt;0,E938,1)</f>
        <v/>
      </c>
    </row>
    <row r="939">
      <c r="A939" s="22" t="inlineStr">
        <is>
          <t>AI로 가속하는 일의 효율화</t>
        </is>
      </c>
      <c r="B939" s="22" t="inlineStr">
        <is>
          <t>하이토 겐고, 콘텐츠 연구소</t>
        </is>
      </c>
      <c r="C939" s="22" t="inlineStr">
        <is>
          <t>정보문화사</t>
        </is>
      </c>
      <c r="D939" s="22" t="inlineStr">
        <is>
          <t>2026년 04월</t>
        </is>
      </c>
      <c r="E939" s="28" t="n">
        <v>16800</v>
      </c>
      <c r="F939" s="28" t="n">
        <v>15120</v>
      </c>
      <c r="G939" s="29" t="n">
        <v>20</v>
      </c>
      <c r="H939" s="29" t="n">
        <v>126</v>
      </c>
      <c r="I939" s="21" t="inlineStr">
        <is>
          <t>2026</t>
        </is>
      </c>
      <c r="J939" s="21" t="inlineStr">
        <is>
          <t xml:space="preserve"> 0</t>
        </is>
      </c>
      <c r="K939" s="30">
        <f>(E939-F939)/IF(E939&gt;0,E939,1)</f>
        <v/>
      </c>
    </row>
    <row r="940">
      <c r="A940" s="22" t="inlineStr">
        <is>
          <t>AI 시대의 문화예술 읽기</t>
        </is>
      </c>
      <c r="B940" s="22" t="inlineStr">
        <is>
          <t>강석태, 최석영</t>
        </is>
      </c>
      <c r="C940" s="22" t="inlineStr">
        <is>
          <t>BOOKK(부크크)</t>
        </is>
      </c>
      <c r="D940" s="22" t="inlineStr">
        <is>
          <t>2026년 03월</t>
        </is>
      </c>
      <c r="E940" s="28" t="n">
        <v>16800</v>
      </c>
      <c r="F940" s="28" t="n">
        <v>16800</v>
      </c>
      <c r="G940" s="29" t="n">
        <v>2</v>
      </c>
      <c r="H940" s="29" t="n">
        <v>174</v>
      </c>
      <c r="I940" s="21" t="inlineStr">
        <is>
          <t>2026</t>
        </is>
      </c>
      <c r="J940" s="21" t="inlineStr">
        <is>
          <t xml:space="preserve"> 0</t>
        </is>
      </c>
      <c r="K940" s="30">
        <f>(E940-F940)/IF(E940&gt;0,E940,1)</f>
        <v/>
      </c>
    </row>
    <row r="941">
      <c r="A941" s="22" t="inlineStr">
        <is>
          <t>AI 부동산 경매</t>
        </is>
      </c>
      <c r="B941" s="22" t="inlineStr">
        <is>
          <t>이주왕, 오연재</t>
        </is>
      </c>
      <c r="C941" s="22" t="inlineStr">
        <is>
          <t>커뮤니케이션북스</t>
        </is>
      </c>
      <c r="D941" s="22" t="inlineStr">
        <is>
          <t>2026년 03월</t>
        </is>
      </c>
      <c r="E941" s="28" t="n">
        <v>12000</v>
      </c>
      <c r="F941" s="28" t="n">
        <v>12000</v>
      </c>
      <c r="G941" s="29" t="n">
        <v>0</v>
      </c>
      <c r="H941" s="29" t="n">
        <v>126</v>
      </c>
      <c r="I941" s="21" t="inlineStr">
        <is>
          <t>2026</t>
        </is>
      </c>
      <c r="J941" s="21" t="inlineStr">
        <is>
          <t xml:space="preserve"> 0</t>
        </is>
      </c>
      <c r="K941" s="30">
        <f>(E941-F941)/IF(E941&gt;0,E941,1)</f>
        <v/>
      </c>
    </row>
    <row r="942">
      <c r="A942" s="22" t="inlineStr">
        <is>
          <t>생성형 AI</t>
        </is>
      </c>
      <c r="B942" s="22" t="inlineStr">
        <is>
          <t>이운성</t>
        </is>
      </c>
      <c r="C942" s="22" t="inlineStr">
        <is>
          <t>살림출판사</t>
        </is>
      </c>
      <c r="D942" s="22" t="inlineStr">
        <is>
          <t>2026년 03월</t>
        </is>
      </c>
      <c r="E942" s="28" t="n">
        <v>9800</v>
      </c>
      <c r="F942" s="28" t="n">
        <v>8820</v>
      </c>
      <c r="G942" s="29" t="n">
        <v>0</v>
      </c>
      <c r="H942" s="29" t="n">
        <v>138</v>
      </c>
      <c r="I942" s="21" t="inlineStr">
        <is>
          <t>2026</t>
        </is>
      </c>
      <c r="J942" s="21" t="inlineStr">
        <is>
          <t xml:space="preserve"> 0</t>
        </is>
      </c>
      <c r="K942" s="30">
        <f>(E942-F942)/IF(E942&gt;0,E942,1)</f>
        <v/>
      </c>
    </row>
    <row r="943">
      <c r="A943" s="22" t="inlineStr">
        <is>
          <t>AI 혁명, 직업의 미래</t>
        </is>
      </c>
      <c r="B943" s="22" t="inlineStr">
        <is>
          <t>이재광</t>
        </is>
      </c>
      <c r="C943" s="22" t="inlineStr">
        <is>
          <t>지식서관</t>
        </is>
      </c>
      <c r="D943" s="22" t="inlineStr">
        <is>
          <t>2026년 03월</t>
        </is>
      </c>
      <c r="E943" s="28" t="n">
        <v>21500</v>
      </c>
      <c r="F943" s="28" t="n">
        <v>19350</v>
      </c>
      <c r="G943" s="29" t="n">
        <v>0</v>
      </c>
      <c r="H943" s="29" t="n">
        <v>126</v>
      </c>
      <c r="I943" s="21" t="inlineStr">
        <is>
          <t>2026</t>
        </is>
      </c>
      <c r="J943" s="21" t="inlineStr">
        <is>
          <t xml:space="preserve"> 0</t>
        </is>
      </c>
      <c r="K943" s="30">
        <f>(E943-F943)/IF(E943&gt;0,E943,1)</f>
        <v/>
      </c>
    </row>
    <row r="944">
      <c r="A944" s="22" t="inlineStr">
        <is>
          <t>구글 생태계로의 새로운 여정 AI 빅뱅, Gemini</t>
        </is>
      </c>
      <c r="B944" s="22" t="inlineStr">
        <is>
          <t>박정근, 김준표</t>
        </is>
      </c>
      <c r="C944" s="22" t="inlineStr">
        <is>
          <t>아이스토리125(istory125)</t>
        </is>
      </c>
      <c r="D944" s="22" t="inlineStr">
        <is>
          <t>2026년 02월</t>
        </is>
      </c>
      <c r="E944" s="28" t="n">
        <v>29000</v>
      </c>
      <c r="F944" s="28" t="n">
        <v>26100</v>
      </c>
      <c r="G944" s="29" t="n">
        <v>0</v>
      </c>
      <c r="H944" s="29" t="n">
        <v>276</v>
      </c>
      <c r="I944" s="21" t="inlineStr">
        <is>
          <t>2026</t>
        </is>
      </c>
      <c r="J944" s="21" t="inlineStr">
        <is>
          <t xml:space="preserve"> 0</t>
        </is>
      </c>
      <c r="K944" s="30">
        <f>(E944-F944)/IF(E944&gt;0,E944,1)</f>
        <v/>
      </c>
    </row>
    <row r="945">
      <c r="A945" s="22" t="inlineStr">
        <is>
          <t>지금 안 배우면 뒤처진다, AI 공부법</t>
        </is>
      </c>
      <c r="B945" s="22" t="inlineStr">
        <is>
          <t>권성민</t>
        </is>
      </c>
      <c r="C945" s="22" t="inlineStr">
        <is>
          <t>STA</t>
        </is>
      </c>
      <c r="D945" s="22" t="inlineStr">
        <is>
          <t>2025년 11월</t>
        </is>
      </c>
      <c r="E945" s="28" t="n">
        <v>29000</v>
      </c>
      <c r="F945" s="28" t="n">
        <v>27550</v>
      </c>
      <c r="G945" s="29" t="n">
        <v>1</v>
      </c>
      <c r="H945" s="29" t="n">
        <v>144</v>
      </c>
      <c r="I945" s="21" t="inlineStr">
        <is>
          <t>2025</t>
        </is>
      </c>
      <c r="J945" s="21" t="inlineStr">
        <is>
          <t xml:space="preserve"> 1</t>
        </is>
      </c>
      <c r="K945" s="30">
        <f>(E945-F945)/IF(E945&gt;0,E945,1)</f>
        <v/>
      </c>
    </row>
    <row r="946">
      <c r="A946" s="22" t="inlineStr">
        <is>
          <t>AI 위험사회와 정치</t>
        </is>
      </c>
      <c r="B946" s="22" t="inlineStr">
        <is>
          <t>최윤재</t>
        </is>
      </c>
      <c r="C946" s="22" t="inlineStr">
        <is>
          <t>커뮤니케이션북스</t>
        </is>
      </c>
      <c r="D946" s="22" t="inlineStr">
        <is>
          <t>2025년 11월</t>
        </is>
      </c>
      <c r="E946" s="28" t="n">
        <v>12000</v>
      </c>
      <c r="F946" s="28" t="n">
        <v>12000</v>
      </c>
      <c r="G946" s="29" t="n">
        <v>0</v>
      </c>
      <c r="H946" s="29" t="n">
        <v>144</v>
      </c>
      <c r="I946" s="21" t="inlineStr">
        <is>
          <t>2025</t>
        </is>
      </c>
      <c r="J946" s="21" t="inlineStr">
        <is>
          <t xml:space="preserve"> 1</t>
        </is>
      </c>
      <c r="K946" s="30">
        <f>(E946-F946)/IF(E946&gt;0,E946,1)</f>
        <v/>
      </c>
    </row>
    <row r="947">
      <c r="A947" s="22" t="inlineStr">
        <is>
          <t>AI 음악 생성기, 수노</t>
        </is>
      </c>
      <c r="B947" s="22" t="inlineStr">
        <is>
          <t>박은비, 양종모</t>
        </is>
      </c>
      <c r="C947" s="22" t="inlineStr">
        <is>
          <t>커뮤니케이션북스</t>
        </is>
      </c>
      <c r="D947" s="22" t="inlineStr">
        <is>
          <t>2025년 10월</t>
        </is>
      </c>
      <c r="E947" s="28" t="n">
        <v>12000</v>
      </c>
      <c r="F947" s="28" t="n">
        <v>12000</v>
      </c>
      <c r="G947" s="29" t="n">
        <v>0</v>
      </c>
      <c r="H947" s="29" t="n">
        <v>171</v>
      </c>
      <c r="I947" s="21" t="inlineStr">
        <is>
          <t>2025</t>
        </is>
      </c>
      <c r="J947" s="21" t="inlineStr">
        <is>
          <t xml:space="preserve"> 1</t>
        </is>
      </c>
      <c r="K947" s="30">
        <f>(E947-F947)/IF(E947&gt;0,E947,1)</f>
        <v/>
      </c>
    </row>
    <row r="948">
      <c r="A948" s="22" t="inlineStr">
        <is>
          <t>AI 도서관 트렌드</t>
        </is>
      </c>
      <c r="B948" s="22" t="inlineStr">
        <is>
          <t>김지영</t>
        </is>
      </c>
      <c r="C948" s="22" t="inlineStr">
        <is>
          <t>커뮤니케이션북스</t>
        </is>
      </c>
      <c r="D948" s="22" t="inlineStr">
        <is>
          <t>2025년 10월</t>
        </is>
      </c>
      <c r="E948" s="28" t="n">
        <v>12000</v>
      </c>
      <c r="F948" s="28" t="n">
        <v>11400</v>
      </c>
      <c r="G948" s="29" t="n">
        <v>0</v>
      </c>
      <c r="H948" s="29" t="n">
        <v>162</v>
      </c>
      <c r="I948" s="21" t="inlineStr">
        <is>
          <t>2025</t>
        </is>
      </c>
      <c r="J948" s="21" t="inlineStr">
        <is>
          <t xml:space="preserve"> 1</t>
        </is>
      </c>
      <c r="K948" s="30">
        <f>(E948-F948)/IF(E948&gt;0,E948,1)</f>
        <v/>
      </c>
    </row>
    <row r="949">
      <c r="A949" s="22" t="inlineStr">
        <is>
          <t>AI와 전쟁</t>
        </is>
      </c>
      <c r="B949" s="22" t="inlineStr">
        <is>
          <t>양우진</t>
        </is>
      </c>
      <c r="C949" s="22" t="inlineStr">
        <is>
          <t>커뮤니케이션북스</t>
        </is>
      </c>
      <c r="D949" s="22" t="inlineStr">
        <is>
          <t>2025년 05월</t>
        </is>
      </c>
      <c r="E949" s="28" t="n">
        <v>12000</v>
      </c>
      <c r="F949" s="28" t="n">
        <v>12000</v>
      </c>
      <c r="G949" s="29" t="n">
        <v>0</v>
      </c>
      <c r="H949" s="29" t="n">
        <v>132</v>
      </c>
      <c r="I949" s="21" t="inlineStr">
        <is>
          <t>2025</t>
        </is>
      </c>
      <c r="J949" s="21" t="inlineStr">
        <is>
          <t xml:space="preserve"> 0</t>
        </is>
      </c>
      <c r="K949" s="30">
        <f>(E949-F949)/IF(E949&gt;0,E949,1)</f>
        <v/>
      </c>
    </row>
    <row r="950">
      <c r="A950" s="22" t="inlineStr">
        <is>
          <t>AI와 윤리 이슈</t>
        </is>
      </c>
      <c r="B950" s="22" t="inlineStr">
        <is>
          <t>김용환, 임희정</t>
        </is>
      </c>
      <c r="C950" s="22" t="inlineStr">
        <is>
          <t>커뮤니케이션북스</t>
        </is>
      </c>
      <c r="D950" s="22" t="inlineStr">
        <is>
          <t>2025년 05월</t>
        </is>
      </c>
      <c r="E950" s="28" t="n">
        <v>12000</v>
      </c>
      <c r="F950" s="28" t="n">
        <v>12000</v>
      </c>
      <c r="G950" s="29" t="n">
        <v>0</v>
      </c>
      <c r="H950" s="29" t="n">
        <v>150</v>
      </c>
      <c r="I950" s="21" t="inlineStr">
        <is>
          <t>2025</t>
        </is>
      </c>
      <c r="J950" s="21" t="inlineStr">
        <is>
          <t xml:space="preserve"> 0</t>
        </is>
      </c>
      <c r="K950" s="30">
        <f>(E950-F950)/IF(E950&gt;0,E950,1)</f>
        <v/>
      </c>
    </row>
    <row r="951">
      <c r="A951" s="22" t="inlineStr">
        <is>
          <t>AI와 인문학의 주제들</t>
        </is>
      </c>
      <c r="B951" s="22" t="inlineStr">
        <is>
          <t>정서현, 우동현, 김동우</t>
        </is>
      </c>
      <c r="C951" s="22" t="inlineStr">
        <is>
          <t>커뮤니케이션북스</t>
        </is>
      </c>
      <c r="D951" s="22" t="inlineStr">
        <is>
          <t>2025년 02월</t>
        </is>
      </c>
      <c r="E951" s="28" t="n">
        <v>12000</v>
      </c>
      <c r="F951" s="28" t="n">
        <v>12000</v>
      </c>
      <c r="G951" s="29" t="n">
        <v>0</v>
      </c>
      <c r="H951" s="29" t="n">
        <v>159</v>
      </c>
      <c r="I951" s="21" t="inlineStr">
        <is>
          <t>2025</t>
        </is>
      </c>
      <c r="J951" s="21" t="inlineStr">
        <is>
          <t xml:space="preserve"> 0</t>
        </is>
      </c>
      <c r="K951" s="30">
        <f>(E951-F951)/IF(E951&gt;0,E951,1)</f>
        <v/>
      </c>
    </row>
    <row r="952">
      <c r="A952" s="22" t="inlineStr">
        <is>
          <t>메타버스&amp;AI 챗GPT와 함께하는 노벨 엔지니어링</t>
        </is>
      </c>
      <c r="B952" s="22" t="inlineStr">
        <is>
          <t>송해남, 김태령, 서정원, 박기림, 강소아, 정보 더 보기/감추기, 송해남, 김태령, 서정원, 박기림, 강소아, 전혜린</t>
        </is>
      </c>
      <c r="C952" s="22" t="inlineStr">
        <is>
          <t>광문각출판미디어</t>
        </is>
      </c>
      <c r="D952" s="22" t="inlineStr">
        <is>
          <t>2023년 10월</t>
        </is>
      </c>
      <c r="E952" s="28" t="n">
        <v>22000</v>
      </c>
      <c r="F952" s="28" t="n">
        <v>22000</v>
      </c>
      <c r="G952" s="29" t="n">
        <v>21</v>
      </c>
      <c r="H952" s="29" t="n">
        <v>162</v>
      </c>
      <c r="I952" s="21" t="inlineStr">
        <is>
          <t>2023</t>
        </is>
      </c>
      <c r="J952" s="21" t="inlineStr">
        <is>
          <t xml:space="preserve"> 1</t>
        </is>
      </c>
      <c r="K952" s="30">
        <f>(E952-F952)/IF(E952&gt;0,E952,1)</f>
        <v/>
      </c>
    </row>
    <row r="953">
      <c r="A953" s="22" t="inlineStr">
        <is>
          <t>챗GPT는 심리상담을 할 수 있을까?</t>
        </is>
      </c>
      <c r="B953" s="22" t="inlineStr">
        <is>
          <t>박정혜</t>
        </is>
      </c>
      <c r="C953" s="22" t="inlineStr">
        <is>
          <t>오도스</t>
        </is>
      </c>
      <c r="D953" s="22" t="inlineStr">
        <is>
          <t>2023년 08월</t>
        </is>
      </c>
      <c r="E953" s="28" t="n">
        <v>18000</v>
      </c>
      <c r="F953" s="28" t="n">
        <v>16200</v>
      </c>
      <c r="G953" s="29" t="n">
        <v>41</v>
      </c>
      <c r="H953" s="29" t="n">
        <v>150</v>
      </c>
      <c r="I953" s="21" t="inlineStr">
        <is>
          <t>2023</t>
        </is>
      </c>
      <c r="J953" s="21" t="inlineStr">
        <is>
          <t xml:space="preserve"> 0</t>
        </is>
      </c>
      <c r="K953" s="30">
        <f>(E953-F953)/IF(E953&gt;0,E953,1)</f>
        <v/>
      </c>
    </row>
    <row r="954">
      <c r="A954" s="22" t="inlineStr">
        <is>
          <t>the GAME GRAPHICS : AI 비주얼 테크닉</t>
        </is>
      </c>
      <c r="B954" s="22" t="inlineStr">
        <is>
          <t>김민욱, 양영민, 오지후, 오지훈, H3ECO, 정병익, 조영조, 최돈현, 최승호</t>
        </is>
      </c>
      <c r="C954" s="22" t="inlineStr">
        <is>
          <t>비엘북스</t>
        </is>
      </c>
      <c r="D954" s="22" t="inlineStr">
        <is>
          <t>2023년 07월</t>
        </is>
      </c>
      <c r="E954" s="28" t="n">
        <v>42000</v>
      </c>
      <c r="F954" s="28" t="n">
        <v>37800</v>
      </c>
      <c r="G954" s="29" t="n">
        <v>8</v>
      </c>
      <c r="H954" s="29" t="n">
        <v>138</v>
      </c>
      <c r="I954" s="21" t="inlineStr">
        <is>
          <t>2023</t>
        </is>
      </c>
      <c r="J954" s="21" t="inlineStr">
        <is>
          <t xml:space="preserve"> 0</t>
        </is>
      </c>
      <c r="K954" s="30">
        <f>(E954-F954)/IF(E954&gt;0,E954,1)</f>
        <v/>
      </c>
    </row>
    <row r="955">
      <c r="A955" s="22" t="inlineStr">
        <is>
          <t>정보 검색의 이론과 실제</t>
        </is>
      </c>
      <c r="B955" s="22" t="inlineStr">
        <is>
          <t>스테판 버처, 찰스 클라크, 고든 코맥, 임형준, 김진홍</t>
        </is>
      </c>
      <c r="C955" s="22" t="inlineStr">
        <is>
          <t>에이콘출판사</t>
        </is>
      </c>
      <c r="D955" s="22" t="inlineStr">
        <is>
          <t>2021년 03월</t>
        </is>
      </c>
      <c r="E955" s="28" t="n">
        <v>45000</v>
      </c>
      <c r="F955" s="28" t="n">
        <v>40500</v>
      </c>
      <c r="G955" s="29" t="n">
        <v>1</v>
      </c>
      <c r="H955" s="29" t="n">
        <v>156</v>
      </c>
      <c r="I955" s="21" t="inlineStr">
        <is>
          <t>2021</t>
        </is>
      </c>
      <c r="J955" s="21" t="inlineStr">
        <is>
          <t xml:space="preserve"> 0</t>
        </is>
      </c>
      <c r="K955" s="30">
        <f>(E955-F955)/IF(E955&gt;0,E955,1)</f>
        <v/>
      </c>
    </row>
    <row r="956">
      <c r="A956" s="22" t="inlineStr">
        <is>
          <t>인공지능 100점을 위한 파이썬 수학</t>
        </is>
      </c>
      <c r="B956" s="22" t="inlineStr">
        <is>
          <t>임성국</t>
        </is>
      </c>
      <c r="C956" s="22" t="inlineStr">
        <is>
          <t>비제이퍼블릭(BJ퍼블릭)</t>
        </is>
      </c>
      <c r="D956" s="22" t="inlineStr">
        <is>
          <t>2020년 04월</t>
        </is>
      </c>
      <c r="E956" s="28" t="n">
        <v>24000</v>
      </c>
      <c r="F956" s="28" t="n">
        <v>21600</v>
      </c>
      <c r="G956" s="29" t="n">
        <v>6</v>
      </c>
      <c r="H956" s="29" t="n">
        <v>126</v>
      </c>
      <c r="I956" s="21" t="inlineStr">
        <is>
          <t>2020</t>
        </is>
      </c>
      <c r="J956" s="21" t="inlineStr">
        <is>
          <t xml:space="preserve"> 0</t>
        </is>
      </c>
      <c r="K956" s="30">
        <f>(E956-F956)/IF(E956&gt;0,E956,1)</f>
        <v/>
      </c>
    </row>
    <row r="957">
      <c r="A957" s="22" t="inlineStr">
        <is>
          <t>한국어 임베딩</t>
        </is>
      </c>
      <c r="B957" s="22" t="inlineStr">
        <is>
          <t>이기창, NAVER Chatbot Model</t>
        </is>
      </c>
      <c r="C957" s="22" t="inlineStr">
        <is>
          <t>에이콘출판사</t>
        </is>
      </c>
      <c r="D957" s="22" t="inlineStr">
        <is>
          <t>2019년 09월</t>
        </is>
      </c>
      <c r="E957" s="28" t="n">
        <v>35000</v>
      </c>
      <c r="F957" s="28" t="n">
        <v>31500</v>
      </c>
      <c r="G957" s="29" t="n">
        <v>9</v>
      </c>
      <c r="H957" s="29" t="n">
        <v>150</v>
      </c>
      <c r="I957" s="21" t="inlineStr">
        <is>
          <t>2019</t>
        </is>
      </c>
      <c r="J957" s="21" t="inlineStr">
        <is>
          <t xml:space="preserve"> 0</t>
        </is>
      </c>
      <c r="K957" s="30">
        <f>(E957-F957)/IF(E957&gt;0,E957,1)</f>
        <v/>
      </c>
    </row>
    <row r="958">
      <c r="A958" s="22" t="inlineStr">
        <is>
          <t>ATC 자격증 프로젝트 따라하기 1급 2급</t>
        </is>
      </c>
      <c r="B958" s="22" t="inlineStr">
        <is>
          <t>손미나</t>
        </is>
      </c>
      <c r="C958" s="22" t="inlineStr">
        <is>
          <t>구민사</t>
        </is>
      </c>
      <c r="D958" s="22" t="inlineStr">
        <is>
          <t>2017년 03월</t>
        </is>
      </c>
      <c r="E958" s="28" t="n">
        <v>28000</v>
      </c>
      <c r="F958" s="28" t="n">
        <v>25200</v>
      </c>
      <c r="G958" s="29" t="n">
        <v>6</v>
      </c>
      <c r="H958" s="29" t="n">
        <v>126</v>
      </c>
      <c r="I958" s="21" t="inlineStr">
        <is>
          <t>2017</t>
        </is>
      </c>
      <c r="J958" s="21" t="inlineStr">
        <is>
          <t xml:space="preserve"> 0</t>
        </is>
      </c>
      <c r="K958" s="30">
        <f>(E958-F958)/IF(E958&gt;0,E958,1)</f>
        <v/>
      </c>
    </row>
    <row r="959">
      <c r="A959" s="22" t="inlineStr">
        <is>
          <t>구글 AI Gemini 그림 초등왕</t>
        </is>
      </c>
      <c r="B959" s="22" t="inlineStr">
        <is>
          <t>코딩 코치스</t>
        </is>
      </c>
      <c r="C959" s="22" t="inlineStr">
        <is>
          <t>BOOKK(부크크)</t>
        </is>
      </c>
      <c r="D959" s="22" t="inlineStr">
        <is>
          <t>2025년 07월</t>
        </is>
      </c>
      <c r="E959" s="28" t="n">
        <v>15800</v>
      </c>
      <c r="F959" s="28" t="n">
        <v>15800</v>
      </c>
      <c r="G959" s="29" t="n">
        <v>0</v>
      </c>
      <c r="H959" s="29" t="n">
        <v>150</v>
      </c>
      <c r="I959" s="21" t="inlineStr">
        <is>
          <t>2025</t>
        </is>
      </c>
      <c r="J959" s="21" t="inlineStr">
        <is>
          <t xml:space="preserve"> 0</t>
        </is>
      </c>
      <c r="K959" s="30">
        <f>(E959-F959)/IF(E959&gt;0,E959,1)</f>
        <v/>
      </c>
    </row>
    <row r="960">
      <c r="A960" s="22" t="inlineStr">
        <is>
          <t>아두이노 설계 &amp; 코딩 DIY 여행</t>
        </is>
      </c>
      <c r="B960" s="22" t="inlineStr">
        <is>
          <t>홍대기, 신상석</t>
        </is>
      </c>
      <c r="C960" s="22" t="inlineStr">
        <is>
          <t>생능출판사</t>
        </is>
      </c>
      <c r="D960" s="22" t="inlineStr">
        <is>
          <t>2020년 03월</t>
        </is>
      </c>
      <c r="E960" s="28" t="n">
        <v>22000</v>
      </c>
      <c r="F960" s="28" t="n">
        <v>22000</v>
      </c>
      <c r="G960" s="29" t="n">
        <v>0</v>
      </c>
      <c r="H960" s="29" t="n">
        <v>126</v>
      </c>
      <c r="I960" s="21" t="inlineStr">
        <is>
          <t>2020</t>
        </is>
      </c>
      <c r="J960" s="21" t="inlineStr">
        <is>
          <t xml:space="preserve"> 0</t>
        </is>
      </c>
      <c r="K960" s="30">
        <f>(E960-F960)/IF(E960&gt;0,E960,1)</f>
        <v/>
      </c>
    </row>
    <row r="961">
      <c r="A961" s="22" t="inlineStr">
        <is>
          <t>ISO 42001 인공지능 경영시스템 인증 바이블</t>
        </is>
      </c>
      <c r="B961" s="22" t="inlineStr">
        <is>
          <t>강문정</t>
        </is>
      </c>
      <c r="C961" s="22" t="inlineStr">
        <is>
          <t>한국인공지능검증원</t>
        </is>
      </c>
      <c r="D961" s="22" t="inlineStr">
        <is>
          <t>2026년 01월</t>
        </is>
      </c>
      <c r="E961" s="28" t="n">
        <v>30000</v>
      </c>
      <c r="F961" s="28" t="n">
        <v>30000</v>
      </c>
      <c r="G961" s="29" t="n">
        <v>0</v>
      </c>
      <c r="H961" s="29" t="n">
        <v>162</v>
      </c>
      <c r="I961" s="21" t="inlineStr">
        <is>
          <t>2026</t>
        </is>
      </c>
      <c r="J961" s="21" t="inlineStr">
        <is>
          <t xml:space="preserve"> 0</t>
        </is>
      </c>
      <c r="K961" s="30">
        <f>(E961-F961)/IF(E961&gt;0,E961,1)</f>
        <v/>
      </c>
    </row>
    <row r="962">
      <c r="A962" s="22" t="inlineStr">
        <is>
          <t>AI와 대학 글쓰기</t>
        </is>
      </c>
      <c r="B962" s="22" t="inlineStr">
        <is>
          <t>주민재</t>
        </is>
      </c>
      <c r="C962" s="22" t="inlineStr">
        <is>
          <t>커뮤니케이션북스</t>
        </is>
      </c>
      <c r="D962" s="22" t="inlineStr">
        <is>
          <t>2026년 01월</t>
        </is>
      </c>
      <c r="E962" s="28" t="n">
        <v>12000</v>
      </c>
      <c r="F962" s="28" t="n">
        <v>12000</v>
      </c>
      <c r="G962" s="29" t="n">
        <v>0</v>
      </c>
      <c r="H962" s="29" t="n">
        <v>168</v>
      </c>
      <c r="I962" s="21" t="inlineStr">
        <is>
          <t>2026</t>
        </is>
      </c>
      <c r="J962" s="21" t="inlineStr">
        <is>
          <t xml:space="preserve"> 0</t>
        </is>
      </c>
      <c r="K962" s="30">
        <f>(E962-F962)/IF(E962&gt;0,E962,1)</f>
        <v/>
      </c>
    </row>
    <row r="963">
      <c r="A963" s="22" t="inlineStr">
        <is>
          <t>AI와 디자인 언어</t>
        </is>
      </c>
      <c r="B963" s="22" t="inlineStr">
        <is>
          <t>조택연</t>
        </is>
      </c>
      <c r="C963" s="22" t="inlineStr">
        <is>
          <t>커뮤니케이션북스</t>
        </is>
      </c>
      <c r="D963" s="22" t="inlineStr">
        <is>
          <t>2025년 06월</t>
        </is>
      </c>
      <c r="E963" s="28" t="n">
        <v>12000</v>
      </c>
      <c r="F963" s="28" t="n">
        <v>12000</v>
      </c>
      <c r="G963" s="29" t="n">
        <v>0</v>
      </c>
      <c r="H963" s="29" t="n">
        <v>138</v>
      </c>
      <c r="I963" s="21" t="inlineStr">
        <is>
          <t>2025</t>
        </is>
      </c>
      <c r="J963" s="21" t="inlineStr">
        <is>
          <t xml:space="preserve"> 0</t>
        </is>
      </c>
      <c r="K963" s="30">
        <f>(E963-F963)/IF(E963&gt;0,E963,1)</f>
        <v/>
      </c>
    </row>
    <row r="964">
      <c r="A964" s="22" t="inlineStr">
        <is>
          <t>AI, 글쓰기, 저작권</t>
        </is>
      </c>
      <c r="B964" s="22" t="inlineStr">
        <is>
          <t>정지우</t>
        </is>
      </c>
      <c r="C964" s="22" t="inlineStr">
        <is>
          <t>마름모</t>
        </is>
      </c>
      <c r="D964" s="22" t="inlineStr">
        <is>
          <t>2025년 06월</t>
        </is>
      </c>
      <c r="E964" s="28" t="n">
        <v>12000</v>
      </c>
      <c r="F964" s="28" t="n">
        <v>10800</v>
      </c>
      <c r="G964" s="29" t="n">
        <v>9</v>
      </c>
      <c r="H964" s="29" t="n">
        <v>1368</v>
      </c>
      <c r="I964" s="21" t="inlineStr">
        <is>
          <t>2025</t>
        </is>
      </c>
      <c r="J964" s="21" t="inlineStr">
        <is>
          <t xml:space="preserve"> 0</t>
        </is>
      </c>
      <c r="K964" s="30">
        <f>(E964-F964)/IF(E964&gt;0,E964,1)</f>
        <v/>
      </c>
    </row>
    <row r="965">
      <c r="A965" s="22" t="inlineStr">
        <is>
          <t>AI와 UX 디자인</t>
        </is>
      </c>
      <c r="B965" s="22" t="inlineStr">
        <is>
          <t>김향아</t>
        </is>
      </c>
      <c r="C965" s="22" t="inlineStr">
        <is>
          <t>커뮤니케이션북스</t>
        </is>
      </c>
      <c r="D965" s="22" t="inlineStr">
        <is>
          <t>2025년 06월</t>
        </is>
      </c>
      <c r="E965" s="28" t="n">
        <v>12000</v>
      </c>
      <c r="F965" s="28" t="n">
        <v>12000</v>
      </c>
      <c r="G965" s="29" t="n">
        <v>2</v>
      </c>
      <c r="H965" s="29" t="n">
        <v>132</v>
      </c>
      <c r="I965" s="21" t="inlineStr">
        <is>
          <t>2025</t>
        </is>
      </c>
      <c r="J965" s="21" t="inlineStr">
        <is>
          <t xml:space="preserve"> 0</t>
        </is>
      </c>
      <c r="K965" s="30">
        <f>(E965-F965)/IF(E965&gt;0,E965,1)</f>
        <v/>
      </c>
    </row>
    <row r="966">
      <c r="A966" s="22" t="inlineStr">
        <is>
          <t>다양한 프로젝트로 끝장내는 파이토치 딥러닝</t>
        </is>
      </c>
      <c r="B966" s="22" t="inlineStr">
        <is>
          <t>신은섭</t>
        </is>
      </c>
      <c r="C966" s="22" t="inlineStr">
        <is>
          <t>위즈앤북</t>
        </is>
      </c>
      <c r="D966" s="22" t="inlineStr">
        <is>
          <t>2024년 12월</t>
        </is>
      </c>
      <c r="E966" s="28" t="n">
        <v>23000</v>
      </c>
      <c r="F966" s="28" t="n">
        <v>20700</v>
      </c>
      <c r="G966" s="29" t="n">
        <v>3</v>
      </c>
      <c r="H966" s="29" t="n">
        <v>96</v>
      </c>
      <c r="I966" s="21" t="inlineStr">
        <is>
          <t>2024</t>
        </is>
      </c>
      <c r="J966" s="21" t="inlineStr">
        <is>
          <t xml:space="preserve"> 1</t>
        </is>
      </c>
      <c r="K966" s="30">
        <f>(E966-F966)/IF(E966&gt;0,E966,1)</f>
        <v/>
      </c>
    </row>
    <row r="967">
      <c r="A967" s="22" t="inlineStr">
        <is>
          <t>알기 쉬운 실전 데이터 모델링</t>
        </is>
      </c>
      <c r="B967" s="22" t="inlineStr">
        <is>
          <t>김찬웅</t>
        </is>
      </c>
      <c r="C967" s="22" t="inlineStr">
        <is>
          <t>생각나눔</t>
        </is>
      </c>
      <c r="D967" s="22" t="inlineStr">
        <is>
          <t>2024년 08월</t>
        </is>
      </c>
      <c r="E967" s="28" t="n">
        <v>25000</v>
      </c>
      <c r="F967" s="28" t="n">
        <v>22500</v>
      </c>
      <c r="G967" s="29" t="n">
        <v>14</v>
      </c>
      <c r="H967" s="29" t="n">
        <v>162</v>
      </c>
      <c r="I967" s="21" t="inlineStr">
        <is>
          <t>2024</t>
        </is>
      </c>
      <c r="J967" s="21" t="inlineStr">
        <is>
          <t xml:space="preserve"> 0</t>
        </is>
      </c>
      <c r="K967" s="30">
        <f>(E967-F967)/IF(E967&gt;0,E967,1)</f>
        <v/>
      </c>
    </row>
    <row r="968">
      <c r="A968" s="22" t="inlineStr">
        <is>
          <t>도널드 노먼의 인터랙션 디자인 특강</t>
        </is>
      </c>
      <c r="B968" s="22" t="inlineStr">
        <is>
          <t>도널드 노먼, 김주희</t>
        </is>
      </c>
      <c r="C968" s="22" t="inlineStr">
        <is>
          <t>유엑스리뷰</t>
        </is>
      </c>
      <c r="D968" s="22" t="inlineStr">
        <is>
          <t>2022년 09월</t>
        </is>
      </c>
      <c r="E968" s="28" t="n">
        <v>29000</v>
      </c>
      <c r="F968" s="28" t="n">
        <v>26100</v>
      </c>
      <c r="G968" s="29" t="n">
        <v>7</v>
      </c>
      <c r="H968" s="29" t="n">
        <v>138</v>
      </c>
      <c r="I968" s="21" t="inlineStr">
        <is>
          <t>2022</t>
        </is>
      </c>
      <c r="J968" s="21" t="inlineStr">
        <is>
          <t xml:space="preserve"> 0</t>
        </is>
      </c>
      <c r="K968" s="30">
        <f>(E968-F968)/IF(E968&gt;0,E968,1)</f>
        <v/>
      </c>
    </row>
    <row r="969">
      <c r="A969" s="22" t="inlineStr">
        <is>
          <t>엔지니어를 위한 텐서와 연속체 역학 적용</t>
        </is>
      </c>
      <c r="B969" s="22" t="inlineStr">
        <is>
          <t>미하일 이츠코프, 마이클</t>
        </is>
      </c>
      <c r="C969" s="22" t="inlineStr">
        <is>
          <t>루비페이퍼</t>
        </is>
      </c>
      <c r="D969" s="22" t="inlineStr">
        <is>
          <t>2022년 02월</t>
        </is>
      </c>
      <c r="E969" s="28" t="n">
        <v>32000</v>
      </c>
      <c r="F969" s="28" t="n">
        <v>28800</v>
      </c>
      <c r="G969" s="29" t="n">
        <v>1</v>
      </c>
      <c r="H969" s="29" t="n">
        <v>126</v>
      </c>
      <c r="I969" s="21" t="inlineStr">
        <is>
          <t>2022</t>
        </is>
      </c>
      <c r="J969" s="21" t="inlineStr">
        <is>
          <t xml:space="preserve"> 0</t>
        </is>
      </c>
      <c r="K969" s="30">
        <f>(E969-F969)/IF(E969&gt;0,E969,1)</f>
        <v/>
      </c>
    </row>
    <row r="970">
      <c r="A970" s="22" t="inlineStr">
        <is>
          <t>쿠브플로 운영 가이드</t>
        </is>
      </c>
      <c r="B970" s="22" t="inlineStr">
        <is>
          <t>조시 패터슨, 마이클 카체넬렌보겐, 오스틴 해리스, 김소형</t>
        </is>
      </c>
      <c r="C970" s="22" t="inlineStr">
        <is>
          <t>한빛미디어</t>
        </is>
      </c>
      <c r="D970" s="22" t="inlineStr">
        <is>
          <t>2022년 01월</t>
        </is>
      </c>
      <c r="E970" s="28" t="n">
        <v>25000</v>
      </c>
      <c r="F970" s="28" t="n">
        <v>22500</v>
      </c>
      <c r="G970" s="29" t="n">
        <v>4</v>
      </c>
      <c r="H970" s="29" t="n">
        <v>138</v>
      </c>
      <c r="I970" s="21" t="inlineStr">
        <is>
          <t>2022</t>
        </is>
      </c>
      <c r="J970" s="21" t="inlineStr">
        <is>
          <t xml:space="preserve"> 0</t>
        </is>
      </c>
      <c r="K970" s="30">
        <f>(E970-F970)/IF(E970&gt;0,E970,1)</f>
        <v/>
      </c>
    </row>
    <row r="971">
      <c r="A971" s="22" t="inlineStr">
        <is>
          <t>Do it! 첫 통계 with 베이즈</t>
        </is>
      </c>
      <c r="B971" s="22" t="inlineStr">
        <is>
          <t>사시키 준, 안동현</t>
        </is>
      </c>
      <c r="C971" s="22" t="inlineStr">
        <is>
          <t>이지스퍼블리싱</t>
        </is>
      </c>
      <c r="D971" s="22" t="inlineStr">
        <is>
          <t>2021년 11월</t>
        </is>
      </c>
      <c r="E971" s="28" t="n">
        <v>13000</v>
      </c>
      <c r="F971" s="28" t="n">
        <v>11700</v>
      </c>
      <c r="G971" s="29" t="n">
        <v>3</v>
      </c>
      <c r="H971" s="29" t="n">
        <v>132</v>
      </c>
      <c r="I971" s="21" t="inlineStr">
        <is>
          <t>2021</t>
        </is>
      </c>
      <c r="J971" s="21" t="inlineStr">
        <is>
          <t xml:space="preserve"> 1</t>
        </is>
      </c>
      <c r="K971" s="30">
        <f>(E971-F971)/IF(E971&gt;0,E971,1)</f>
        <v/>
      </c>
    </row>
    <row r="972">
      <c r="A972" s="22" t="inlineStr">
        <is>
          <t>부모님을 위한 AI 교과서</t>
        </is>
      </c>
      <c r="B972" s="22" t="inlineStr">
        <is>
          <t>디지털콘텐츠그룹 편집부</t>
        </is>
      </c>
      <c r="C972" s="22" t="inlineStr">
        <is>
          <t>디지털콘텐츠그룹</t>
        </is>
      </c>
      <c r="D972" s="22" t="inlineStr">
        <is>
          <t>2026년 02월</t>
        </is>
      </c>
      <c r="E972" s="28" t="n">
        <v>18000</v>
      </c>
      <c r="F972" s="28" t="n">
        <v>16200</v>
      </c>
      <c r="G972" s="29" t="n">
        <v>0</v>
      </c>
      <c r="H972" s="29" t="n">
        <v>90</v>
      </c>
      <c r="I972" s="21" t="inlineStr">
        <is>
          <t>2026</t>
        </is>
      </c>
      <c r="J972" s="21" t="inlineStr">
        <is>
          <t xml:space="preserve"> 0</t>
        </is>
      </c>
      <c r="K972" s="30">
        <f>(E972-F972)/IF(E972&gt;0,E972,1)</f>
        <v/>
      </c>
    </row>
    <row r="973">
      <c r="A973" s="22" t="inlineStr">
        <is>
          <t>AI의료혁명</t>
        </is>
      </c>
      <c r="B973" s="22" t="inlineStr">
        <is>
          <t>윤승천, 오인택</t>
        </is>
      </c>
      <c r="C973" s="22" t="inlineStr">
        <is>
          <t>건강신문사</t>
        </is>
      </c>
      <c r="D973" s="22" t="inlineStr">
        <is>
          <t>2026년 01월</t>
        </is>
      </c>
      <c r="E973" s="28" t="n">
        <v>50000</v>
      </c>
      <c r="F973" s="28" t="n">
        <v>45000</v>
      </c>
      <c r="G973" s="29" t="n">
        <v>0</v>
      </c>
      <c r="H973" s="29" t="n">
        <v>90</v>
      </c>
      <c r="I973" s="21" t="inlineStr">
        <is>
          <t>2026</t>
        </is>
      </c>
      <c r="J973" s="21" t="inlineStr">
        <is>
          <t xml:space="preserve"> 0</t>
        </is>
      </c>
      <c r="K973" s="30">
        <f>(E973-F973)/IF(E973&gt;0,E973,1)</f>
        <v/>
      </c>
    </row>
    <row r="974">
      <c r="A974" s="22" t="inlineStr">
        <is>
          <t>AI와 무용 교육</t>
        </is>
      </c>
      <c r="B974" s="22" t="inlineStr">
        <is>
          <t>김경미</t>
        </is>
      </c>
      <c r="C974" s="22" t="inlineStr">
        <is>
          <t>커뮤니케이션북스</t>
        </is>
      </c>
      <c r="D974" s="22" t="inlineStr">
        <is>
          <t>2025년 11월</t>
        </is>
      </c>
      <c r="E974" s="28" t="n">
        <v>12000</v>
      </c>
      <c r="F974" s="28" t="n">
        <v>12000</v>
      </c>
      <c r="G974" s="29" t="n">
        <v>0</v>
      </c>
      <c r="H974" s="29" t="n">
        <v>96</v>
      </c>
      <c r="I974" s="21" t="inlineStr">
        <is>
          <t>2025</t>
        </is>
      </c>
      <c r="J974" s="21" t="inlineStr">
        <is>
          <t xml:space="preserve"> 1</t>
        </is>
      </c>
      <c r="K974" s="30">
        <f>(E974-F974)/IF(E974&gt;0,E974,1)</f>
        <v/>
      </c>
    </row>
    <row r="975">
      <c r="A975" s="22" t="inlineStr">
        <is>
          <t>AI와 한의학</t>
        </is>
      </c>
      <c r="B975" s="22" t="inlineStr">
        <is>
          <t>김경묵</t>
        </is>
      </c>
      <c r="C975" s="22" t="inlineStr">
        <is>
          <t>커뮤니케이션북스</t>
        </is>
      </c>
      <c r="D975" s="22" t="inlineStr">
        <is>
          <t>2025년 03월</t>
        </is>
      </c>
      <c r="E975" s="28" t="n">
        <v>12000</v>
      </c>
      <c r="F975" s="28" t="n">
        <v>12000</v>
      </c>
      <c r="G975" s="29" t="n">
        <v>1</v>
      </c>
      <c r="H975" s="29" t="n">
        <v>78</v>
      </c>
      <c r="I975" s="21" t="inlineStr">
        <is>
          <t>2025</t>
        </is>
      </c>
      <c r="J975" s="21" t="inlineStr">
        <is>
          <t xml:space="preserve"> 0</t>
        </is>
      </c>
      <c r="K975" s="30">
        <f>(E975-F975)/IF(E975&gt;0,E975,1)</f>
        <v/>
      </c>
    </row>
    <row r="976">
      <c r="A976" s="22" t="inlineStr">
        <is>
          <t>AI생활, 매순간이 달라진다</t>
        </is>
      </c>
      <c r="B976" s="22" t="inlineStr">
        <is>
          <t>김경진</t>
        </is>
      </c>
      <c r="C976" s="22" t="inlineStr">
        <is>
          <t>인문공간</t>
        </is>
      </c>
      <c r="D976" s="22" t="inlineStr">
        <is>
          <t>2025년 01월</t>
        </is>
      </c>
      <c r="E976" s="28" t="n">
        <v>23000</v>
      </c>
      <c r="F976" s="28" t="n">
        <v>20700</v>
      </c>
      <c r="G976" s="29" t="n">
        <v>3</v>
      </c>
      <c r="H976" s="29" t="n">
        <v>126</v>
      </c>
      <c r="I976" s="21" t="inlineStr">
        <is>
          <t>2025</t>
        </is>
      </c>
      <c r="J976" s="21" t="inlineStr">
        <is>
          <t xml:space="preserve"> 0</t>
        </is>
      </c>
      <c r="K976" s="30">
        <f>(E976-F976)/IF(E976&gt;0,E976,1)</f>
        <v/>
      </c>
    </row>
    <row r="977">
      <c r="A977" s="22" t="inlineStr">
        <is>
          <t>AI를 이용한 사회과학 연구 방법</t>
        </is>
      </c>
      <c r="B977" s="22" t="inlineStr">
        <is>
          <t>이상엽</t>
        </is>
      </c>
      <c r="C977" s="22" t="inlineStr">
        <is>
          <t>커뮤니케이션북스</t>
        </is>
      </c>
      <c r="D977" s="22" t="inlineStr">
        <is>
          <t>2024년 12월</t>
        </is>
      </c>
      <c r="E977" s="28" t="n">
        <v>12000</v>
      </c>
      <c r="F977" s="28" t="n">
        <v>12000</v>
      </c>
      <c r="G977" s="29" t="n">
        <v>0</v>
      </c>
      <c r="H977" s="29" t="n">
        <v>138</v>
      </c>
      <c r="I977" s="21" t="inlineStr">
        <is>
          <t>2024</t>
        </is>
      </c>
      <c r="J977" s="21" t="inlineStr">
        <is>
          <t xml:space="preserve"> 1</t>
        </is>
      </c>
      <c r="K977" s="30">
        <f>(E977-F977)/IF(E977&gt;0,E977,1)</f>
        <v/>
      </c>
    </row>
    <row r="978">
      <c r="A978" s="22" t="inlineStr">
        <is>
          <t>농업과 AI</t>
        </is>
      </c>
      <c r="B978" s="22" t="inlineStr">
        <is>
          <t>김동원</t>
        </is>
      </c>
      <c r="C978" s="22" t="inlineStr">
        <is>
          <t>커뮤니케이션북스</t>
        </is>
      </c>
      <c r="D978" s="22" t="inlineStr">
        <is>
          <t>2024년 08월</t>
        </is>
      </c>
      <c r="E978" s="28" t="n">
        <v>12000</v>
      </c>
      <c r="F978" s="28" t="n">
        <v>12000</v>
      </c>
      <c r="G978" s="29" t="n">
        <v>1</v>
      </c>
      <c r="H978" s="29" t="n">
        <v>102</v>
      </c>
      <c r="I978" s="21" t="inlineStr">
        <is>
          <t>2024</t>
        </is>
      </c>
      <c r="J978" s="21" t="inlineStr">
        <is>
          <t xml:space="preserve"> 0</t>
        </is>
      </c>
      <c r="K978" s="30">
        <f>(E978-F978)/IF(E978&gt;0,E978,1)</f>
        <v/>
      </c>
    </row>
    <row r="979">
      <c r="A979" s="22" t="inlineStr">
        <is>
          <t>AI와 직업 빅뱅</t>
        </is>
      </c>
      <c r="B979" s="22" t="inlineStr">
        <is>
          <t>한기석</t>
        </is>
      </c>
      <c r="C979" s="22" t="inlineStr">
        <is>
          <t>커뮤니케이션북스</t>
        </is>
      </c>
      <c r="D979" s="22" t="inlineStr">
        <is>
          <t>2024년 07월</t>
        </is>
      </c>
      <c r="E979" s="28" t="n">
        <v>12000</v>
      </c>
      <c r="F979" s="28" t="n">
        <v>12000</v>
      </c>
      <c r="G979" s="29" t="n">
        <v>0</v>
      </c>
      <c r="H979" s="29" t="n">
        <v>90</v>
      </c>
      <c r="I979" s="21" t="inlineStr">
        <is>
          <t>2024</t>
        </is>
      </c>
      <c r="J979" s="21" t="inlineStr">
        <is>
          <t xml:space="preserve"> 0</t>
        </is>
      </c>
      <c r="K979" s="30">
        <f>(E979-F979)/IF(E979&gt;0,E979,1)</f>
        <v/>
      </c>
    </row>
    <row r="980">
      <c r="A980" s="22" t="inlineStr">
        <is>
          <t>그림으로 쉽게 배우는 AI 사용설명서</t>
        </is>
      </c>
      <c r="B980" s="22" t="inlineStr">
        <is>
          <t>에마 아리사</t>
        </is>
      </c>
      <c r="C980" s="22" t="inlineStr">
        <is>
          <t>드루</t>
        </is>
      </c>
      <c r="D980" s="22" t="inlineStr">
        <is>
          <t>2024년 02월</t>
        </is>
      </c>
      <c r="E980" s="28" t="n">
        <v>18000</v>
      </c>
      <c r="F980" s="28" t="n">
        <v>16200</v>
      </c>
      <c r="G980" s="29" t="n">
        <v>0</v>
      </c>
      <c r="H980" s="29" t="n">
        <v>102</v>
      </c>
      <c r="I980" s="21" t="inlineStr">
        <is>
          <t>2024</t>
        </is>
      </c>
      <c r="J980" s="21" t="inlineStr">
        <is>
          <t xml:space="preserve"> 0</t>
        </is>
      </c>
      <c r="K980" s="30">
        <f>(E980-F980)/IF(E980&gt;0,E980,1)</f>
        <v/>
      </c>
    </row>
    <row r="981">
      <c r="A981" s="22" t="inlineStr">
        <is>
          <t>기계의 반칙</t>
        </is>
      </c>
      <c r="B981" s="22" t="inlineStr">
        <is>
          <t>넬로 크리스티아니니, 김정민</t>
        </is>
      </c>
      <c r="C981" s="22" t="inlineStr">
        <is>
          <t>한빛미디어</t>
        </is>
      </c>
      <c r="D981" s="22" t="inlineStr">
        <is>
          <t>2023년 11월</t>
        </is>
      </c>
      <c r="E981" s="28" t="n">
        <v>17500</v>
      </c>
      <c r="F981" s="28" t="n">
        <v>15750</v>
      </c>
      <c r="G981" s="29" t="n">
        <v>26</v>
      </c>
      <c r="H981" s="29" t="n">
        <v>108</v>
      </c>
      <c r="I981" s="21" t="inlineStr">
        <is>
          <t>2023</t>
        </is>
      </c>
      <c r="J981" s="21" t="inlineStr">
        <is>
          <t xml:space="preserve"> 1</t>
        </is>
      </c>
      <c r="K981" s="30">
        <f>(E981-F981)/IF(E981&gt;0,E981,1)</f>
        <v/>
      </c>
    </row>
    <row r="982">
      <c r="A982" s="22" t="inlineStr">
        <is>
          <t>디지털 야누스의 두 얼굴</t>
        </is>
      </c>
      <c r="B982" s="22" t="inlineStr">
        <is>
          <t>김준우, 김신곤, 김정덕</t>
        </is>
      </c>
      <c r="C982" s="22" t="inlineStr">
        <is>
          <t>이담북스(이담Books)</t>
        </is>
      </c>
      <c r="D982" s="22" t="inlineStr">
        <is>
          <t>2026년 04월</t>
        </is>
      </c>
      <c r="E982" s="28" t="n">
        <v>24000</v>
      </c>
      <c r="F982" s="28" t="n">
        <v>21600</v>
      </c>
      <c r="G982" s="29" t="n">
        <v>0</v>
      </c>
      <c r="H982" s="29" t="n">
        <v>78</v>
      </c>
      <c r="I982" s="21" t="inlineStr">
        <is>
          <t>2026</t>
        </is>
      </c>
      <c r="J982" s="21" t="inlineStr">
        <is>
          <t xml:space="preserve"> 0</t>
        </is>
      </c>
      <c r="K982" s="30">
        <f>(E982-F982)/IF(E982&gt;0,E982,1)</f>
        <v/>
      </c>
    </row>
    <row r="983">
      <c r="A983" s="22" t="inlineStr">
        <is>
          <t>AI와 개인정보</t>
        </is>
      </c>
      <c r="B983" s="22" t="inlineStr">
        <is>
          <t>최경진</t>
        </is>
      </c>
      <c r="C983" s="22" t="inlineStr">
        <is>
          <t>커뮤니케이션북스</t>
        </is>
      </c>
      <c r="D983" s="22" t="inlineStr">
        <is>
          <t>2026년 03월</t>
        </is>
      </c>
      <c r="E983" s="28" t="n">
        <v>12000</v>
      </c>
      <c r="F983" s="28" t="n">
        <v>12000</v>
      </c>
      <c r="G983" s="29" t="n">
        <v>0</v>
      </c>
      <c r="H983" s="29" t="n">
        <v>258</v>
      </c>
      <c r="I983" s="21" t="inlineStr">
        <is>
          <t>2026</t>
        </is>
      </c>
      <c r="J983" s="21" t="inlineStr">
        <is>
          <t xml:space="preserve"> 0</t>
        </is>
      </c>
      <c r="K983" s="30">
        <f>(E983-F983)/IF(E983&gt;0,E983,1)</f>
        <v/>
      </c>
    </row>
    <row r="984">
      <c r="A984" s="22" t="inlineStr">
        <is>
          <t>기업 AI 도입가이드</t>
        </is>
      </c>
      <c r="B984" s="22" t="inlineStr">
        <is>
          <t>손상윤</t>
        </is>
      </c>
      <c r="C984" s="22" t="inlineStr">
        <is>
          <t>BOOKK(부크크)</t>
        </is>
      </c>
      <c r="D984" s="22" t="inlineStr">
        <is>
          <t>2026년 03월</t>
        </is>
      </c>
      <c r="E984" s="28" t="n">
        <v>18500</v>
      </c>
      <c r="F984" s="28" t="n">
        <v>18500</v>
      </c>
      <c r="G984" s="29" t="n">
        <v>0</v>
      </c>
      <c r="H984" s="29" t="n">
        <v>90</v>
      </c>
      <c r="I984" s="21" t="inlineStr">
        <is>
          <t>2026</t>
        </is>
      </c>
      <c r="J984" s="21" t="inlineStr">
        <is>
          <t xml:space="preserve"> 0</t>
        </is>
      </c>
      <c r="K984" s="30">
        <f>(E984-F984)/IF(E984&gt;0,E984,1)</f>
        <v/>
      </c>
    </row>
    <row r="985">
      <c r="A985" s="22" t="inlineStr">
        <is>
          <t>인과 데이터 사이언스</t>
        </is>
      </c>
      <c r="B985" s="22" t="inlineStr">
        <is>
          <t>이석민</t>
        </is>
      </c>
      <c r="C985" s="22" t="inlineStr">
        <is>
          <t>법문사</t>
        </is>
      </c>
      <c r="D985" s="22" t="inlineStr">
        <is>
          <t>2026년 02월</t>
        </is>
      </c>
      <c r="E985" s="28" t="n">
        <v>30000</v>
      </c>
      <c r="F985" s="28" t="n">
        <v>30000</v>
      </c>
      <c r="G985" s="29" t="n">
        <v>0</v>
      </c>
      <c r="H985" s="29" t="n">
        <v>48</v>
      </c>
      <c r="I985" s="21" t="inlineStr">
        <is>
          <t>2026</t>
        </is>
      </c>
      <c r="J985" s="21" t="inlineStr">
        <is>
          <t xml:space="preserve"> 0</t>
        </is>
      </c>
      <c r="K985" s="30">
        <f>(E985-F985)/IF(E985&gt;0,E985,1)</f>
        <v/>
      </c>
    </row>
    <row r="986">
      <c r="A986" s="22" t="inlineStr">
        <is>
          <t>엔비디아 NCA-AIIO 자격증 합격하기</t>
        </is>
      </c>
      <c r="B986" s="22" t="inlineStr">
        <is>
          <t>백지석</t>
        </is>
      </c>
      <c r="C986" s="22" t="inlineStr">
        <is>
          <t>BOOKK(부크크)</t>
        </is>
      </c>
      <c r="D986" s="22" t="inlineStr">
        <is>
          <t>2026년 02월</t>
        </is>
      </c>
      <c r="E986" s="28" t="n">
        <v>20000</v>
      </c>
      <c r="F986" s="28" t="n">
        <v>20000</v>
      </c>
      <c r="G986" s="29" t="n">
        <v>1</v>
      </c>
      <c r="H986" s="29" t="n">
        <v>96</v>
      </c>
      <c r="I986" s="21" t="inlineStr">
        <is>
          <t>2026</t>
        </is>
      </c>
      <c r="J986" s="21" t="inlineStr">
        <is>
          <t xml:space="preserve"> 0</t>
        </is>
      </c>
      <c r="K986" s="30">
        <f>(E986-F986)/IF(E986&gt;0,E986,1)</f>
        <v/>
      </c>
    </row>
    <row r="987">
      <c r="A987" s="22" t="inlineStr">
        <is>
          <t>AI로 기획서 쓰기</t>
        </is>
      </c>
      <c r="B987" s="22" t="inlineStr">
        <is>
          <t>윤영돈</t>
        </is>
      </c>
      <c r="C987" s="22" t="inlineStr">
        <is>
          <t>커뮤니케이션북스</t>
        </is>
      </c>
      <c r="D987" s="22" t="inlineStr">
        <is>
          <t>2026년 03월</t>
        </is>
      </c>
      <c r="E987" s="28" t="n">
        <v>12000</v>
      </c>
      <c r="F987" s="28" t="n">
        <v>12000</v>
      </c>
      <c r="G987" s="29" t="n">
        <v>0</v>
      </c>
      <c r="H987" s="29" t="n">
        <v>102</v>
      </c>
      <c r="I987" s="21" t="inlineStr">
        <is>
          <t>2026</t>
        </is>
      </c>
      <c r="J987" s="21" t="inlineStr">
        <is>
          <t xml:space="preserve"> 0</t>
        </is>
      </c>
      <c r="K987" s="30">
        <f>(E987-F987)/IF(E987&gt;0,E987,1)</f>
        <v/>
      </c>
    </row>
    <row r="988">
      <c r="A988" s="22" t="inlineStr">
        <is>
          <t>도서관과 AI</t>
        </is>
      </c>
      <c r="B988" s="22" t="inlineStr">
        <is>
          <t>송현경</t>
        </is>
      </c>
      <c r="C988" s="22" t="inlineStr">
        <is>
          <t>커뮤니케이션북스</t>
        </is>
      </c>
      <c r="D988" s="22" t="inlineStr">
        <is>
          <t>2025년 12월</t>
        </is>
      </c>
      <c r="E988" s="28" t="n">
        <v>12000</v>
      </c>
      <c r="F988" s="28" t="n">
        <v>12000</v>
      </c>
      <c r="G988" s="29" t="n">
        <v>0</v>
      </c>
      <c r="H988" s="29" t="n">
        <v>114</v>
      </c>
      <c r="I988" s="21" t="inlineStr">
        <is>
          <t>2025</t>
        </is>
      </c>
      <c r="J988" s="21" t="inlineStr">
        <is>
          <t xml:space="preserve"> 1</t>
        </is>
      </c>
      <c r="K988" s="30">
        <f>(E988-F988)/IF(E988&gt;0,E988,1)</f>
        <v/>
      </c>
    </row>
    <row r="989">
      <c r="A989" s="22" t="inlineStr">
        <is>
          <t>AI와 직원 경험</t>
        </is>
      </c>
      <c r="B989" s="22" t="inlineStr">
        <is>
          <t>윤명훈</t>
        </is>
      </c>
      <c r="C989" s="22" t="inlineStr">
        <is>
          <t>커뮤니케이션북스</t>
        </is>
      </c>
      <c r="D989" s="22" t="inlineStr">
        <is>
          <t>2025년 11월</t>
        </is>
      </c>
      <c r="E989" s="28" t="n">
        <v>12000</v>
      </c>
      <c r="F989" s="28" t="n">
        <v>12000</v>
      </c>
      <c r="G989" s="29" t="n">
        <v>0</v>
      </c>
      <c r="H989" s="29" t="n">
        <v>102</v>
      </c>
      <c r="I989" s="21" t="inlineStr">
        <is>
          <t>2025</t>
        </is>
      </c>
      <c r="J989" s="21" t="inlineStr">
        <is>
          <t xml:space="preserve"> 1</t>
        </is>
      </c>
      <c r="K989" s="30">
        <f>(E989-F989)/IF(E989&gt;0,E989,1)</f>
        <v/>
      </c>
    </row>
    <row r="990">
      <c r="A990" s="22" t="inlineStr">
        <is>
          <t>인공지능과 언어 윤리</t>
        </is>
      </c>
      <c r="B990" s="22" t="inlineStr">
        <is>
          <t>남길임, 송현주</t>
        </is>
      </c>
      <c r="C990" s="22" t="inlineStr">
        <is>
          <t>커뮤니케이션북스</t>
        </is>
      </c>
      <c r="D990" s="22" t="inlineStr">
        <is>
          <t>2025년 11월</t>
        </is>
      </c>
      <c r="E990" s="28" t="n">
        <v>12000</v>
      </c>
      <c r="F990" s="28" t="n">
        <v>12000</v>
      </c>
      <c r="G990" s="29" t="n">
        <v>0</v>
      </c>
      <c r="H990" s="29" t="n">
        <v>78</v>
      </c>
      <c r="I990" s="21" t="inlineStr">
        <is>
          <t>2025</t>
        </is>
      </c>
      <c r="J990" s="21" t="inlineStr">
        <is>
          <t xml:space="preserve"> 1</t>
        </is>
      </c>
      <c r="K990" s="30">
        <f>(E990-F990)/IF(E990&gt;0,E990,1)</f>
        <v/>
      </c>
    </row>
    <row r="991">
      <c r="A991" s="22" t="inlineStr">
        <is>
          <t>AI 영상 편집 마스터</t>
        </is>
      </c>
      <c r="B991" s="22" t="inlineStr">
        <is>
          <t>박인수</t>
        </is>
      </c>
      <c r="C991" s="22" t="inlineStr">
        <is>
          <t>커뮤니케이션북스</t>
        </is>
      </c>
      <c r="D991" s="22" t="inlineStr">
        <is>
          <t>2025년 10월</t>
        </is>
      </c>
      <c r="E991" s="28" t="n">
        <v>12000</v>
      </c>
      <c r="F991" s="28" t="n">
        <v>12000</v>
      </c>
      <c r="G991" s="29" t="n">
        <v>0</v>
      </c>
      <c r="H991" s="29" t="n">
        <v>102</v>
      </c>
      <c r="I991" s="21" t="inlineStr">
        <is>
          <t>2025</t>
        </is>
      </c>
      <c r="J991" s="21" t="inlineStr">
        <is>
          <t xml:space="preserve"> 1</t>
        </is>
      </c>
      <c r="K991" s="30">
        <f>(E991-F991)/IF(E991&gt;0,E991,1)</f>
        <v/>
      </c>
    </row>
    <row r="992">
      <c r="A992" s="22" t="inlineStr">
        <is>
          <t>AI 법과 아이피 이슈</t>
        </is>
      </c>
      <c r="B992" s="22" t="inlineStr">
        <is>
          <t>정윤경</t>
        </is>
      </c>
      <c r="C992" s="22" t="inlineStr">
        <is>
          <t>커뮤니케이션북스</t>
        </is>
      </c>
      <c r="D992" s="22" t="inlineStr">
        <is>
          <t>2025년 10월</t>
        </is>
      </c>
      <c r="E992" s="28" t="n">
        <v>12000</v>
      </c>
      <c r="F992" s="28" t="n">
        <v>12000</v>
      </c>
      <c r="G992" s="29" t="n">
        <v>0</v>
      </c>
      <c r="H992" s="29" t="n">
        <v>90</v>
      </c>
      <c r="I992" s="21" t="inlineStr">
        <is>
          <t>2025</t>
        </is>
      </c>
      <c r="J992" s="21" t="inlineStr">
        <is>
          <t xml:space="preserve"> 1</t>
        </is>
      </c>
      <c r="K992" s="30">
        <f>(E992-F992)/IF(E992&gt;0,E992,1)</f>
        <v/>
      </c>
    </row>
    <row r="993">
      <c r="A993" s="22" t="inlineStr">
        <is>
          <t>AI 비서와 함께 하는 웹 호스팅</t>
        </is>
      </c>
      <c r="B993" s="22" t="inlineStr">
        <is>
          <t>박경배</t>
        </is>
      </c>
      <c r="C993" s="22" t="inlineStr">
        <is>
          <t>21세기사</t>
        </is>
      </c>
      <c r="D993" s="22" t="inlineStr">
        <is>
          <t>2025년 08월</t>
        </is>
      </c>
      <c r="E993" s="28" t="n">
        <v>30000</v>
      </c>
      <c r="F993" s="28" t="n">
        <v>30000</v>
      </c>
      <c r="G993" s="29" t="n">
        <v>0</v>
      </c>
      <c r="H993" s="29" t="n">
        <v>90</v>
      </c>
      <c r="I993" s="21" t="inlineStr">
        <is>
          <t>2025</t>
        </is>
      </c>
      <c r="J993" s="21" t="inlineStr">
        <is>
          <t xml:space="preserve"> 0</t>
        </is>
      </c>
      <c r="K993" s="30">
        <f>(E993-F993)/IF(E993&gt;0,E993,1)</f>
        <v/>
      </c>
    </row>
    <row r="994">
      <c r="A994" s="22" t="inlineStr">
        <is>
          <t>AI 주권과 지속 가능한 공공 파운데이션 모델</t>
        </is>
      </c>
      <c r="B994" s="22" t="inlineStr">
        <is>
          <t>윤창희</t>
        </is>
      </c>
      <c r="C994" s="22" t="inlineStr">
        <is>
          <t>커뮤니케이션북스</t>
        </is>
      </c>
      <c r="D994" s="22" t="inlineStr">
        <is>
          <t>2025년 09월</t>
        </is>
      </c>
      <c r="E994" s="28" t="n">
        <v>12000</v>
      </c>
      <c r="F994" s="28" t="n">
        <v>12000</v>
      </c>
      <c r="G994" s="29" t="n">
        <v>1</v>
      </c>
      <c r="H994" s="29" t="n">
        <v>114</v>
      </c>
      <c r="I994" s="21" t="inlineStr">
        <is>
          <t>2025</t>
        </is>
      </c>
      <c r="J994" s="21" t="inlineStr">
        <is>
          <t xml:space="preserve"> 0</t>
        </is>
      </c>
      <c r="K994" s="30">
        <f>(E994-F994)/IF(E994&gt;0,E994,1)</f>
        <v/>
      </c>
    </row>
    <row r="995">
      <c r="A995" s="22" t="inlineStr">
        <is>
          <t>AI와 회계사</t>
        </is>
      </c>
      <c r="B995" s="22" t="inlineStr">
        <is>
          <t>윤양인</t>
        </is>
      </c>
      <c r="C995" s="22" t="inlineStr">
        <is>
          <t>커뮤니케이션북스</t>
        </is>
      </c>
      <c r="D995" s="22" t="inlineStr">
        <is>
          <t>2025년 05월</t>
        </is>
      </c>
      <c r="E995" s="28" t="n">
        <v>12000</v>
      </c>
      <c r="F995" s="28" t="n">
        <v>12000</v>
      </c>
      <c r="G995" s="29" t="n">
        <v>0</v>
      </c>
      <c r="H995" s="29" t="n">
        <v>114</v>
      </c>
      <c r="I995" s="21" t="inlineStr">
        <is>
          <t>2025</t>
        </is>
      </c>
      <c r="J995" s="21" t="inlineStr">
        <is>
          <t xml:space="preserve"> 0</t>
        </is>
      </c>
      <c r="K995" s="30">
        <f>(E995-F995)/IF(E995&gt;0,E995,1)</f>
        <v/>
      </c>
    </row>
    <row r="996">
      <c r="A996" s="22" t="inlineStr">
        <is>
          <t>AI와 인간관계의 변화</t>
        </is>
      </c>
      <c r="B996" s="22" t="inlineStr">
        <is>
          <t>나은영</t>
        </is>
      </c>
      <c r="C996" s="22" t="inlineStr">
        <is>
          <t>커뮤니케이션북스</t>
        </is>
      </c>
      <c r="D996" s="22" t="inlineStr">
        <is>
          <t>2025년 04월</t>
        </is>
      </c>
      <c r="E996" s="28" t="n">
        <v>12000</v>
      </c>
      <c r="F996" s="28" t="n">
        <v>12000</v>
      </c>
      <c r="G996" s="29" t="n">
        <v>0</v>
      </c>
      <c r="H996" s="29" t="n">
        <v>78</v>
      </c>
      <c r="I996" s="21" t="inlineStr">
        <is>
          <t>2025</t>
        </is>
      </c>
      <c r="J996" s="21" t="inlineStr">
        <is>
          <t xml:space="preserve"> 0</t>
        </is>
      </c>
      <c r="K996" s="30">
        <f>(E996-F996)/IF(E996&gt;0,E996,1)</f>
        <v/>
      </c>
    </row>
    <row r="997">
      <c r="A997" s="22" t="inlineStr">
        <is>
          <t>딥페이크 생성과 탐지</t>
        </is>
      </c>
      <c r="B997" s="22" t="inlineStr">
        <is>
          <t>유하진</t>
        </is>
      </c>
      <c r="C997" s="22" t="inlineStr">
        <is>
          <t>커뮤니케이션북스</t>
        </is>
      </c>
      <c r="D997" s="22" t="inlineStr">
        <is>
          <t>2025년 04월</t>
        </is>
      </c>
      <c r="E997" s="28" t="n">
        <v>12000</v>
      </c>
      <c r="F997" s="28" t="n">
        <v>12000</v>
      </c>
      <c r="G997" s="29" t="n">
        <v>0</v>
      </c>
      <c r="H997" s="29" t="n">
        <v>78</v>
      </c>
      <c r="I997" s="21" t="inlineStr">
        <is>
          <t>2025</t>
        </is>
      </c>
      <c r="J997" s="21" t="inlineStr">
        <is>
          <t xml:space="preserve"> 0</t>
        </is>
      </c>
      <c r="K997" s="30">
        <f>(E997-F997)/IF(E997&gt;0,E997,1)</f>
        <v/>
      </c>
    </row>
    <row r="998">
      <c r="A998" s="22" t="inlineStr">
        <is>
          <t>생성형 AI와 도시·부동산</t>
        </is>
      </c>
      <c r="B998" s="22" t="inlineStr">
        <is>
          <t>서정렬</t>
        </is>
      </c>
      <c r="C998" s="22" t="inlineStr">
        <is>
          <t>커뮤니케이션북스</t>
        </is>
      </c>
      <c r="D998" s="22" t="inlineStr">
        <is>
          <t>2025년 03월</t>
        </is>
      </c>
      <c r="E998" s="28" t="n">
        <v>12000</v>
      </c>
      <c r="F998" s="28" t="n">
        <v>12000</v>
      </c>
      <c r="G998" s="29" t="n">
        <v>2</v>
      </c>
      <c r="H998" s="29" t="n">
        <v>90</v>
      </c>
      <c r="I998" s="21" t="inlineStr">
        <is>
          <t>2025</t>
        </is>
      </c>
      <c r="J998" s="21" t="inlineStr">
        <is>
          <t xml:space="preserve"> 0</t>
        </is>
      </c>
      <c r="K998" s="30">
        <f>(E998-F998)/IF(E998&gt;0,E998,1)</f>
        <v/>
      </c>
    </row>
    <row r="999">
      <c r="A999" s="22" t="inlineStr">
        <is>
          <t>AI와 함께하는 독서경영</t>
        </is>
      </c>
      <c r="B999" s="22" t="inlineStr">
        <is>
          <t>이혜정</t>
        </is>
      </c>
      <c r="C999" s="22" t="inlineStr">
        <is>
          <t>BOOKK(부크크)</t>
        </is>
      </c>
      <c r="D999" s="22" t="inlineStr">
        <is>
          <t>2025년 03월</t>
        </is>
      </c>
      <c r="E999" s="28" t="n">
        <v>17900</v>
      </c>
      <c r="F999" s="28" t="n">
        <v>17900</v>
      </c>
      <c r="G999" s="29" t="n">
        <v>7</v>
      </c>
      <c r="H999" s="29" t="n">
        <v>102</v>
      </c>
      <c r="I999" s="21" t="inlineStr">
        <is>
          <t>2025</t>
        </is>
      </c>
      <c r="J999" s="21" t="inlineStr">
        <is>
          <t xml:space="preserve"> 0</t>
        </is>
      </c>
      <c r="K999" s="30">
        <f>(E999-F999)/IF(E999&gt;0,E999,1)</f>
        <v/>
      </c>
    </row>
    <row r="1000">
      <c r="A1000" s="22" t="inlineStr">
        <is>
          <t>자연어처리를 위한 딥러닝</t>
        </is>
      </c>
      <c r="B1000" s="22" t="inlineStr">
        <is>
          <t>Stephan Raaijmakers, 박진수</t>
        </is>
      </c>
      <c r="C1000" s="22" t="inlineStr">
        <is>
          <t>시그마프레스</t>
        </is>
      </c>
      <c r="D1000" s="22" t="inlineStr">
        <is>
          <t>2024년 07월</t>
        </is>
      </c>
      <c r="E1000" s="28" t="n">
        <v>25000</v>
      </c>
      <c r="F1000" s="28" t="n">
        <v>25000</v>
      </c>
      <c r="G1000" s="29" t="n">
        <v>2</v>
      </c>
      <c r="H1000" s="29" t="n">
        <v>78</v>
      </c>
      <c r="I1000" s="21" t="inlineStr">
        <is>
          <t>2024</t>
        </is>
      </c>
      <c r="J1000" s="21" t="inlineStr">
        <is>
          <t xml:space="preserve"> 0</t>
        </is>
      </c>
      <c r="K1000" s="30">
        <f>(E1000-F1000)/IF(E1000&gt;0,E1000,1)</f>
        <v/>
      </c>
    </row>
    <row r="1001">
      <c r="A1001" s="22" t="inlineStr">
        <is>
          <t>인공지능 관계소통학</t>
        </is>
      </c>
      <c r="B1001" s="22" t="inlineStr">
        <is>
          <t>이찬규, 이유미, 문혜진, 박소영</t>
        </is>
      </c>
      <c r="C1001" s="22" t="inlineStr">
        <is>
          <t>태학사</t>
        </is>
      </c>
      <c r="D1001" s="22" t="inlineStr">
        <is>
          <t>2024년 05월</t>
        </is>
      </c>
      <c r="E1001" s="28" t="n">
        <v>21000</v>
      </c>
      <c r="F1001" s="28" t="n">
        <v>19950</v>
      </c>
      <c r="G1001" s="29" t="n">
        <v>2</v>
      </c>
      <c r="H1001" s="29" t="n">
        <v>132</v>
      </c>
      <c r="I1001" s="21" t="inlineStr">
        <is>
          <t>2024</t>
        </is>
      </c>
      <c r="J1001" s="21" t="inlineStr">
        <is>
          <t xml:space="preserve"> 0</t>
        </is>
      </c>
      <c r="K1001" s="30">
        <f>(E1001-F1001)/IF(E1001&gt;0,E1001,1)</f>
        <v/>
      </c>
    </row>
    <row r="1002">
      <c r="A1002" s="22" t="inlineStr">
        <is>
          <t>인간이 지워진다</t>
        </is>
      </c>
      <c r="B1002" s="22" t="inlineStr">
        <is>
          <t>김덕진, 송태민, 우희종, 이상호, 류덕민</t>
        </is>
      </c>
      <c r="C1002" s="22" t="inlineStr">
        <is>
          <t>메디치미디어</t>
        </is>
      </c>
      <c r="D1002" s="22" t="inlineStr">
        <is>
          <t>2023년 09월</t>
        </is>
      </c>
      <c r="E1002" s="28" t="n">
        <v>15000</v>
      </c>
      <c r="F1002" s="28" t="n">
        <v>13500</v>
      </c>
      <c r="G1002" s="29" t="n">
        <v>1</v>
      </c>
      <c r="H1002" s="29" t="n">
        <v>78</v>
      </c>
      <c r="I1002" s="21" t="inlineStr">
        <is>
          <t>2023</t>
        </is>
      </c>
      <c r="J1002" s="21" t="inlineStr">
        <is>
          <t xml:space="preserve"> 0</t>
        </is>
      </c>
      <c r="K1002" s="30">
        <f>(E1002-F1002)/IF(E1002&gt;0,E1002,1)</f>
        <v/>
      </c>
    </row>
    <row r="1003">
      <c r="A1003" s="22" t="inlineStr">
        <is>
          <t>한번에 끝내는 빅데이터 분석 및 인공지능 기초</t>
        </is>
      </c>
      <c r="B1003" s="22" t="inlineStr">
        <is>
          <t>정은미</t>
        </is>
      </c>
      <c r="C1003" s="22" t="inlineStr">
        <is>
          <t>홍릉</t>
        </is>
      </c>
      <c r="D1003" s="22" t="inlineStr">
        <is>
          <t>2023년 08월</t>
        </is>
      </c>
      <c r="E1003" s="28" t="n">
        <v>28000</v>
      </c>
      <c r="F1003" s="28" t="n">
        <v>28000</v>
      </c>
      <c r="G1003" s="29" t="n">
        <v>1</v>
      </c>
      <c r="H1003" s="29" t="n">
        <v>102</v>
      </c>
      <c r="I1003" s="21" t="inlineStr">
        <is>
          <t>2023</t>
        </is>
      </c>
      <c r="J1003" s="21" t="inlineStr">
        <is>
          <t xml:space="preserve"> 0</t>
        </is>
      </c>
      <c r="K1003" s="30">
        <f>(E1003-F1003)/IF(E1003&gt;0,E1003,1)</f>
        <v/>
      </c>
    </row>
    <row r="1004">
      <c r="A1004" s="22" t="inlineStr">
        <is>
          <t>데이터 과학 레벨 업 with 로드맵</t>
        </is>
      </c>
      <c r="B1004" s="22" t="inlineStr">
        <is>
          <t>콘라트 바나헤비치, 루카 마사론, 김형민</t>
        </is>
      </c>
      <c r="C1004" s="22" t="inlineStr">
        <is>
          <t>한빛미디어</t>
        </is>
      </c>
      <c r="D1004" s="22" t="inlineStr">
        <is>
          <t>2023년 04월</t>
        </is>
      </c>
      <c r="E1004" s="28" t="n">
        <v>38000</v>
      </c>
      <c r="F1004" s="28" t="n">
        <v>34200</v>
      </c>
      <c r="G1004" s="29" t="n">
        <v>20</v>
      </c>
      <c r="H1004" s="29" t="n">
        <v>102</v>
      </c>
      <c r="I1004" s="21" t="inlineStr">
        <is>
          <t>2023</t>
        </is>
      </c>
      <c r="J1004" s="21" t="inlineStr">
        <is>
          <t xml:space="preserve"> 0</t>
        </is>
      </c>
      <c r="K1004" s="30">
        <f>(E1004-F1004)/IF(E1004&gt;0,E1004,1)</f>
        <v/>
      </c>
    </row>
    <row r="1005">
      <c r="A1005" s="22" t="inlineStr">
        <is>
          <t>마음은 어떻게 기계가 되었나</t>
        </is>
      </c>
      <c r="B1005" s="22" t="inlineStr">
        <is>
          <t>장피에르 뒤피, 배문정</t>
        </is>
      </c>
      <c r="C1005" s="22" t="inlineStr">
        <is>
          <t>지식공작소</t>
        </is>
      </c>
      <c r="D1005" s="22" t="inlineStr">
        <is>
          <t>2023년 03월</t>
        </is>
      </c>
      <c r="E1005" s="28" t="n">
        <v>32000</v>
      </c>
      <c r="F1005" s="28" t="n">
        <v>32000</v>
      </c>
      <c r="G1005" s="29" t="n">
        <v>1</v>
      </c>
      <c r="H1005" s="29" t="n">
        <v>114</v>
      </c>
      <c r="I1005" s="21" t="inlineStr">
        <is>
          <t>2023</t>
        </is>
      </c>
      <c r="J1005" s="21" t="inlineStr">
        <is>
          <t xml:space="preserve"> 0</t>
        </is>
      </c>
      <c r="K1005" s="30">
        <f>(E1005-F1005)/IF(E1005&gt;0,E1005,1)</f>
        <v/>
      </c>
    </row>
    <row r="1006">
      <c r="A1006" s="22" t="inlineStr">
        <is>
          <t>인공지능 교과서</t>
        </is>
      </c>
      <c r="B1006" s="22" t="inlineStr">
        <is>
          <t>이모토 타카시, 김기태, 이강덕</t>
        </is>
      </c>
      <c r="C1006" s="22" t="inlineStr">
        <is>
          <t>성안당</t>
        </is>
      </c>
      <c r="D1006" s="22" t="inlineStr">
        <is>
          <t>2021년 01월</t>
        </is>
      </c>
      <c r="E1006" s="28" t="n">
        <v>19000</v>
      </c>
      <c r="F1006" s="28" t="n">
        <v>17100</v>
      </c>
      <c r="G1006" s="29" t="n">
        <v>4</v>
      </c>
      <c r="H1006" s="29" t="n">
        <v>48</v>
      </c>
      <c r="I1006" s="21" t="inlineStr">
        <is>
          <t>2021</t>
        </is>
      </c>
      <c r="J1006" s="21" t="inlineStr">
        <is>
          <t xml:space="preserve"> 0</t>
        </is>
      </c>
      <c r="K1006" s="30">
        <f>(E1006-F1006)/IF(E1006&gt;0,E1006,1)</f>
        <v/>
      </c>
    </row>
    <row r="1007">
      <c r="A1007" s="22" t="inlineStr">
        <is>
          <t>유니티로 배우는 AI 프로그래밍 쿡북 2/e</t>
        </is>
      </c>
      <c r="B1007" s="22" t="inlineStr">
        <is>
          <t>호르헤 팔라시오스, 최동훈</t>
        </is>
      </c>
      <c r="C1007" s="22" t="inlineStr">
        <is>
          <t>에이콘출판사</t>
        </is>
      </c>
      <c r="D1007" s="22" t="inlineStr">
        <is>
          <t>2020년 10월</t>
        </is>
      </c>
      <c r="E1007" s="28" t="n">
        <v>33000</v>
      </c>
      <c r="F1007" s="28" t="n">
        <v>29700</v>
      </c>
      <c r="G1007" s="29" t="n">
        <v>6</v>
      </c>
      <c r="H1007" s="29" t="n">
        <v>90</v>
      </c>
      <c r="I1007" s="21" t="inlineStr">
        <is>
          <t>2020</t>
        </is>
      </c>
      <c r="J1007" s="21" t="inlineStr">
        <is>
          <t xml:space="preserve"> 1</t>
        </is>
      </c>
      <c r="K1007" s="30">
        <f>(E1007-F1007)/IF(E1007&gt;0,E1007,1)</f>
        <v/>
      </c>
    </row>
    <row r="1008">
      <c r="A1008" s="22" t="inlineStr">
        <is>
          <t>PyTorch로 시작하는 딥러닝</t>
        </is>
      </c>
      <c r="B1008" s="22" t="inlineStr">
        <is>
          <t>비슈누 수브라마니안, 김태완</t>
        </is>
      </c>
      <c r="C1008" s="22" t="inlineStr">
        <is>
          <t>에이콘출판사</t>
        </is>
      </c>
      <c r="D1008" s="22" t="inlineStr">
        <is>
          <t>2019년 02월</t>
        </is>
      </c>
      <c r="E1008" s="28" t="n">
        <v>25000</v>
      </c>
      <c r="F1008" s="28" t="n">
        <v>22500</v>
      </c>
      <c r="G1008" s="29" t="n">
        <v>5</v>
      </c>
      <c r="H1008" s="29" t="n">
        <v>72</v>
      </c>
      <c r="I1008" s="21" t="inlineStr">
        <is>
          <t>2019</t>
        </is>
      </c>
      <c r="J1008" s="21" t="inlineStr">
        <is>
          <t xml:space="preserve"> 0</t>
        </is>
      </c>
      <c r="K1008" s="30">
        <f>(E1008-F1008)/IF(E1008&gt;0,E1008,1)</f>
        <v/>
      </c>
    </row>
    <row r="1009">
      <c r="A1009" s="22" t="inlineStr">
        <is>
          <t>식품 산업과 인공지능</t>
        </is>
      </c>
      <c r="B1009" s="22" t="inlineStr">
        <is>
          <t>김상오</t>
        </is>
      </c>
      <c r="C1009" s="22" t="inlineStr">
        <is>
          <t>커뮤니케이션북스</t>
        </is>
      </c>
      <c r="D1009" s="22" t="inlineStr">
        <is>
          <t>2025년 03월</t>
        </is>
      </c>
      <c r="E1009" s="28" t="n">
        <v>12000</v>
      </c>
      <c r="F1009" s="28" t="n">
        <v>12000</v>
      </c>
      <c r="G1009" s="29" t="n">
        <v>0</v>
      </c>
      <c r="H1009" s="29" t="n">
        <v>102</v>
      </c>
      <c r="I1009" s="21" t="inlineStr">
        <is>
          <t>2025</t>
        </is>
      </c>
      <c r="J1009" s="21" t="inlineStr">
        <is>
          <t xml:space="preserve"> 0</t>
        </is>
      </c>
      <c r="K1009" s="30">
        <f>(E1009-F1009)/IF(E1009&gt;0,E1009,1)</f>
        <v/>
      </c>
    </row>
    <row r="1010">
      <c r="A1010" s="22" t="inlineStr">
        <is>
          <t>경영을 넷플릭스하다</t>
        </is>
      </c>
      <c r="B1010" s="22" t="inlineStr">
        <is>
          <t>이학연</t>
        </is>
      </c>
      <c r="C1010" s="22" t="inlineStr">
        <is>
          <t>넥서스BIZ</t>
        </is>
      </c>
      <c r="D1010" s="22" t="inlineStr">
        <is>
          <t>2020년 03월</t>
        </is>
      </c>
      <c r="E1010" s="28" t="n">
        <v>17500</v>
      </c>
      <c r="F1010" s="28" t="n">
        <v>15750</v>
      </c>
      <c r="G1010" s="29" t="n">
        <v>35</v>
      </c>
      <c r="H1010" s="29" t="n">
        <v>84</v>
      </c>
      <c r="I1010" s="21" t="inlineStr">
        <is>
          <t>2020</t>
        </is>
      </c>
      <c r="J1010" s="21" t="inlineStr">
        <is>
          <t xml:space="preserve"> 0</t>
        </is>
      </c>
      <c r="K1010" s="30">
        <f>(E1010-F1010)/IF(E1010&gt;0,E1010,1)</f>
        <v/>
      </c>
    </row>
    <row r="1011">
      <c r="A1011" s="22" t="inlineStr">
        <is>
          <t>AI와 중국</t>
        </is>
      </c>
      <c r="B1011" s="22" t="inlineStr">
        <is>
          <t>안창현</t>
        </is>
      </c>
      <c r="C1011" s="22" t="inlineStr">
        <is>
          <t>커뮤니케이션북스</t>
        </is>
      </c>
      <c r="D1011" s="22" t="inlineStr">
        <is>
          <t>2026년 02월</t>
        </is>
      </c>
      <c r="E1011" s="28" t="n">
        <v>12000</v>
      </c>
      <c r="F1011" s="28" t="n">
        <v>12000</v>
      </c>
      <c r="G1011" s="29" t="n">
        <v>0</v>
      </c>
      <c r="H1011" s="29" t="n">
        <v>78</v>
      </c>
      <c r="I1011" s="21" t="inlineStr">
        <is>
          <t>2026</t>
        </is>
      </c>
      <c r="J1011" s="21" t="inlineStr">
        <is>
          <t xml:space="preserve"> 0</t>
        </is>
      </c>
      <c r="K1011" s="30">
        <f>(E1011-F1011)/IF(E1011&gt;0,E1011,1)</f>
        <v/>
      </c>
    </row>
    <row r="1012">
      <c r="A1012" s="22" t="inlineStr">
        <is>
          <t>생성형 AI, 교실 속 협력 파트너 - 중등편</t>
        </is>
      </c>
      <c r="B1012" s="22" t="inlineStr">
        <is>
          <t>한선관, 이문주, 송동주</t>
        </is>
      </c>
      <c r="C1012" s="22" t="inlineStr">
        <is>
          <t>연두에디션</t>
        </is>
      </c>
      <c r="D1012" s="22" t="inlineStr">
        <is>
          <t>2026년 02월</t>
        </is>
      </c>
      <c r="E1012" s="28" t="n">
        <v>22000</v>
      </c>
      <c r="F1012" s="28" t="n">
        <v>22000</v>
      </c>
      <c r="G1012" s="29" t="n">
        <v>0</v>
      </c>
      <c r="H1012" s="29" t="n">
        <v>108</v>
      </c>
      <c r="I1012" s="21" t="inlineStr">
        <is>
          <t>2026</t>
        </is>
      </c>
      <c r="J1012" s="21" t="inlineStr">
        <is>
          <t xml:space="preserve"> 0</t>
        </is>
      </c>
      <c r="K1012" s="30">
        <f>(E1012-F1012)/IF(E1012&gt;0,E1012,1)</f>
        <v/>
      </c>
    </row>
    <row r="1013">
      <c r="A1013" s="22" t="inlineStr">
        <is>
          <t>누구나 쉽게 AI 작사 &amp; 작곡 with 생성형 인공지능, 챗GPT, 수노, 유디오 (큰글자책)</t>
        </is>
      </c>
      <c r="B1013" s="22" t="inlineStr">
        <is>
          <t>현병욱(오땡큐), 신수진</t>
        </is>
      </c>
      <c r="C1013" s="22" t="inlineStr">
        <is>
          <t>시프트</t>
        </is>
      </c>
      <c r="D1013" s="22" t="inlineStr">
        <is>
          <t>2026년 02월</t>
        </is>
      </c>
      <c r="E1013" s="28" t="n">
        <v>39000</v>
      </c>
      <c r="F1013" s="28" t="n">
        <v>39000</v>
      </c>
      <c r="G1013" s="29" t="n">
        <v>0</v>
      </c>
      <c r="H1013" s="29" t="n">
        <v>90</v>
      </c>
      <c r="I1013" s="21" t="inlineStr">
        <is>
          <t>2026</t>
        </is>
      </c>
      <c r="J1013" s="21" t="inlineStr">
        <is>
          <t xml:space="preserve"> 0</t>
        </is>
      </c>
      <c r="K1013" s="30">
        <f>(E1013-F1013)/IF(E1013&gt;0,E1013,1)</f>
        <v/>
      </c>
    </row>
    <row r="1014">
      <c r="A1014" s="22" t="inlineStr">
        <is>
          <t>AI와 음악 교육</t>
        </is>
      </c>
      <c r="B1014" s="22" t="inlineStr">
        <is>
          <t>윤관기</t>
        </is>
      </c>
      <c r="C1014" s="22" t="inlineStr">
        <is>
          <t>커뮤니케이션북스</t>
        </is>
      </c>
      <c r="D1014" s="22" t="inlineStr">
        <is>
          <t>2025년 12월</t>
        </is>
      </c>
      <c r="E1014" s="28" t="n">
        <v>12000</v>
      </c>
      <c r="F1014" s="28" t="n">
        <v>12000</v>
      </c>
      <c r="G1014" s="29" t="n">
        <v>0</v>
      </c>
      <c r="H1014" s="29" t="n">
        <v>90</v>
      </c>
      <c r="I1014" s="21" t="inlineStr">
        <is>
          <t>2025</t>
        </is>
      </c>
      <c r="J1014" s="21" t="inlineStr">
        <is>
          <t xml:space="preserve"> 1</t>
        </is>
      </c>
      <c r="K1014" s="30">
        <f>(E1014-F1014)/IF(E1014&gt;0,E1014,1)</f>
        <v/>
      </c>
    </row>
    <row r="1015">
      <c r="A1015" s="22" t="inlineStr">
        <is>
          <t>AI 시대의 평등</t>
        </is>
      </c>
      <c r="B1015" s="22" t="inlineStr">
        <is>
          <t>유지연</t>
        </is>
      </c>
      <c r="C1015" s="22" t="inlineStr">
        <is>
          <t>커뮤니케이션북스</t>
        </is>
      </c>
      <c r="D1015" s="22" t="inlineStr">
        <is>
          <t>2025년 07월</t>
        </is>
      </c>
      <c r="E1015" s="28" t="n">
        <v>12000</v>
      </c>
      <c r="F1015" s="28" t="n">
        <v>12000</v>
      </c>
      <c r="G1015" s="29" t="n">
        <v>0</v>
      </c>
      <c r="H1015" s="29" t="n">
        <v>78</v>
      </c>
      <c r="I1015" s="21" t="inlineStr">
        <is>
          <t>2025</t>
        </is>
      </c>
      <c r="J1015" s="21" t="inlineStr">
        <is>
          <t xml:space="preserve"> 0</t>
        </is>
      </c>
      <c r="K1015" s="30">
        <f>(E1015-F1015)/IF(E1015&gt;0,E1015,1)</f>
        <v/>
      </c>
    </row>
    <row r="1016">
      <c r="A1016" s="22" t="inlineStr">
        <is>
          <t>AI와 엔터테인먼트 산업</t>
        </is>
      </c>
      <c r="B1016" s="22" t="inlineStr">
        <is>
          <t>황준민</t>
        </is>
      </c>
      <c r="C1016" s="22" t="inlineStr">
        <is>
          <t>커뮤니케이션북스</t>
        </is>
      </c>
      <c r="D1016" s="22" t="inlineStr">
        <is>
          <t>2025년 06월</t>
        </is>
      </c>
      <c r="E1016" s="28" t="n">
        <v>12000</v>
      </c>
      <c r="F1016" s="28" t="n">
        <v>12000</v>
      </c>
      <c r="G1016" s="29" t="n">
        <v>0</v>
      </c>
      <c r="H1016" s="29" t="n">
        <v>78</v>
      </c>
      <c r="I1016" s="21" t="inlineStr">
        <is>
          <t>2025</t>
        </is>
      </c>
      <c r="J1016" s="21" t="inlineStr">
        <is>
          <t xml:space="preserve"> 0</t>
        </is>
      </c>
      <c r="K1016" s="30">
        <f>(E1016-F1016)/IF(E1016&gt;0,E1016,1)</f>
        <v/>
      </c>
    </row>
    <row r="1017">
      <c r="A1017" s="22" t="inlineStr">
        <is>
          <t>특허와 인공지능</t>
        </is>
      </c>
      <c r="B1017" s="22" t="inlineStr">
        <is>
          <t>조성광</t>
        </is>
      </c>
      <c r="C1017" s="22" t="inlineStr">
        <is>
          <t>커뮤니케이션북스</t>
        </is>
      </c>
      <c r="D1017" s="22" t="inlineStr">
        <is>
          <t>2025년 06월</t>
        </is>
      </c>
      <c r="E1017" s="28" t="n">
        <v>12000</v>
      </c>
      <c r="F1017" s="28" t="n">
        <v>12000</v>
      </c>
      <c r="G1017" s="29" t="n">
        <v>0</v>
      </c>
      <c r="H1017" s="29" t="n">
        <v>114</v>
      </c>
      <c r="I1017" s="21" t="inlineStr">
        <is>
          <t>2025</t>
        </is>
      </c>
      <c r="J1017" s="21" t="inlineStr">
        <is>
          <t xml:space="preserve"> 0</t>
        </is>
      </c>
      <c r="K1017" s="30">
        <f>(E1017-F1017)/IF(E1017&gt;0,E1017,1)</f>
        <v/>
      </c>
    </row>
    <row r="1018">
      <c r="A1018" s="22" t="inlineStr">
        <is>
          <t>AI 리터러시 역량과 미래 대학 교육</t>
        </is>
      </c>
      <c r="B1018" s="22" t="inlineStr">
        <is>
          <t>김홍규</t>
        </is>
      </c>
      <c r="C1018" s="22" t="inlineStr">
        <is>
          <t>커뮤니케이션북스</t>
        </is>
      </c>
      <c r="D1018" s="22" t="inlineStr">
        <is>
          <t>2025년 05월</t>
        </is>
      </c>
      <c r="E1018" s="28" t="n">
        <v>12000</v>
      </c>
      <c r="F1018" s="28" t="n">
        <v>12000</v>
      </c>
      <c r="G1018" s="29" t="n">
        <v>0</v>
      </c>
      <c r="H1018" s="29" t="n">
        <v>120</v>
      </c>
      <c r="I1018" s="21" t="inlineStr">
        <is>
          <t>2025</t>
        </is>
      </c>
      <c r="J1018" s="21" t="inlineStr">
        <is>
          <t xml:space="preserve"> 0</t>
        </is>
      </c>
      <c r="K1018" s="30">
        <f>(E1018-F1018)/IF(E1018&gt;0,E1018,1)</f>
        <v/>
      </c>
    </row>
    <row r="1019">
      <c r="A1019" s="22" t="inlineStr">
        <is>
          <t>AI 골드러시, 돈을 버는 자는 누구인가</t>
        </is>
      </c>
      <c r="B1019" s="22" t="inlineStr">
        <is>
          <t>시마즈 쇼, 안동현</t>
        </is>
      </c>
      <c r="C1019" s="22" t="inlineStr">
        <is>
          <t>프리렉</t>
        </is>
      </c>
      <c r="D1019" s="22" t="inlineStr">
        <is>
          <t>2024년 10월</t>
        </is>
      </c>
      <c r="E1019" s="28" t="n">
        <v>22000</v>
      </c>
      <c r="F1019" s="28" t="n">
        <v>19800</v>
      </c>
      <c r="G1019" s="29" t="n">
        <v>13</v>
      </c>
      <c r="H1019" s="29" t="n">
        <v>114</v>
      </c>
      <c r="I1019" s="21" t="inlineStr">
        <is>
          <t>2024</t>
        </is>
      </c>
      <c r="J1019" s="21" t="inlineStr">
        <is>
          <t xml:space="preserve"> 1</t>
        </is>
      </c>
      <c r="K1019" s="30">
        <f>(E1019-F1019)/IF(E1019&gt;0,E1019,1)</f>
        <v/>
      </c>
    </row>
    <row r="1020">
      <c r="A1020" s="22" t="inlineStr">
        <is>
          <t>인공지능 개념 및 응용</t>
        </is>
      </c>
      <c r="B1020" s="22" t="inlineStr">
        <is>
          <t>김종완, 도용태, 김일곤, 박창현, 강병호, 정보 더 보기/감추기, 김종완, 도용태, 김일곤, 박창현, 강병호, 박성배</t>
        </is>
      </c>
      <c r="C1020" s="22" t="inlineStr">
        <is>
          <t>인피니티북스</t>
        </is>
      </c>
      <c r="D1020" s="22" t="inlineStr">
        <is>
          <t>2022년 08월</t>
        </is>
      </c>
      <c r="E1020" s="28" t="n">
        <v>30000</v>
      </c>
      <c r="F1020" s="28" t="n">
        <v>30000</v>
      </c>
      <c r="G1020" s="29" t="n">
        <v>1</v>
      </c>
      <c r="H1020" s="29" t="n">
        <v>90</v>
      </c>
      <c r="I1020" s="21" t="inlineStr">
        <is>
          <t>2022</t>
        </is>
      </c>
      <c r="J1020" s="21" t="inlineStr">
        <is>
          <t xml:space="preserve"> 0</t>
        </is>
      </c>
      <c r="K1020" s="30">
        <f>(E1020-F1020)/IF(E1020&gt;0,E1020,1)</f>
        <v/>
      </c>
    </row>
    <row r="1021">
      <c r="A1021" s="22" t="inlineStr">
        <is>
          <t>비전공자의 인공지능(AI) 입문</t>
        </is>
      </c>
      <c r="B1021" s="22" t="inlineStr">
        <is>
          <t>김정환, 박노일</t>
        </is>
      </c>
      <c r="C1021" s="22" t="inlineStr">
        <is>
          <t>홍릉</t>
        </is>
      </c>
      <c r="D1021" s="22" t="inlineStr">
        <is>
          <t>2022년 01월</t>
        </is>
      </c>
      <c r="E1021" s="28" t="n">
        <v>17000</v>
      </c>
      <c r="F1021" s="28" t="n">
        <v>17000</v>
      </c>
      <c r="G1021" s="29" t="n">
        <v>0</v>
      </c>
      <c r="H1021" s="29" t="n">
        <v>114</v>
      </c>
      <c r="I1021" s="21" t="inlineStr">
        <is>
          <t>2022</t>
        </is>
      </c>
      <c r="J1021" s="21" t="inlineStr">
        <is>
          <t xml:space="preserve"> 0</t>
        </is>
      </c>
      <c r="K1021" s="30">
        <f>(E1021-F1021)/IF(E1021&gt;0,E1021,1)</f>
        <v/>
      </c>
    </row>
    <row r="1022">
      <c r="A1022" s="22" t="inlineStr">
        <is>
          <t>코딩스쿨 엔트리로 시작하는 데이터 과학</t>
        </is>
      </c>
      <c r="B1022" s="22" t="inlineStr">
        <is>
          <t>정인기, 임지원, 홍지연</t>
        </is>
      </c>
      <c r="C1022" s="22" t="inlineStr">
        <is>
          <t>교학사</t>
        </is>
      </c>
      <c r="D1022" s="22" t="inlineStr">
        <is>
          <t>2021년 12월</t>
        </is>
      </c>
      <c r="E1022" s="28" t="n">
        <v>9000</v>
      </c>
      <c r="F1022" s="28" t="n">
        <v>8100</v>
      </c>
      <c r="G1022" s="29" t="n">
        <v>0</v>
      </c>
      <c r="H1022" s="29" t="n">
        <v>234</v>
      </c>
      <c r="I1022" s="21" t="inlineStr">
        <is>
          <t>2021</t>
        </is>
      </c>
      <c r="J1022" s="21" t="inlineStr">
        <is>
          <t xml:space="preserve"> 1</t>
        </is>
      </c>
      <c r="K1022" s="30">
        <f>(E1022-F1022)/IF(E1022&gt;0,E1022,1)</f>
        <v/>
      </c>
    </row>
    <row r="1023">
      <c r="A1023" s="22" t="inlineStr">
        <is>
          <t>살아 움직이는 머신러닝 파이프라인 설계</t>
        </is>
      </c>
      <c r="B1023" s="22" t="inlineStr">
        <is>
          <t>하네스 하프케, 캐서린 넬슨, 송호연</t>
        </is>
      </c>
      <c r="C1023" s="22" t="inlineStr">
        <is>
          <t>한빛미디어</t>
        </is>
      </c>
      <c r="D1023" s="22" t="inlineStr">
        <is>
          <t>2021년 10월</t>
        </is>
      </c>
      <c r="E1023" s="28" t="n">
        <v>32000</v>
      </c>
      <c r="F1023" s="28" t="n">
        <v>28800</v>
      </c>
      <c r="G1023" s="29" t="n">
        <v>2</v>
      </c>
      <c r="H1023" s="29" t="n">
        <v>90</v>
      </c>
      <c r="I1023" s="21" t="inlineStr">
        <is>
          <t>2021</t>
        </is>
      </c>
      <c r="J1023" s="21" t="inlineStr">
        <is>
          <t xml:space="preserve"> 1</t>
        </is>
      </c>
      <c r="K1023" s="30">
        <f>(E1023-F1023)/IF(E1023&gt;0,E1023,1)</f>
        <v/>
      </c>
    </row>
    <row r="1024">
      <c r="A1024" s="22" t="inlineStr">
        <is>
          <t>AI 대전환 시대, Who am I</t>
        </is>
      </c>
      <c r="B1024" s="22" t="inlineStr">
        <is>
          <t>김기진, 조원규, 김아영, 이소민, 박지연, 정보 더 보기/감추기, 김기진, 조원규, 김아영, 이소민, 박지연, 부정필, 서형석, 양승현, 유병선, 이재실, 최규철, 한정민</t>
        </is>
      </c>
      <c r="C1024" s="22" t="inlineStr">
        <is>
          <t>에릭스토리</t>
        </is>
      </c>
      <c r="D1024" s="22" t="inlineStr">
        <is>
          <t>2025년 02월</t>
        </is>
      </c>
      <c r="E1024" s="28" t="n">
        <v>17000</v>
      </c>
      <c r="F1024" s="28" t="n">
        <v>15300</v>
      </c>
      <c r="G1024" s="29" t="n">
        <v>2</v>
      </c>
      <c r="H1024" s="29" t="n">
        <v>132</v>
      </c>
      <c r="I1024" s="21" t="inlineStr">
        <is>
          <t>2025</t>
        </is>
      </c>
      <c r="J1024" s="21" t="inlineStr">
        <is>
          <t xml:space="preserve"> 0</t>
        </is>
      </c>
      <c r="K1024" s="30">
        <f>(E1024-F1024)/IF(E1024&gt;0,E1024,1)</f>
        <v/>
      </c>
    </row>
    <row r="1025">
      <c r="A1025" s="22" t="inlineStr">
        <is>
          <t>AI 에이전트 개발과 운영 올인원 가이드</t>
        </is>
      </c>
      <c r="B1025" s="22" t="inlineStr">
        <is>
          <t>온다 미노루, 오쓰보 유, 쓰카다 마사키, 두발타고</t>
        </is>
      </c>
      <c r="C1025" s="22" t="inlineStr">
        <is>
          <t>제이펍</t>
        </is>
      </c>
      <c r="D1025" s="22" t="inlineStr">
        <is>
          <t>2026년 06월</t>
        </is>
      </c>
      <c r="E1025" s="28" t="n">
        <v>33000</v>
      </c>
      <c r="F1025" s="28" t="n">
        <v>29700</v>
      </c>
      <c r="G1025" s="29" t="n">
        <v>0</v>
      </c>
      <c r="H1025" s="29" t="n">
        <v>42</v>
      </c>
      <c r="I1025" s="21" t="inlineStr">
        <is>
          <t>2026</t>
        </is>
      </c>
      <c r="J1025" s="21" t="inlineStr">
        <is>
          <t xml:space="preserve"> 0</t>
        </is>
      </c>
      <c r="K1025" s="30">
        <f>(E1025-F1025)/IF(E1025&gt;0,E1025,1)</f>
        <v/>
      </c>
    </row>
    <row r="1026">
      <c r="A1026" s="22" t="inlineStr">
        <is>
          <t>AI로봇이 당신의 직업을 빼앗아간다</t>
        </is>
      </c>
      <c r="B1026" s="22" t="inlineStr">
        <is>
          <t>고경철, 박현섭, 황정훈, 조규남</t>
        </is>
      </c>
      <c r="C1026" s="22" t="inlineStr">
        <is>
          <t>크라운출판사</t>
        </is>
      </c>
      <c r="D1026" s="22" t="inlineStr">
        <is>
          <t>2026년 06월</t>
        </is>
      </c>
      <c r="E1026" s="28" t="n">
        <v>18000</v>
      </c>
      <c r="F1026" s="28" t="n">
        <v>16200</v>
      </c>
      <c r="G1026" s="29" t="n">
        <v>1</v>
      </c>
      <c r="H1026" s="29" t="n">
        <v>66</v>
      </c>
      <c r="I1026" s="21" t="inlineStr">
        <is>
          <t>2026</t>
        </is>
      </c>
      <c r="J1026" s="21" t="inlineStr">
        <is>
          <t xml:space="preserve"> 0</t>
        </is>
      </c>
      <c r="K1026" s="30">
        <f>(E1026-F1026)/IF(E1026&gt;0,E1026,1)</f>
        <v/>
      </c>
    </row>
    <row r="1027">
      <c r="A1027" s="22" t="inlineStr">
        <is>
          <t>생성형 AI와 춤</t>
        </is>
      </c>
      <c r="B1027" s="22" t="inlineStr">
        <is>
          <t>유주연</t>
        </is>
      </c>
      <c r="C1027" s="22" t="inlineStr">
        <is>
          <t>커뮤니케이션북스</t>
        </is>
      </c>
      <c r="D1027" s="22" t="inlineStr">
        <is>
          <t>2025년 12월</t>
        </is>
      </c>
      <c r="E1027" s="28" t="n">
        <v>12000</v>
      </c>
      <c r="F1027" s="28" t="n">
        <v>12000</v>
      </c>
      <c r="G1027" s="29" t="n">
        <v>0</v>
      </c>
      <c r="H1027" s="29" t="n">
        <v>54</v>
      </c>
      <c r="I1027" s="21" t="inlineStr">
        <is>
          <t>2025</t>
        </is>
      </c>
      <c r="J1027" s="21" t="inlineStr">
        <is>
          <t xml:space="preserve"> 1</t>
        </is>
      </c>
      <c r="K1027" s="30">
        <f>(E1027-F1027)/IF(E1027&gt;0,E1027,1)</f>
        <v/>
      </c>
    </row>
    <row r="1028">
      <c r="A1028" s="22" t="inlineStr">
        <is>
          <t>게임과 인공지능</t>
        </is>
      </c>
      <c r="B1028" s="22" t="inlineStr">
        <is>
          <t>이진</t>
        </is>
      </c>
      <c r="C1028" s="22" t="inlineStr">
        <is>
          <t>커뮤니케이션북스</t>
        </is>
      </c>
      <c r="D1028" s="22" t="inlineStr">
        <is>
          <t>2025년 02월</t>
        </is>
      </c>
      <c r="E1028" s="28" t="n">
        <v>12000</v>
      </c>
      <c r="F1028" s="28" t="n">
        <v>12000</v>
      </c>
      <c r="G1028" s="29" t="n">
        <v>0</v>
      </c>
      <c r="H1028" s="29" t="n">
        <v>72</v>
      </c>
      <c r="I1028" s="21" t="inlineStr">
        <is>
          <t>2025</t>
        </is>
      </c>
      <c r="J1028" s="21" t="inlineStr">
        <is>
          <t xml:space="preserve"> 0</t>
        </is>
      </c>
      <c r="K1028" s="30">
        <f>(E1028-F1028)/IF(E1028&gt;0,E1028,1)</f>
        <v/>
      </c>
    </row>
    <row r="1029">
      <c r="A1029" s="22" t="inlineStr">
        <is>
          <t>AI와 패션</t>
        </is>
      </c>
      <c r="B1029" s="22" t="inlineStr">
        <is>
          <t>양윤정</t>
        </is>
      </c>
      <c r="C1029" s="22" t="inlineStr">
        <is>
          <t>커뮤니케이션북스</t>
        </is>
      </c>
      <c r="D1029" s="22" t="inlineStr">
        <is>
          <t>2024년 08월</t>
        </is>
      </c>
      <c r="E1029" s="28" t="n">
        <v>12000</v>
      </c>
      <c r="F1029" s="28" t="n">
        <v>12000</v>
      </c>
      <c r="G1029" s="29" t="n">
        <v>0</v>
      </c>
      <c r="H1029" s="29" t="n">
        <v>66</v>
      </c>
      <c r="I1029" s="21" t="inlineStr">
        <is>
          <t>2024</t>
        </is>
      </c>
      <c r="J1029" s="21" t="inlineStr">
        <is>
          <t xml:space="preserve"> 0</t>
        </is>
      </c>
      <c r="K1029" s="30">
        <f>(E1029-F1029)/IF(E1029&gt;0,E1029,1)</f>
        <v/>
      </c>
    </row>
    <row r="1030">
      <c r="A1030" s="22" t="inlineStr">
        <is>
          <t>AI와 스마트홈</t>
        </is>
      </c>
      <c r="B1030" s="22" t="inlineStr">
        <is>
          <t>윤명섭</t>
        </is>
      </c>
      <c r="C1030" s="22" t="inlineStr">
        <is>
          <t>커뮤니케이션북스</t>
        </is>
      </c>
      <c r="D1030" s="22" t="inlineStr">
        <is>
          <t>2024년 07월</t>
        </is>
      </c>
      <c r="E1030" s="28" t="n">
        <v>12000</v>
      </c>
      <c r="F1030" s="28" t="n">
        <v>12000</v>
      </c>
      <c r="G1030" s="29" t="n">
        <v>1</v>
      </c>
      <c r="H1030" s="29" t="n">
        <v>54</v>
      </c>
      <c r="I1030" s="21" t="inlineStr">
        <is>
          <t>2024</t>
        </is>
      </c>
      <c r="J1030" s="21" t="inlineStr">
        <is>
          <t xml:space="preserve"> 0</t>
        </is>
      </c>
      <c r="K1030" s="30">
        <f>(E1030-F1030)/IF(E1030&gt;0,E1030,1)</f>
        <v/>
      </c>
    </row>
    <row r="1031">
      <c r="A1031" s="22" t="inlineStr">
        <is>
          <t>챗GPT 문화·예술·교육 인사이트</t>
        </is>
      </c>
      <c r="B1031" s="22" t="inlineStr">
        <is>
          <t>박은정</t>
        </is>
      </c>
      <c r="C1031" s="22" t="inlineStr">
        <is>
          <t>책바세</t>
        </is>
      </c>
      <c r="D1031" s="22" t="inlineStr">
        <is>
          <t>2024년 06월</t>
        </is>
      </c>
      <c r="E1031" s="28" t="n">
        <v>22000</v>
      </c>
      <c r="F1031" s="28" t="n">
        <v>19800</v>
      </c>
      <c r="G1031" s="29" t="n">
        <v>0</v>
      </c>
      <c r="H1031" s="29" t="n">
        <v>54</v>
      </c>
      <c r="I1031" s="21" t="inlineStr">
        <is>
          <t>2024</t>
        </is>
      </c>
      <c r="J1031" s="21" t="inlineStr">
        <is>
          <t xml:space="preserve"> 0</t>
        </is>
      </c>
      <c r="K1031" s="30">
        <f>(E1031-F1031)/IF(E1031&gt;0,E1031,1)</f>
        <v/>
      </c>
    </row>
    <row r="1032">
      <c r="A1032" s="22" t="inlineStr">
        <is>
          <t>삶의 무기가 되는 생성형 AI</t>
        </is>
      </c>
      <c r="B1032" s="22" t="inlineStr">
        <is>
          <t>유장휴</t>
        </is>
      </c>
      <c r="C1032" s="22" t="inlineStr">
        <is>
          <t>글마음(도서출판)</t>
        </is>
      </c>
      <c r="D1032" s="22" t="inlineStr">
        <is>
          <t>2024년 03월</t>
        </is>
      </c>
      <c r="E1032" s="28" t="n">
        <v>9500</v>
      </c>
      <c r="F1032" s="28" t="n">
        <v>9500</v>
      </c>
      <c r="G1032" s="29" t="n">
        <v>0</v>
      </c>
      <c r="H1032" s="29" t="n">
        <v>42</v>
      </c>
      <c r="I1032" s="21" t="inlineStr">
        <is>
          <t>2024</t>
        </is>
      </c>
      <c r="J1032" s="21" t="inlineStr">
        <is>
          <t xml:space="preserve"> 0</t>
        </is>
      </c>
      <c r="K1032" s="30">
        <f>(E1032-F1032)/IF(E1032&gt;0,E1032,1)</f>
        <v/>
      </c>
    </row>
    <row r="1033">
      <c r="A1033" s="22" t="inlineStr">
        <is>
          <t>소상공인 AI 마케팅 솔루션</t>
        </is>
      </c>
      <c r="B1033" s="22" t="inlineStr">
        <is>
          <t>김도이</t>
        </is>
      </c>
      <c r="C1033" s="22" t="inlineStr">
        <is>
          <t>디지털콘텐츠그룹</t>
        </is>
      </c>
      <c r="D1033" s="22" t="inlineStr">
        <is>
          <t>2026년 05월</t>
        </is>
      </c>
      <c r="E1033" s="28" t="n">
        <v>24000</v>
      </c>
      <c r="F1033" s="28" t="n">
        <v>21600</v>
      </c>
      <c r="G1033" s="29" t="n">
        <v>0</v>
      </c>
      <c r="H1033" s="29" t="n">
        <v>42</v>
      </c>
      <c r="I1033" s="21" t="inlineStr">
        <is>
          <t>2026</t>
        </is>
      </c>
      <c r="J1033" s="21" t="inlineStr">
        <is>
          <t xml:space="preserve"> 0</t>
        </is>
      </c>
      <c r="K1033" s="30">
        <f>(E1033-F1033)/IF(E1033&gt;0,E1033,1)</f>
        <v/>
      </c>
    </row>
    <row r="1034">
      <c r="A1034" s="22" t="inlineStr">
        <is>
          <t>제로 클릭 시대 AI 실전 가이드</t>
        </is>
      </c>
      <c r="B1034" s="22" t="inlineStr">
        <is>
          <t>조선아, 한금화, 백세균, 배은영</t>
        </is>
      </c>
      <c r="C1034" s="22" t="inlineStr">
        <is>
          <t>디지털콘텐츠그룹</t>
        </is>
      </c>
      <c r="D1034" s="22" t="inlineStr">
        <is>
          <t>2026년 05월</t>
        </is>
      </c>
      <c r="E1034" s="28" t="n">
        <v>24000</v>
      </c>
      <c r="F1034" s="28" t="n">
        <v>21600</v>
      </c>
      <c r="G1034" s="29" t="n">
        <v>0</v>
      </c>
      <c r="H1034" s="29" t="n">
        <v>42</v>
      </c>
      <c r="I1034" s="21" t="inlineStr">
        <is>
          <t>2026</t>
        </is>
      </c>
      <c r="J1034" s="21" t="inlineStr">
        <is>
          <t xml:space="preserve"> 0</t>
        </is>
      </c>
      <c r="K1034" s="30">
        <f>(E1034-F1034)/IF(E1034&gt;0,E1034,1)</f>
        <v/>
      </c>
    </row>
    <row r="1035">
      <c r="A1035" s="22" t="inlineStr">
        <is>
          <t>Spring Boot 3 첫 걸음</t>
        </is>
      </c>
      <c r="B1035" s="22" t="inlineStr">
        <is>
          <t>김기태, 김경희, 김재우</t>
        </is>
      </c>
      <c r="C1035" s="22" t="inlineStr">
        <is>
          <t>BOOKK(부크크)</t>
        </is>
      </c>
      <c r="D1035" s="22" t="inlineStr">
        <is>
          <t>2026년 04월</t>
        </is>
      </c>
      <c r="E1035" s="28" t="n">
        <v>29300</v>
      </c>
      <c r="F1035" s="28" t="n">
        <v>29300</v>
      </c>
      <c r="G1035" s="29" t="n">
        <v>0</v>
      </c>
      <c r="H1035" s="29" t="n">
        <v>42</v>
      </c>
      <c r="I1035" s="21" t="inlineStr">
        <is>
          <t>2026</t>
        </is>
      </c>
      <c r="J1035" s="21" t="inlineStr">
        <is>
          <t xml:space="preserve"> 0</t>
        </is>
      </c>
      <c r="K1035" s="30">
        <f>(E1035-F1035)/IF(E1035&gt;0,E1035,1)</f>
        <v/>
      </c>
    </row>
    <row r="1036">
      <c r="A1036" s="22" t="inlineStr">
        <is>
          <t>AI와 방첩 체계</t>
        </is>
      </c>
      <c r="B1036" s="22" t="inlineStr">
        <is>
          <t>권오국</t>
        </is>
      </c>
      <c r="C1036" s="22" t="inlineStr">
        <is>
          <t>커뮤니케이션북스</t>
        </is>
      </c>
      <c r="D1036" s="22" t="inlineStr">
        <is>
          <t>2026년 05월</t>
        </is>
      </c>
      <c r="E1036" s="28" t="n">
        <v>12000</v>
      </c>
      <c r="F1036" s="28" t="n">
        <v>12000</v>
      </c>
      <c r="G1036" s="29" t="n">
        <v>0</v>
      </c>
      <c r="H1036" s="29" t="n">
        <v>102</v>
      </c>
      <c r="I1036" s="21" t="inlineStr">
        <is>
          <t>2026</t>
        </is>
      </c>
      <c r="J1036" s="21" t="inlineStr">
        <is>
          <t xml:space="preserve"> 0</t>
        </is>
      </c>
      <c r="K1036" s="30">
        <f>(E1036-F1036)/IF(E1036&gt;0,E1036,1)</f>
        <v/>
      </c>
    </row>
    <row r="1037">
      <c r="A1037" s="22" t="inlineStr">
        <is>
          <t>AI와 청색기술</t>
        </is>
      </c>
      <c r="B1037" s="22" t="inlineStr">
        <is>
          <t>문형남</t>
        </is>
      </c>
      <c r="C1037" s="22" t="inlineStr">
        <is>
          <t>커뮤니케이션북스</t>
        </is>
      </c>
      <c r="D1037" s="22" t="inlineStr">
        <is>
          <t>2026년 05월</t>
        </is>
      </c>
      <c r="E1037" s="28" t="n">
        <v>12000</v>
      </c>
      <c r="F1037" s="28" t="n">
        <v>12000</v>
      </c>
      <c r="G1037" s="29" t="n">
        <v>0</v>
      </c>
      <c r="H1037" s="29" t="n">
        <v>102</v>
      </c>
      <c r="I1037" s="21" t="inlineStr">
        <is>
          <t>2026</t>
        </is>
      </c>
      <c r="J1037" s="21" t="inlineStr">
        <is>
          <t xml:space="preserve"> 0</t>
        </is>
      </c>
      <c r="K1037" s="30">
        <f>(E1037-F1037)/IF(E1037&gt;0,E1037,1)</f>
        <v/>
      </c>
    </row>
    <row r="1038">
      <c r="A1038" s="22" t="inlineStr">
        <is>
          <t>AI 활용 동영상 창작하기</t>
        </is>
      </c>
      <c r="B1038" s="22" t="inlineStr">
        <is>
          <t>강신진</t>
        </is>
      </c>
      <c r="C1038" s="22" t="inlineStr">
        <is>
          <t>BOOKK(부크크)</t>
        </is>
      </c>
      <c r="D1038" s="22" t="inlineStr">
        <is>
          <t>2026년 05월</t>
        </is>
      </c>
      <c r="E1038" s="28" t="n">
        <v>18300</v>
      </c>
      <c r="F1038" s="28" t="n">
        <v>18300</v>
      </c>
      <c r="G1038" s="29" t="n">
        <v>0</v>
      </c>
      <c r="H1038" s="29" t="n">
        <v>42</v>
      </c>
      <c r="I1038" s="21" t="inlineStr">
        <is>
          <t>2026</t>
        </is>
      </c>
      <c r="J1038" s="21" t="inlineStr">
        <is>
          <t xml:space="preserve"> 0</t>
        </is>
      </c>
      <c r="K1038" s="30">
        <f>(E1038-F1038)/IF(E1038&gt;0,E1038,1)</f>
        <v/>
      </c>
    </row>
    <row r="1039">
      <c r="A1039" s="22" t="inlineStr">
        <is>
          <t>AI 시대 기술 전략</t>
        </is>
      </c>
      <c r="B1039" s="22" t="inlineStr">
        <is>
          <t>우지환</t>
        </is>
      </c>
      <c r="C1039" s="22" t="inlineStr">
        <is>
          <t>커뮤니케이션북스</t>
        </is>
      </c>
      <c r="D1039" s="22" t="inlineStr">
        <is>
          <t>2026년 05월</t>
        </is>
      </c>
      <c r="E1039" s="28" t="n">
        <v>12000</v>
      </c>
      <c r="F1039" s="28" t="n">
        <v>12000</v>
      </c>
      <c r="G1039" s="29" t="n">
        <v>0</v>
      </c>
      <c r="H1039" s="29" t="n">
        <v>102</v>
      </c>
      <c r="I1039" s="21" t="inlineStr">
        <is>
          <t>2026</t>
        </is>
      </c>
      <c r="J1039" s="21" t="inlineStr">
        <is>
          <t xml:space="preserve"> 0</t>
        </is>
      </c>
      <c r="K1039" s="30">
        <f>(E1039-F1039)/IF(E1039&gt;0,E1039,1)</f>
        <v/>
      </c>
    </row>
    <row r="1040">
      <c r="A1040" s="22" t="inlineStr">
        <is>
          <t>AI와 뮤지컬 교육</t>
        </is>
      </c>
      <c r="B1040" s="22" t="inlineStr">
        <is>
          <t>손민혜</t>
        </is>
      </c>
      <c r="C1040" s="22" t="inlineStr">
        <is>
          <t>커뮤니케이션북스</t>
        </is>
      </c>
      <c r="D1040" s="22" t="inlineStr">
        <is>
          <t>2026년 05월</t>
        </is>
      </c>
      <c r="E1040" s="28" t="n">
        <v>12000</v>
      </c>
      <c r="F1040" s="28" t="n">
        <v>12000</v>
      </c>
      <c r="G1040" s="29" t="n">
        <v>0</v>
      </c>
      <c r="H1040" s="29" t="n">
        <v>102</v>
      </c>
      <c r="I1040" s="21" t="inlineStr">
        <is>
          <t>2026</t>
        </is>
      </c>
      <c r="J1040" s="21" t="inlineStr">
        <is>
          <t xml:space="preserve"> 0</t>
        </is>
      </c>
      <c r="K1040" s="30">
        <f>(E1040-F1040)/IF(E1040&gt;0,E1040,1)</f>
        <v/>
      </c>
    </row>
    <row r="1041">
      <c r="A1041" s="22" t="inlineStr">
        <is>
          <t>AI와 특수교육 (큰글자책)</t>
        </is>
      </c>
      <c r="B1041" s="22" t="inlineStr">
        <is>
          <t>김호연</t>
        </is>
      </c>
      <c r="C1041" s="22" t="inlineStr">
        <is>
          <t>커뮤니케이션북스</t>
        </is>
      </c>
      <c r="D1041" s="22" t="inlineStr">
        <is>
          <t>2026년 04월</t>
        </is>
      </c>
      <c r="E1041" s="28" t="n">
        <v>25000</v>
      </c>
      <c r="F1041" s="28" t="n">
        <v>25000</v>
      </c>
      <c r="G1041" s="29" t="n">
        <v>0</v>
      </c>
      <c r="H1041" s="29" t="n">
        <v>12</v>
      </c>
      <c r="I1041" s="21" t="inlineStr">
        <is>
          <t>2026</t>
        </is>
      </c>
      <c r="J1041" s="21" t="inlineStr">
        <is>
          <t xml:space="preserve"> 0</t>
        </is>
      </c>
      <c r="K1041" s="30">
        <f>(E1041-F1041)/IF(E1041&gt;0,E1041,1)</f>
        <v/>
      </c>
    </row>
    <row r="1042">
      <c r="A1042" s="22" t="inlineStr">
        <is>
          <t>AI와 특수교육</t>
        </is>
      </c>
      <c r="B1042" s="22" t="inlineStr">
        <is>
          <t>김호연</t>
        </is>
      </c>
      <c r="C1042" s="22" t="inlineStr">
        <is>
          <t>커뮤니케이션북스</t>
        </is>
      </c>
      <c r="D1042" s="22" t="inlineStr">
        <is>
          <t>2026년 04월</t>
        </is>
      </c>
      <c r="E1042" s="28" t="n">
        <v>12000</v>
      </c>
      <c r="F1042" s="28" t="n">
        <v>12000</v>
      </c>
      <c r="G1042" s="29" t="n">
        <v>0</v>
      </c>
      <c r="H1042" s="29" t="n">
        <v>102</v>
      </c>
      <c r="I1042" s="21" t="inlineStr">
        <is>
          <t>2026</t>
        </is>
      </c>
      <c r="J1042" s="21" t="inlineStr">
        <is>
          <t xml:space="preserve"> 0</t>
        </is>
      </c>
      <c r="K1042" s="30">
        <f>(E1042-F1042)/IF(E1042&gt;0,E1042,1)</f>
        <v/>
      </c>
    </row>
    <row r="1043">
      <c r="A1043" s="22" t="inlineStr">
        <is>
          <t>챗GPT CHAT 입문 활용 공부 사용법과  인공지능 지피티 영어 배우기 프롬프트 수업 &amp; AI 기초 책 학원강의 특강 도서 교재보다 좋은 USB 강좌 교육</t>
        </is>
      </c>
      <c r="B1043" s="22" t="inlineStr">
        <is>
          <t>액션미디어 편집부</t>
        </is>
      </c>
      <c r="C1043" s="22" t="inlineStr">
        <is>
          <t>액션미디어</t>
        </is>
      </c>
      <c r="D1043" s="22" t="inlineStr">
        <is>
          <t>2026년 04월</t>
        </is>
      </c>
      <c r="E1043" s="28" t="n">
        <v>22900</v>
      </c>
      <c r="F1043" s="28" t="n">
        <v>22900</v>
      </c>
      <c r="G1043" s="29" t="n">
        <v>0</v>
      </c>
      <c r="H1043" s="29" t="n">
        <v>42</v>
      </c>
      <c r="I1043" s="21" t="inlineStr">
        <is>
          <t>2026</t>
        </is>
      </c>
      <c r="J1043" s="21" t="inlineStr">
        <is>
          <t xml:space="preserve"> 0</t>
        </is>
      </c>
      <c r="K1043" s="30">
        <f>(E1043-F1043)/IF(E1043&gt;0,E1043,1)</f>
        <v/>
      </c>
    </row>
    <row r="1044">
      <c r="A1044" s="22" t="inlineStr">
        <is>
          <t>챗GPT 실무 활용 가이드 Chat  공부 사용법과 인공지능 지피티 엑셀 블로그 유튜브 ppt 배우기  수업  AI 기초 책 학원강의 특강 도서 교재보다 좋은 USB 강좌 교육</t>
        </is>
      </c>
      <c r="B1044" s="22" t="inlineStr">
        <is>
          <t>액션미디어 편집부</t>
        </is>
      </c>
      <c r="C1044" s="22" t="inlineStr">
        <is>
          <t>액션미디어</t>
        </is>
      </c>
      <c r="D1044" s="22" t="inlineStr">
        <is>
          <t>2026년 04월</t>
        </is>
      </c>
      <c r="E1044" s="28" t="n">
        <v>30000</v>
      </c>
      <c r="F1044" s="28" t="n">
        <v>30000</v>
      </c>
      <c r="G1044" s="29" t="n">
        <v>0</v>
      </c>
      <c r="H1044" s="29" t="n">
        <v>42</v>
      </c>
      <c r="I1044" s="21" t="inlineStr">
        <is>
          <t>2026</t>
        </is>
      </c>
      <c r="J1044" s="21" t="inlineStr">
        <is>
          <t xml:space="preserve"> 0</t>
        </is>
      </c>
      <c r="K1044" s="30">
        <f>(E1044-F1044)/IF(E1044&gt;0,E1044,1)</f>
        <v/>
      </c>
    </row>
    <row r="1045">
      <c r="A1045" s="22" t="inlineStr">
        <is>
          <t>복붙으로 끝내는 AI 기획보고서</t>
        </is>
      </c>
      <c r="B1045" s="22" t="inlineStr">
        <is>
          <t>이정화, 문경희, 박인완, 김찬곤</t>
        </is>
      </c>
      <c r="C1045" s="22" t="inlineStr">
        <is>
          <t>디지털콘텐츠그룹</t>
        </is>
      </c>
      <c r="D1045" s="22" t="inlineStr">
        <is>
          <t>2026년 04월</t>
        </is>
      </c>
      <c r="E1045" s="28" t="n">
        <v>24000</v>
      </c>
      <c r="F1045" s="28" t="n">
        <v>21600</v>
      </c>
      <c r="G1045" s="29" t="n">
        <v>0</v>
      </c>
      <c r="H1045" s="29" t="n">
        <v>54</v>
      </c>
      <c r="I1045" s="21" t="inlineStr">
        <is>
          <t>2026</t>
        </is>
      </c>
      <c r="J1045" s="21" t="inlineStr">
        <is>
          <t xml:space="preserve"> 0</t>
        </is>
      </c>
      <c r="K1045" s="30">
        <f>(E1045-F1045)/IF(E1045&gt;0,E1045,1)</f>
        <v/>
      </c>
    </row>
    <row r="1046">
      <c r="A1046" s="22" t="inlineStr">
        <is>
          <t>액션 퍼스트 러닝 Action-First Learning</t>
        </is>
      </c>
      <c r="B1046" s="22" t="inlineStr">
        <is>
          <t>칼 카프, 더플레이컴퍼니</t>
        </is>
      </c>
      <c r="C1046" s="22" t="inlineStr">
        <is>
          <t>에이콘출판사</t>
        </is>
      </c>
      <c r="D1046" s="22" t="inlineStr">
        <is>
          <t>2026년 04월</t>
        </is>
      </c>
      <c r="E1046" s="28" t="n">
        <v>33000</v>
      </c>
      <c r="F1046" s="28" t="n">
        <v>29700</v>
      </c>
      <c r="G1046" s="29" t="n">
        <v>0</v>
      </c>
      <c r="H1046" s="29" t="n">
        <v>54</v>
      </c>
      <c r="I1046" s="21" t="inlineStr">
        <is>
          <t>2026</t>
        </is>
      </c>
      <c r="J1046" s="21" t="inlineStr">
        <is>
          <t xml:space="preserve"> 0</t>
        </is>
      </c>
      <c r="K1046" s="30">
        <f>(E1046-F1046)/IF(E1046&gt;0,E1046,1)</f>
        <v/>
      </c>
    </row>
    <row r="1047">
      <c r="A1047" s="22" t="inlineStr">
        <is>
          <t>AI 시대의 디지털 자산과 신뢰의 운영체제</t>
        </is>
      </c>
      <c r="B1047" s="22" t="inlineStr">
        <is>
          <t>박한우</t>
        </is>
      </c>
      <c r="C1047" s="22" t="inlineStr">
        <is>
          <t>커뮤니케이션북스</t>
        </is>
      </c>
      <c r="D1047" s="22" t="inlineStr">
        <is>
          <t>2026년 04월</t>
        </is>
      </c>
      <c r="E1047" s="28" t="n">
        <v>12000</v>
      </c>
      <c r="F1047" s="28" t="n">
        <v>12000</v>
      </c>
      <c r="G1047" s="29" t="n">
        <v>0</v>
      </c>
      <c r="H1047" s="29" t="n">
        <v>36</v>
      </c>
      <c r="I1047" s="21" t="inlineStr">
        <is>
          <t>2026</t>
        </is>
      </c>
      <c r="J1047" s="21" t="inlineStr">
        <is>
          <t xml:space="preserve"> 0</t>
        </is>
      </c>
      <c r="K1047" s="30">
        <f>(E1047-F1047)/IF(E1047&gt;0,E1047,1)</f>
        <v/>
      </c>
    </row>
    <row r="1048">
      <c r="A1048" s="22" t="inlineStr">
        <is>
          <t>AI 기반 탐구학습</t>
        </is>
      </c>
      <c r="B1048" s="22" t="inlineStr">
        <is>
          <t>안서현</t>
        </is>
      </c>
      <c r="C1048" s="22" t="inlineStr">
        <is>
          <t>커뮤니케이션북스</t>
        </is>
      </c>
      <c r="D1048" s="22" t="inlineStr">
        <is>
          <t>2026년 04월</t>
        </is>
      </c>
      <c r="E1048" s="28" t="n">
        <v>12000</v>
      </c>
      <c r="F1048" s="28" t="n">
        <v>12000</v>
      </c>
      <c r="G1048" s="29" t="n">
        <v>0</v>
      </c>
      <c r="H1048" s="29" t="n">
        <v>42</v>
      </c>
      <c r="I1048" s="21" t="inlineStr">
        <is>
          <t>2026</t>
        </is>
      </c>
      <c r="J1048" s="21" t="inlineStr">
        <is>
          <t xml:space="preserve"> 0</t>
        </is>
      </c>
      <c r="K1048" s="30">
        <f>(E1048-F1048)/IF(E1048&gt;0,E1048,1)</f>
        <v/>
      </c>
    </row>
    <row r="1049">
      <c r="A1049" s="22" t="inlineStr">
        <is>
          <t>AI와 철도 산업</t>
        </is>
      </c>
      <c r="B1049" s="22" t="inlineStr">
        <is>
          <t>우지환</t>
        </is>
      </c>
      <c r="C1049" s="22" t="inlineStr">
        <is>
          <t>커뮤니케이션북스</t>
        </is>
      </c>
      <c r="D1049" s="22" t="inlineStr">
        <is>
          <t>2026년 04월</t>
        </is>
      </c>
      <c r="E1049" s="28" t="n">
        <v>12000</v>
      </c>
      <c r="F1049" s="28" t="n">
        <v>12000</v>
      </c>
      <c r="G1049" s="29" t="n">
        <v>0</v>
      </c>
      <c r="H1049" s="29" t="n">
        <v>54</v>
      </c>
      <c r="I1049" s="21" t="inlineStr">
        <is>
          <t>2026</t>
        </is>
      </c>
      <c r="J1049" s="21" t="inlineStr">
        <is>
          <t xml:space="preserve"> 0</t>
        </is>
      </c>
      <c r="K1049" s="30">
        <f>(E1049-F1049)/IF(E1049&gt;0,E1049,1)</f>
        <v/>
      </c>
    </row>
    <row r="1050">
      <c r="A1050" s="22" t="inlineStr">
        <is>
          <t>AI와 청년 취업</t>
        </is>
      </c>
      <c r="B1050" s="22" t="inlineStr">
        <is>
          <t>심양섭</t>
        </is>
      </c>
      <c r="C1050" s="22" t="inlineStr">
        <is>
          <t>커뮤니케이션북스</t>
        </is>
      </c>
      <c r="D1050" s="22" t="inlineStr">
        <is>
          <t>2026년 03월</t>
        </is>
      </c>
      <c r="E1050" s="28" t="n">
        <v>12000</v>
      </c>
      <c r="F1050" s="28" t="n">
        <v>12000</v>
      </c>
      <c r="G1050" s="29" t="n">
        <v>0</v>
      </c>
      <c r="H1050" s="29" t="n">
        <v>54</v>
      </c>
      <c r="I1050" s="21" t="inlineStr">
        <is>
          <t>2026</t>
        </is>
      </c>
      <c r="J1050" s="21" t="inlineStr">
        <is>
          <t xml:space="preserve"> 0</t>
        </is>
      </c>
      <c r="K1050" s="30">
        <f>(E1050-F1050)/IF(E1050&gt;0,E1050,1)</f>
        <v/>
      </c>
    </row>
    <row r="1051">
      <c r="A1051" s="22" t="inlineStr">
        <is>
          <t>일과 생활에서 생성형 AI와 협업하기</t>
        </is>
      </c>
      <c r="B1051" s="22" t="inlineStr">
        <is>
          <t>정경수</t>
        </is>
      </c>
      <c r="C1051" s="22" t="inlineStr">
        <is>
          <t>큰그림(빅픽처컴퍼니)</t>
        </is>
      </c>
      <c r="D1051" s="22" t="inlineStr">
        <is>
          <t>2026년 04월</t>
        </is>
      </c>
      <c r="E1051" s="28" t="n">
        <v>22000</v>
      </c>
      <c r="F1051" s="28" t="n">
        <v>19800</v>
      </c>
      <c r="G1051" s="29" t="n">
        <v>0</v>
      </c>
      <c r="H1051" s="29" t="n">
        <v>24</v>
      </c>
      <c r="I1051" s="21" t="inlineStr">
        <is>
          <t>2026</t>
        </is>
      </c>
      <c r="J1051" s="21" t="inlineStr">
        <is>
          <t xml:space="preserve"> 0</t>
        </is>
      </c>
      <c r="K1051" s="30">
        <f>(E1051-F1051)/IF(E1051&gt;0,E1051,1)</f>
        <v/>
      </c>
    </row>
    <row r="1052">
      <c r="A1052" s="22" t="inlineStr">
        <is>
          <t>AI와 치유 음식</t>
        </is>
      </c>
      <c r="B1052" s="22" t="inlineStr">
        <is>
          <t>이웅규</t>
        </is>
      </c>
      <c r="C1052" s="22" t="inlineStr">
        <is>
          <t>커뮤니케이션북스</t>
        </is>
      </c>
      <c r="D1052" s="22" t="inlineStr">
        <is>
          <t>2026년 03월</t>
        </is>
      </c>
      <c r="E1052" s="28" t="n">
        <v>12000</v>
      </c>
      <c r="F1052" s="28" t="n">
        <v>12000</v>
      </c>
      <c r="G1052" s="29" t="n">
        <v>0</v>
      </c>
      <c r="H1052" s="29" t="n">
        <v>66</v>
      </c>
      <c r="I1052" s="21" t="inlineStr">
        <is>
          <t>2026</t>
        </is>
      </c>
      <c r="J1052" s="21" t="inlineStr">
        <is>
          <t xml:space="preserve"> 0</t>
        </is>
      </c>
      <c r="K1052" s="30">
        <f>(E1052-F1052)/IF(E1052&gt;0,E1052,1)</f>
        <v/>
      </c>
    </row>
    <row r="1053">
      <c r="A1053" s="22" t="inlineStr">
        <is>
          <t>한국과 일본의 AI 전략</t>
        </is>
      </c>
      <c r="B1053" s="22" t="inlineStr">
        <is>
          <t>황세웅, 우에다 마사토, 무라야마 히데토시, 아베 다카노부, 콘도 코이치</t>
        </is>
      </c>
      <c r="C1053" s="22" t="inlineStr">
        <is>
          <t>커뮤니케이션북스</t>
        </is>
      </c>
      <c r="D1053" s="22" t="inlineStr">
        <is>
          <t>2026년 03월</t>
        </is>
      </c>
      <c r="E1053" s="28" t="n">
        <v>12000</v>
      </c>
      <c r="F1053" s="28" t="n">
        <v>12000</v>
      </c>
      <c r="G1053" s="29" t="n">
        <v>0</v>
      </c>
      <c r="H1053" s="29" t="n">
        <v>54</v>
      </c>
      <c r="I1053" s="21" t="inlineStr">
        <is>
          <t>2026</t>
        </is>
      </c>
      <c r="J1053" s="21" t="inlineStr">
        <is>
          <t xml:space="preserve"> 0</t>
        </is>
      </c>
      <c r="K1053" s="30">
        <f>(E1053-F1053)/IF(E1053&gt;0,E1053,1)</f>
        <v/>
      </c>
    </row>
    <row r="1054">
      <c r="A1054" s="22" t="inlineStr">
        <is>
          <t>AI로 읽는 한국 사회</t>
        </is>
      </c>
      <c r="B1054" s="22" t="inlineStr">
        <is>
          <t>김태종</t>
        </is>
      </c>
      <c r="C1054" s="22" t="inlineStr">
        <is>
          <t>커뮤니케이션북스</t>
        </is>
      </c>
      <c r="D1054" s="22" t="inlineStr">
        <is>
          <t>2026년 03월</t>
        </is>
      </c>
      <c r="E1054" s="28" t="n">
        <v>12000</v>
      </c>
      <c r="F1054" s="28" t="n">
        <v>12000</v>
      </c>
      <c r="G1054" s="29" t="n">
        <v>2</v>
      </c>
      <c r="H1054" s="29" t="n">
        <v>54</v>
      </c>
      <c r="I1054" s="21" t="inlineStr">
        <is>
          <t>2026</t>
        </is>
      </c>
      <c r="J1054" s="21" t="inlineStr">
        <is>
          <t xml:space="preserve"> 0</t>
        </is>
      </c>
      <c r="K1054" s="30">
        <f>(E1054-F1054)/IF(E1054&gt;0,E1054,1)</f>
        <v/>
      </c>
    </row>
    <row r="1055">
      <c r="A1055" s="22" t="inlineStr">
        <is>
          <t>AI 이후의 예술철학 (큰글자책)</t>
        </is>
      </c>
      <c r="B1055" s="22" t="inlineStr">
        <is>
          <t>맹혜영</t>
        </is>
      </c>
      <c r="C1055" s="22" t="inlineStr">
        <is>
          <t>커뮤니케이션북스</t>
        </is>
      </c>
      <c r="D1055" s="22" t="inlineStr">
        <is>
          <t>2025년 11월</t>
        </is>
      </c>
      <c r="E1055" s="28" t="n">
        <v>25000</v>
      </c>
      <c r="F1055" s="28" t="n">
        <v>25000</v>
      </c>
      <c r="G1055" s="29" t="n">
        <v>0</v>
      </c>
      <c r="H1055" s="29" t="n">
        <v>18</v>
      </c>
      <c r="I1055" s="21" t="inlineStr">
        <is>
          <t>2025</t>
        </is>
      </c>
      <c r="J1055" s="21" t="inlineStr">
        <is>
          <t xml:space="preserve"> 1</t>
        </is>
      </c>
      <c r="K1055" s="30">
        <f>(E1055-F1055)/IF(E1055&gt;0,E1055,1)</f>
        <v/>
      </c>
    </row>
    <row r="1056">
      <c r="A1056" s="22" t="inlineStr">
        <is>
          <t>EU AI 법과 사업자 의무</t>
        </is>
      </c>
      <c r="B1056" s="22" t="inlineStr">
        <is>
          <t>김윤명</t>
        </is>
      </c>
      <c r="C1056" s="22" t="inlineStr">
        <is>
          <t>커뮤니케이션북스</t>
        </is>
      </c>
      <c r="D1056" s="22" t="inlineStr">
        <is>
          <t>2025년 11월</t>
        </is>
      </c>
      <c r="E1056" s="28" t="n">
        <v>12000</v>
      </c>
      <c r="F1056" s="28" t="n">
        <v>12000</v>
      </c>
      <c r="G1056" s="29" t="n">
        <v>0</v>
      </c>
      <c r="H1056" s="29" t="n">
        <v>66</v>
      </c>
      <c r="I1056" s="21" t="inlineStr">
        <is>
          <t>2025</t>
        </is>
      </c>
      <c r="J1056" s="21" t="inlineStr">
        <is>
          <t xml:space="preserve"> 1</t>
        </is>
      </c>
      <c r="K1056" s="30">
        <f>(E1056-F1056)/IF(E1056&gt;0,E1056,1)</f>
        <v/>
      </c>
    </row>
    <row r="1057">
      <c r="A1057" s="22" t="inlineStr">
        <is>
          <t>AI와 가상현실의 철학 (큰글자책)</t>
        </is>
      </c>
      <c r="B1057" s="22" t="inlineStr">
        <is>
          <t>김현주, 윤성련, 이강원</t>
        </is>
      </c>
      <c r="C1057" s="22" t="inlineStr">
        <is>
          <t>커뮤니케이션북스</t>
        </is>
      </c>
      <c r="D1057" s="22" t="inlineStr">
        <is>
          <t>2025년 11월</t>
        </is>
      </c>
      <c r="E1057" s="28" t="n">
        <v>25000</v>
      </c>
      <c r="F1057" s="28" t="n">
        <v>25000</v>
      </c>
      <c r="G1057" s="29" t="n">
        <v>0</v>
      </c>
      <c r="H1057" s="29" t="n">
        <v>42</v>
      </c>
      <c r="I1057" s="21" t="inlineStr">
        <is>
          <t>2025</t>
        </is>
      </c>
      <c r="J1057" s="21" t="inlineStr">
        <is>
          <t xml:space="preserve"> 1</t>
        </is>
      </c>
      <c r="K1057" s="30">
        <f>(E1057-F1057)/IF(E1057&gt;0,E1057,1)</f>
        <v/>
      </c>
    </row>
    <row r="1058">
      <c r="A1058" s="22" t="inlineStr">
        <is>
          <t>AI 커버 음악</t>
        </is>
      </c>
      <c r="B1058" s="22" t="inlineStr">
        <is>
          <t>김기창, 김선영, 백지연</t>
        </is>
      </c>
      <c r="C1058" s="22" t="inlineStr">
        <is>
          <t>커뮤니케이션북스</t>
        </is>
      </c>
      <c r="D1058" s="22" t="inlineStr">
        <is>
          <t>2025년 09월</t>
        </is>
      </c>
      <c r="E1058" s="28" t="n">
        <v>12000</v>
      </c>
      <c r="F1058" s="28" t="n">
        <v>12000</v>
      </c>
      <c r="G1058" s="29" t="n">
        <v>0</v>
      </c>
      <c r="H1058" s="29" t="n">
        <v>42</v>
      </c>
      <c r="I1058" s="21" t="inlineStr">
        <is>
          <t>2025</t>
        </is>
      </c>
      <c r="J1058" s="21" t="inlineStr">
        <is>
          <t xml:space="preserve"> 0</t>
        </is>
      </c>
      <c r="K1058" s="30">
        <f>(E1058-F1058)/IF(E1058&gt;0,E1058,1)</f>
        <v/>
      </c>
    </row>
    <row r="1059">
      <c r="A1059" s="22" t="inlineStr">
        <is>
          <t>AI와 TTS</t>
        </is>
      </c>
      <c r="B1059" s="22" t="inlineStr">
        <is>
          <t>임현열</t>
        </is>
      </c>
      <c r="C1059" s="22" t="inlineStr">
        <is>
          <t>커뮤니케이션북스</t>
        </is>
      </c>
      <c r="D1059" s="22" t="inlineStr">
        <is>
          <t>2025년 09월</t>
        </is>
      </c>
      <c r="E1059" s="28" t="n">
        <v>12000</v>
      </c>
      <c r="F1059" s="28" t="n">
        <v>12000</v>
      </c>
      <c r="G1059" s="29" t="n">
        <v>0</v>
      </c>
      <c r="H1059" s="29" t="n">
        <v>66</v>
      </c>
      <c r="I1059" s="21" t="inlineStr">
        <is>
          <t>2025</t>
        </is>
      </c>
      <c r="J1059" s="21" t="inlineStr">
        <is>
          <t xml:space="preserve"> 0</t>
        </is>
      </c>
      <c r="K1059" s="30">
        <f>(E1059-F1059)/IF(E1059&gt;0,E1059,1)</f>
        <v/>
      </c>
    </row>
    <row r="1060">
      <c r="A1060" s="22" t="inlineStr">
        <is>
          <t>업무생산성 높이는 생성형 AI 기초 전략</t>
        </is>
      </c>
      <c r="B1060" s="22" t="inlineStr">
        <is>
          <t>유형재, 윤성임, 하예랑</t>
        </is>
      </c>
      <c r="C1060" s="22" t="inlineStr">
        <is>
          <t>디엔젤</t>
        </is>
      </c>
      <c r="D1060" s="22" t="inlineStr">
        <is>
          <t>2025년 03월</t>
        </is>
      </c>
      <c r="E1060" s="28" t="n">
        <v>9900</v>
      </c>
      <c r="F1060" s="28" t="n">
        <v>9900</v>
      </c>
      <c r="G1060" s="29" t="n">
        <v>0</v>
      </c>
      <c r="H1060" s="29" t="n">
        <v>42</v>
      </c>
      <c r="I1060" s="21" t="inlineStr">
        <is>
          <t>2025</t>
        </is>
      </c>
      <c r="J1060" s="21" t="inlineStr">
        <is>
          <t xml:space="preserve"> 0</t>
        </is>
      </c>
      <c r="K1060" s="30">
        <f>(E1060-F1060)/IF(E1060&gt;0,E1060,1)</f>
        <v/>
      </c>
    </row>
    <row r="1061">
      <c r="A1061" s="22" t="inlineStr">
        <is>
          <t>AI와 소통하는 법: 프롬프트 엔지니어링 기초편</t>
        </is>
      </c>
      <c r="B1061" s="22" t="inlineStr">
        <is>
          <t>유형재, 윤성임, 하예랑</t>
        </is>
      </c>
      <c r="C1061" s="22" t="inlineStr">
        <is>
          <t>디엔젤</t>
        </is>
      </c>
      <c r="D1061" s="22" t="inlineStr">
        <is>
          <t>2025년 03월</t>
        </is>
      </c>
      <c r="E1061" s="28" t="n">
        <v>11000</v>
      </c>
      <c r="F1061" s="28" t="n">
        <v>11000</v>
      </c>
      <c r="G1061" s="29" t="n">
        <v>1</v>
      </c>
      <c r="H1061" s="29" t="n">
        <v>66</v>
      </c>
      <c r="I1061" s="21" t="inlineStr">
        <is>
          <t>2025</t>
        </is>
      </c>
      <c r="J1061" s="21" t="inlineStr">
        <is>
          <t xml:space="preserve"> 0</t>
        </is>
      </c>
      <c r="K1061" s="30">
        <f>(E1061-F1061)/IF(E1061&gt;0,E1061,1)</f>
        <v/>
      </c>
    </row>
    <row r="1062">
      <c r="A1062" s="22" t="inlineStr">
        <is>
          <t>예술지원사업 챗GPT활용법 (미니북)</t>
        </is>
      </c>
      <c r="B1062" s="22" t="inlineStr">
        <is>
          <t>인승현</t>
        </is>
      </c>
      <c r="C1062" s="22" t="inlineStr">
        <is>
          <t>사회적협동조합 문화공장</t>
        </is>
      </c>
      <c r="D1062" s="22" t="inlineStr">
        <is>
          <t>2024년 12월</t>
        </is>
      </c>
      <c r="E1062" s="28" t="n">
        <v>17000</v>
      </c>
      <c r="F1062" s="28" t="n">
        <v>15300</v>
      </c>
      <c r="G1062" s="29" t="n">
        <v>0</v>
      </c>
      <c r="H1062" s="29" t="n">
        <v>42</v>
      </c>
      <c r="I1062" s="21" t="inlineStr">
        <is>
          <t>2024</t>
        </is>
      </c>
      <c r="J1062" s="21" t="inlineStr">
        <is>
          <t xml:space="preserve"> 1</t>
        </is>
      </c>
      <c r="K1062" s="30">
        <f>(E1062-F1062)/IF(E1062&gt;0,E1062,1)</f>
        <v/>
      </c>
    </row>
    <row r="1063">
      <c r="A1063" s="22" t="inlineStr">
        <is>
          <t>요즘 어른을 위한 최소한의 인공지능 이야기</t>
        </is>
      </c>
      <c r="B1063" s="22" t="inlineStr">
        <is>
          <t>한세희</t>
        </is>
      </c>
      <c r="C1063" s="22" t="inlineStr">
        <is>
          <t>날</t>
        </is>
      </c>
      <c r="D1063" s="22" t="inlineStr">
        <is>
          <t>2024년 07월</t>
        </is>
      </c>
      <c r="E1063" s="28" t="n">
        <v>18000</v>
      </c>
      <c r="F1063" s="28" t="n">
        <v>16200</v>
      </c>
      <c r="G1063" s="29" t="n">
        <v>6</v>
      </c>
      <c r="H1063" s="29" t="n">
        <v>96</v>
      </c>
      <c r="I1063" s="21" t="inlineStr">
        <is>
          <t>2024</t>
        </is>
      </c>
      <c r="J1063" s="21" t="inlineStr">
        <is>
          <t xml:space="preserve"> 0</t>
        </is>
      </c>
      <c r="K1063" s="30">
        <f>(E1063-F1063)/IF(E1063&gt;0,E1063,1)</f>
        <v/>
      </c>
    </row>
    <row r="1064">
      <c r="A1064" s="22" t="inlineStr">
        <is>
          <t>모든 명언의 시작, CLOVA X</t>
        </is>
      </c>
      <c r="B1064" s="22" t="inlineStr">
        <is>
          <t>송태민, 김덕진, 민경준, 서광민, 우연이</t>
        </is>
      </c>
      <c r="C1064" s="22" t="inlineStr">
        <is>
          <t>열린인공지능</t>
        </is>
      </c>
      <c r="D1064" s="22" t="inlineStr">
        <is>
          <t>2023년 08월</t>
        </is>
      </c>
      <c r="E1064" s="28" t="n">
        <v>7000</v>
      </c>
      <c r="F1064" s="28" t="n">
        <v>7000</v>
      </c>
      <c r="G1064" s="29" t="n">
        <v>1</v>
      </c>
      <c r="H1064" s="29" t="n">
        <v>96</v>
      </c>
      <c r="I1064" s="21" t="inlineStr">
        <is>
          <t>2023</t>
        </is>
      </c>
      <c r="J1064" s="21" t="inlineStr">
        <is>
          <t xml:space="preserve"> 0</t>
        </is>
      </c>
      <c r="K1064" s="30">
        <f>(E1064-F1064)/IF(E1064&gt;0,E1064,1)</f>
        <v/>
      </c>
    </row>
    <row r="1065">
      <c r="A1065" s="22" t="inlineStr">
        <is>
          <t>인공지능 파운데이션</t>
        </is>
      </c>
      <c r="B1065" s="22" t="inlineStr">
        <is>
          <t>용환승</t>
        </is>
      </c>
      <c r="C1065" s="22" t="inlineStr">
        <is>
          <t>인피니티북스</t>
        </is>
      </c>
      <c r="D1065" s="22" t="inlineStr">
        <is>
          <t>2023년 01월</t>
        </is>
      </c>
      <c r="E1065" s="28" t="n">
        <v>27000</v>
      </c>
      <c r="F1065" s="28" t="n">
        <v>27000</v>
      </c>
      <c r="G1065" s="29" t="n">
        <v>0</v>
      </c>
      <c r="H1065" s="29" t="n">
        <v>42</v>
      </c>
      <c r="I1065" s="21" t="inlineStr">
        <is>
          <t>2023</t>
        </is>
      </c>
      <c r="J1065" s="21" t="inlineStr">
        <is>
          <t xml:space="preserve"> 0</t>
        </is>
      </c>
      <c r="K1065" s="30">
        <f>(E1065-F1065)/IF(E1065&gt;0,E1065,1)</f>
        <v/>
      </c>
    </row>
    <row r="1066">
      <c r="A1066" s="22" t="inlineStr">
        <is>
          <t>양자 컴퓨팅 이론 해설</t>
        </is>
      </c>
      <c r="B1066" s="22" t="inlineStr">
        <is>
          <t>데이비드 맥마혼, 황정동</t>
        </is>
      </c>
      <c r="C1066" s="22" t="inlineStr">
        <is>
          <t>에이콘출판사</t>
        </is>
      </c>
      <c r="D1066" s="22" t="inlineStr">
        <is>
          <t>2020년 03월</t>
        </is>
      </c>
      <c r="E1066" s="28" t="n">
        <v>45000</v>
      </c>
      <c r="F1066" s="28" t="n">
        <v>40500</v>
      </c>
      <c r="G1066" s="29" t="n">
        <v>1</v>
      </c>
      <c r="H1066" s="29" t="n">
        <v>66</v>
      </c>
      <c r="I1066" s="21" t="inlineStr">
        <is>
          <t>2020</t>
        </is>
      </c>
      <c r="J1066" s="21" t="inlineStr">
        <is>
          <t xml:space="preserve"> 0</t>
        </is>
      </c>
      <c r="K1066" s="30">
        <f>(E1066-F1066)/IF(E1066&gt;0,E1066,1)</f>
        <v/>
      </c>
    </row>
    <row r="1067">
      <c r="A1067" s="22" t="inlineStr">
        <is>
          <t>뇌 마음 인공지능(한국어판)</t>
        </is>
      </c>
      <c r="B1067" s="22" t="inlineStr">
        <is>
          <t>박혜영</t>
        </is>
      </c>
      <c r="C1067" s="22" t="inlineStr">
        <is>
          <t>홍릉과학출판사</t>
        </is>
      </c>
      <c r="D1067" s="22" t="inlineStr">
        <is>
          <t>2017년 12월</t>
        </is>
      </c>
      <c r="E1067" s="28" t="n">
        <v>10000</v>
      </c>
      <c r="F1067" s="28" t="n">
        <v>10000</v>
      </c>
      <c r="G1067" s="29" t="n">
        <v>0</v>
      </c>
      <c r="H1067" s="29" t="n">
        <v>54</v>
      </c>
      <c r="I1067" s="21" t="inlineStr">
        <is>
          <t>2017</t>
        </is>
      </c>
      <c r="J1067" s="21" t="inlineStr">
        <is>
          <t xml:space="preserve"> 1</t>
        </is>
      </c>
      <c r="K1067" s="30">
        <f>(E1067-F1067)/IF(E1067&gt;0,E1067,1)</f>
        <v/>
      </c>
    </row>
    <row r="1068">
      <c r="A1068" s="22" t="inlineStr">
        <is>
          <t>AI와 자금 세탁 방지</t>
        </is>
      </c>
      <c r="B1068" s="22" t="inlineStr">
        <is>
          <t>임명수</t>
        </is>
      </c>
      <c r="C1068" s="22" t="inlineStr">
        <is>
          <t>커뮤니케이션북스</t>
        </is>
      </c>
      <c r="D1068" s="22" t="inlineStr">
        <is>
          <t>2025년 09월</t>
        </is>
      </c>
      <c r="E1068" s="28" t="n">
        <v>12000</v>
      </c>
      <c r="F1068" s="28" t="n">
        <v>12000</v>
      </c>
      <c r="G1068" s="29" t="n">
        <v>0</v>
      </c>
      <c r="H1068" s="29" t="n">
        <v>66</v>
      </c>
      <c r="I1068" s="21" t="inlineStr">
        <is>
          <t>2025</t>
        </is>
      </c>
      <c r="J1068" s="21" t="inlineStr">
        <is>
          <t xml:space="preserve"> 0</t>
        </is>
      </c>
      <c r="K1068" s="30">
        <f>(E1068-F1068)/IF(E1068&gt;0,E1068,1)</f>
        <v/>
      </c>
    </row>
    <row r="1069">
      <c r="A1069" s="22" t="inlineStr">
        <is>
          <t>노래하는 AI 보컬</t>
        </is>
      </c>
      <c r="B1069" s="22" t="inlineStr">
        <is>
          <t>이기영</t>
        </is>
      </c>
      <c r="C1069" s="22" t="inlineStr">
        <is>
          <t>커뮤니케이션북스</t>
        </is>
      </c>
      <c r="D1069" s="22" t="inlineStr">
        <is>
          <t>2025년 05월</t>
        </is>
      </c>
      <c r="E1069" s="28" t="n">
        <v>12000</v>
      </c>
      <c r="F1069" s="28" t="n">
        <v>12000</v>
      </c>
      <c r="G1069" s="29" t="n">
        <v>0</v>
      </c>
      <c r="H1069" s="29" t="n">
        <v>54</v>
      </c>
      <c r="I1069" s="21" t="inlineStr">
        <is>
          <t>2025</t>
        </is>
      </c>
      <c r="J1069" s="21" t="inlineStr">
        <is>
          <t xml:space="preserve"> 0</t>
        </is>
      </c>
      <c r="K1069" s="30">
        <f>(E1069-F1069)/IF(E1069&gt;0,E1069,1)</f>
        <v/>
      </c>
    </row>
    <row r="1070">
      <c r="A1070" s="22" t="inlineStr">
        <is>
          <t>클릭센스(QlikSense)로 빅데이터 시각화 끝내기 모델링편</t>
        </is>
      </c>
      <c r="B1070" s="22" t="inlineStr">
        <is>
          <t>홍성수, 홍성준</t>
        </is>
      </c>
      <c r="C1070" s="22" t="inlineStr">
        <is>
          <t>BOOKK(부크크)</t>
        </is>
      </c>
      <c r="D1070" s="22" t="inlineStr">
        <is>
          <t>2022년 03월</t>
        </is>
      </c>
      <c r="E1070" s="28" t="n">
        <v>30200</v>
      </c>
      <c r="F1070" s="28" t="n">
        <v>30200</v>
      </c>
      <c r="G1070" s="29" t="n">
        <v>0</v>
      </c>
      <c r="H1070" s="29" t="n">
        <v>66</v>
      </c>
      <c r="I1070" s="21" t="inlineStr">
        <is>
          <t>2022</t>
        </is>
      </c>
      <c r="J1070" s="21" t="inlineStr">
        <is>
          <t xml:space="preserve"> 0</t>
        </is>
      </c>
      <c r="K1070" s="30">
        <f>(E1070-F1070)/IF(E1070&gt;0,E1070,1)</f>
        <v/>
      </c>
    </row>
    <row r="1071">
      <c r="A1071" s="22" t="inlineStr">
        <is>
          <t>쿠브플로우</t>
        </is>
      </c>
      <c r="B1071" s="22" t="inlineStr">
        <is>
          <t>이명환, 문근민, 홍석환, 김효동</t>
        </is>
      </c>
      <c r="C1071" s="22" t="inlineStr">
        <is>
          <t>디지털북스</t>
        </is>
      </c>
      <c r="D1071" s="22" t="inlineStr">
        <is>
          <t>2020년 03월</t>
        </is>
      </c>
      <c r="E1071" s="28" t="n">
        <v>15000</v>
      </c>
      <c r="F1071" s="28" t="n">
        <v>13500</v>
      </c>
      <c r="G1071" s="29" t="n">
        <v>4</v>
      </c>
      <c r="H1071" s="29" t="n">
        <v>66</v>
      </c>
      <c r="I1071" s="21" t="inlineStr">
        <is>
          <t>2020</t>
        </is>
      </c>
      <c r="J1071" s="21" t="inlineStr">
        <is>
          <t xml:space="preserve"> 0</t>
        </is>
      </c>
      <c r="K1071" s="30">
        <f>(E1071-F1071)/IF(E1071&gt;0,E1071,1)</f>
        <v/>
      </c>
    </row>
    <row r="1072">
      <c r="A1072" s="22" t="inlineStr">
        <is>
          <t>신경망 설계 2/e</t>
        </is>
      </c>
      <c r="B1072" s="22" t="inlineStr">
        <is>
          <t>마틴 헤이건, 하워드 데무스, 마크 허드슨 빌, 올랜도 헤수스, 윤성진</t>
        </is>
      </c>
      <c r="C1072" s="22" t="inlineStr">
        <is>
          <t>에이콘출판사</t>
        </is>
      </c>
      <c r="D1072" s="22" t="inlineStr">
        <is>
          <t>2018년 09월</t>
        </is>
      </c>
      <c r="E1072" s="28" t="n">
        <v>50000</v>
      </c>
      <c r="F1072" s="28" t="n">
        <v>45000</v>
      </c>
      <c r="G1072" s="29" t="n">
        <v>0</v>
      </c>
      <c r="H1072" s="29" t="n">
        <v>66</v>
      </c>
      <c r="I1072" s="21" t="inlineStr">
        <is>
          <t>2018</t>
        </is>
      </c>
      <c r="J1072" s="21" t="inlineStr">
        <is>
          <t xml:space="preserve"> 0</t>
        </is>
      </c>
      <c r="K1072" s="30">
        <f>(E1072-F1072)/IF(E1072&gt;0,E1072,1)</f>
        <v/>
      </c>
    </row>
    <row r="1073">
      <c r="A1073" s="22" t="inlineStr">
        <is>
          <t>ANT와 AI 영상 제작</t>
        </is>
      </c>
      <c r="B1073" s="22" t="inlineStr">
        <is>
          <t>권승태</t>
        </is>
      </c>
      <c r="C1073" s="22" t="inlineStr">
        <is>
          <t>커뮤니케이션북스</t>
        </is>
      </c>
      <c r="D1073" s="22" t="inlineStr">
        <is>
          <t>2026년 02월</t>
        </is>
      </c>
      <c r="E1073" s="28" t="n">
        <v>12000</v>
      </c>
      <c r="F1073" s="28" t="n">
        <v>12000</v>
      </c>
      <c r="G1073" s="29" t="n">
        <v>0</v>
      </c>
      <c r="H1073" s="29" t="n">
        <v>42</v>
      </c>
      <c r="I1073" s="21" t="inlineStr">
        <is>
          <t>2026</t>
        </is>
      </c>
      <c r="J1073" s="21" t="inlineStr">
        <is>
          <t xml:space="preserve"> 0</t>
        </is>
      </c>
      <c r="K1073" s="30">
        <f>(E1073-F1073)/IF(E1073&gt;0,E1073,1)</f>
        <v/>
      </c>
    </row>
    <row r="1074">
      <c r="A1074" s="22" t="inlineStr">
        <is>
          <t>Ai, 창의력에 날개를 달다</t>
        </is>
      </c>
      <c r="B1074" s="22" t="inlineStr">
        <is>
          <t>김지욱, 박수희, 추형석</t>
        </is>
      </c>
      <c r="C1074" s="22" t="inlineStr">
        <is>
          <t>신구문화사</t>
        </is>
      </c>
      <c r="D1074" s="22" t="inlineStr">
        <is>
          <t>2026년 02월</t>
        </is>
      </c>
      <c r="E1074" s="28" t="n">
        <v>25000</v>
      </c>
      <c r="F1074" s="28" t="n">
        <v>25000</v>
      </c>
      <c r="G1074" s="29" t="n">
        <v>0</v>
      </c>
      <c r="H1074" s="29" t="n">
        <v>66</v>
      </c>
      <c r="I1074" s="21" t="inlineStr">
        <is>
          <t>2026</t>
        </is>
      </c>
      <c r="J1074" s="21" t="inlineStr">
        <is>
          <t xml:space="preserve"> 0</t>
        </is>
      </c>
      <c r="K1074" s="30">
        <f>(E1074-F1074)/IF(E1074&gt;0,E1074,1)</f>
        <v/>
      </c>
    </row>
    <row r="1075">
      <c r="A1075" s="22" t="inlineStr">
        <is>
          <t>AI와 함께하는 학교 경영의 미래 Ⅰ</t>
        </is>
      </c>
      <c r="B1075" s="22" t="inlineStr">
        <is>
          <t>김낙신</t>
        </is>
      </c>
      <c r="C1075" s="22" t="inlineStr">
        <is>
          <t>글ego</t>
        </is>
      </c>
      <c r="D1075" s="22" t="inlineStr">
        <is>
          <t>2026년 01월</t>
        </is>
      </c>
      <c r="E1075" s="28" t="n">
        <v>27500</v>
      </c>
      <c r="F1075" s="28" t="n">
        <v>24750</v>
      </c>
      <c r="G1075" s="29" t="n">
        <v>0</v>
      </c>
      <c r="H1075" s="29" t="n">
        <v>66</v>
      </c>
      <c r="I1075" s="21" t="inlineStr">
        <is>
          <t>2026</t>
        </is>
      </c>
      <c r="J1075" s="21" t="inlineStr">
        <is>
          <t xml:space="preserve"> 0</t>
        </is>
      </c>
      <c r="K1075" s="30">
        <f>(E1075-F1075)/IF(E1075&gt;0,E1075,1)</f>
        <v/>
      </c>
    </row>
    <row r="1076">
      <c r="A1076" s="22" t="inlineStr">
        <is>
          <t>AI와 건설 산업</t>
        </is>
      </c>
      <c r="B1076" s="22" t="inlineStr">
        <is>
          <t>조성광</t>
        </is>
      </c>
      <c r="C1076" s="22" t="inlineStr">
        <is>
          <t>커뮤니케이션북스</t>
        </is>
      </c>
      <c r="D1076" s="22" t="inlineStr">
        <is>
          <t>2026년 01월</t>
        </is>
      </c>
      <c r="E1076" s="28" t="n">
        <v>12000</v>
      </c>
      <c r="F1076" s="28" t="n">
        <v>12000</v>
      </c>
      <c r="G1076" s="29" t="n">
        <v>0</v>
      </c>
      <c r="H1076" s="29" t="n">
        <v>66</v>
      </c>
      <c r="I1076" s="21" t="inlineStr">
        <is>
          <t>2026</t>
        </is>
      </c>
      <c r="J1076" s="21" t="inlineStr">
        <is>
          <t xml:space="preserve"> 0</t>
        </is>
      </c>
      <c r="K1076" s="30">
        <f>(E1076-F1076)/IF(E1076&gt;0,E1076,1)</f>
        <v/>
      </c>
    </row>
    <row r="1077">
      <c r="A1077" s="22" t="inlineStr">
        <is>
          <t>AI 윤리와 초등 도덕 교육</t>
        </is>
      </c>
      <c r="B1077" s="22" t="inlineStr">
        <is>
          <t>권누리</t>
        </is>
      </c>
      <c r="C1077" s="22" t="inlineStr">
        <is>
          <t>커뮤니케이션북스</t>
        </is>
      </c>
      <c r="D1077" s="22" t="inlineStr">
        <is>
          <t>2026년 01월</t>
        </is>
      </c>
      <c r="E1077" s="28" t="n">
        <v>12000</v>
      </c>
      <c r="F1077" s="28" t="n">
        <v>12000</v>
      </c>
      <c r="G1077" s="29" t="n">
        <v>0</v>
      </c>
      <c r="H1077" s="29" t="n">
        <v>54</v>
      </c>
      <c r="I1077" s="21" t="inlineStr">
        <is>
          <t>2026</t>
        </is>
      </c>
      <c r="J1077" s="21" t="inlineStr">
        <is>
          <t xml:space="preserve"> 0</t>
        </is>
      </c>
      <c r="K1077" s="30">
        <f>(E1077-F1077)/IF(E1077&gt;0,E1077,1)</f>
        <v/>
      </c>
    </row>
    <row r="1078">
      <c r="A1078" s="22" t="inlineStr">
        <is>
          <t>지속 가능한 도시를 위한 AI</t>
        </is>
      </c>
      <c r="B1078" s="22" t="inlineStr">
        <is>
          <t>박혜민</t>
        </is>
      </c>
      <c r="C1078" s="22" t="inlineStr">
        <is>
          <t>커뮤니케이션북스</t>
        </is>
      </c>
      <c r="D1078" s="22" t="inlineStr">
        <is>
          <t>2026년 01월</t>
        </is>
      </c>
      <c r="E1078" s="28" t="n">
        <v>12000</v>
      </c>
      <c r="F1078" s="28" t="n">
        <v>12000</v>
      </c>
      <c r="G1078" s="29" t="n">
        <v>0</v>
      </c>
      <c r="H1078" s="29" t="n">
        <v>54</v>
      </c>
      <c r="I1078" s="21" t="inlineStr">
        <is>
          <t>2026</t>
        </is>
      </c>
      <c r="J1078" s="21" t="inlineStr">
        <is>
          <t xml:space="preserve"> 0</t>
        </is>
      </c>
      <c r="K1078" s="30">
        <f>(E1078-F1078)/IF(E1078&gt;0,E1078,1)</f>
        <v/>
      </c>
    </row>
    <row r="1079">
      <c r="A1079" s="22" t="inlineStr">
        <is>
          <t>인공지능을 위한 FastAPI 첫 걸음</t>
        </is>
      </c>
      <c r="B1079" s="22" t="inlineStr">
        <is>
          <t>김기태, 송미선, 장원</t>
        </is>
      </c>
      <c r="C1079" s="22" t="inlineStr">
        <is>
          <t>BOOKK(부크크)</t>
        </is>
      </c>
      <c r="D1079" s="22" t="inlineStr">
        <is>
          <t>2025년 12월</t>
        </is>
      </c>
      <c r="E1079" s="28" t="n">
        <v>31200</v>
      </c>
      <c r="F1079" s="28" t="n">
        <v>31200</v>
      </c>
      <c r="G1079" s="29" t="n">
        <v>0</v>
      </c>
      <c r="H1079" s="29" t="n">
        <v>54</v>
      </c>
      <c r="I1079" s="21" t="inlineStr">
        <is>
          <t>2025</t>
        </is>
      </c>
      <c r="J1079" s="21" t="inlineStr">
        <is>
          <t xml:space="preserve"> 1</t>
        </is>
      </c>
      <c r="K1079" s="30">
        <f>(E1079-F1079)/IF(E1079&gt;0,E1079,1)</f>
        <v/>
      </c>
    </row>
    <row r="1080">
      <c r="A1080" s="22" t="inlineStr">
        <is>
          <t>한글과 AI로 뚝딱! 내 전자책문서</t>
        </is>
      </c>
      <c r="B1080" s="22" t="inlineStr">
        <is>
          <t>황윤진</t>
        </is>
      </c>
      <c r="C1080" s="22" t="inlineStr">
        <is>
          <t>BOOKK(부크크)</t>
        </is>
      </c>
      <c r="D1080" s="22" t="inlineStr">
        <is>
          <t>2025년 07월</t>
        </is>
      </c>
      <c r="E1080" s="28" t="n">
        <v>24000</v>
      </c>
      <c r="F1080" s="28" t="n">
        <v>24000</v>
      </c>
      <c r="G1080" s="29" t="n">
        <v>0</v>
      </c>
      <c r="H1080" s="29" t="n">
        <v>66</v>
      </c>
      <c r="I1080" s="21" t="inlineStr">
        <is>
          <t>2025</t>
        </is>
      </c>
      <c r="J1080" s="21" t="inlineStr">
        <is>
          <t xml:space="preserve"> 0</t>
        </is>
      </c>
      <c r="K1080" s="30">
        <f>(E1080-F1080)/IF(E1080&gt;0,E1080,1)</f>
        <v/>
      </c>
    </row>
    <row r="1081">
      <c r="A1081" s="22" t="inlineStr">
        <is>
          <t>AI와 신앙생활</t>
        </is>
      </c>
      <c r="B1081" s="22" t="inlineStr">
        <is>
          <t>임명수</t>
        </is>
      </c>
      <c r="C1081" s="22" t="inlineStr">
        <is>
          <t>커뮤니케이션북스</t>
        </is>
      </c>
      <c r="D1081" s="22" t="inlineStr">
        <is>
          <t>2025년 07월</t>
        </is>
      </c>
      <c r="E1081" s="28" t="n">
        <v>12000</v>
      </c>
      <c r="F1081" s="28" t="n">
        <v>12000</v>
      </c>
      <c r="G1081" s="29" t="n">
        <v>0</v>
      </c>
      <c r="H1081" s="29" t="n">
        <v>72</v>
      </c>
      <c r="I1081" s="21" t="inlineStr">
        <is>
          <t>2025</t>
        </is>
      </c>
      <c r="J1081" s="21" t="inlineStr">
        <is>
          <t xml:space="preserve"> 0</t>
        </is>
      </c>
      <c r="K1081" s="30">
        <f>(E1081-F1081)/IF(E1081&gt;0,E1081,1)</f>
        <v/>
      </c>
    </row>
    <row r="1082">
      <c r="A1082" s="22" t="inlineStr">
        <is>
          <t>AI 피트니스 서비스 디자인</t>
        </is>
      </c>
      <c r="B1082" s="22" t="inlineStr">
        <is>
          <t>이여름</t>
        </is>
      </c>
      <c r="C1082" s="22" t="inlineStr">
        <is>
          <t>커뮤니케이션북스</t>
        </is>
      </c>
      <c r="D1082" s="22" t="inlineStr">
        <is>
          <t>2025년 06월</t>
        </is>
      </c>
      <c r="E1082" s="28" t="n">
        <v>12000</v>
      </c>
      <c r="F1082" s="28" t="n">
        <v>12000</v>
      </c>
      <c r="G1082" s="29" t="n">
        <v>0</v>
      </c>
      <c r="H1082" s="29" t="n">
        <v>54</v>
      </c>
      <c r="I1082" s="21" t="inlineStr">
        <is>
          <t>2025</t>
        </is>
      </c>
      <c r="J1082" s="21" t="inlineStr">
        <is>
          <t xml:space="preserve"> 0</t>
        </is>
      </c>
      <c r="K1082" s="30">
        <f>(E1082-F1082)/IF(E1082&gt;0,E1082,1)</f>
        <v/>
      </c>
    </row>
    <row r="1083">
      <c r="A1083" s="22" t="inlineStr">
        <is>
          <t>AI와 엔터테인먼트 산업 (큰글자책)</t>
        </is>
      </c>
      <c r="B1083" s="22" t="inlineStr">
        <is>
          <t>황준민</t>
        </is>
      </c>
      <c r="C1083" s="22" t="inlineStr">
        <is>
          <t>커뮤니케이션북스</t>
        </is>
      </c>
      <c r="D1083" s="22" t="inlineStr">
        <is>
          <t>2025년 06월</t>
        </is>
      </c>
      <c r="E1083" s="28" t="n">
        <v>25000</v>
      </c>
      <c r="F1083" s="28" t="n">
        <v>25000</v>
      </c>
      <c r="G1083" s="29" t="n">
        <v>0</v>
      </c>
      <c r="H1083" s="29" t="n">
        <v>42</v>
      </c>
      <c r="I1083" s="21" t="inlineStr">
        <is>
          <t>2025</t>
        </is>
      </c>
      <c r="J1083" s="21" t="inlineStr">
        <is>
          <t xml:space="preserve"> 0</t>
        </is>
      </c>
      <c r="K1083" s="30">
        <f>(E1083-F1083)/IF(E1083&gt;0,E1083,1)</f>
        <v/>
      </c>
    </row>
    <row r="1084">
      <c r="A1084" s="22" t="inlineStr">
        <is>
          <t>생성 AI와 융합 교육</t>
        </is>
      </c>
      <c r="B1084" s="22" t="inlineStr">
        <is>
          <t>원종윤</t>
        </is>
      </c>
      <c r="C1084" s="22" t="inlineStr">
        <is>
          <t>커뮤니케이션북스</t>
        </is>
      </c>
      <c r="D1084" s="22" t="inlineStr">
        <is>
          <t>2024년 10월</t>
        </is>
      </c>
      <c r="E1084" s="28" t="n">
        <v>12000</v>
      </c>
      <c r="F1084" s="28" t="n">
        <v>12000</v>
      </c>
      <c r="G1084" s="29" t="n">
        <v>0</v>
      </c>
      <c r="H1084" s="29" t="n">
        <v>54</v>
      </c>
      <c r="I1084" s="21" t="inlineStr">
        <is>
          <t>2024</t>
        </is>
      </c>
      <c r="J1084" s="21" t="inlineStr">
        <is>
          <t xml:space="preserve"> 1</t>
        </is>
      </c>
      <c r="K1084" s="30">
        <f>(E1084-F1084)/IF(E1084&gt;0,E1084,1)</f>
        <v/>
      </c>
    </row>
    <row r="1085">
      <c r="A1085" s="22" t="inlineStr">
        <is>
          <t>인공지능 도시</t>
        </is>
      </c>
      <c r="B1085" s="22" t="inlineStr">
        <is>
          <t>엄기복</t>
        </is>
      </c>
      <c r="C1085" s="22" t="inlineStr">
        <is>
          <t>좋은땅</t>
        </is>
      </c>
      <c r="D1085" s="22" t="inlineStr">
        <is>
          <t>2024년 09월</t>
        </is>
      </c>
      <c r="E1085" s="28" t="n">
        <v>35000</v>
      </c>
      <c r="F1085" s="28" t="n">
        <v>31500</v>
      </c>
      <c r="G1085" s="29" t="n">
        <v>0</v>
      </c>
      <c r="H1085" s="29" t="n">
        <v>66</v>
      </c>
      <c r="I1085" s="21" t="inlineStr">
        <is>
          <t>2024</t>
        </is>
      </c>
      <c r="J1085" s="21" t="inlineStr">
        <is>
          <t xml:space="preserve"> 0</t>
        </is>
      </c>
      <c r="K1085" s="30">
        <f>(E1085-F1085)/IF(E1085&gt;0,E1085,1)</f>
        <v/>
      </c>
    </row>
    <row r="1086">
      <c r="A1086" s="22" t="inlineStr">
        <is>
          <t>전혀 다른 생성형 AI</t>
        </is>
      </c>
      <c r="B1086" s="22" t="inlineStr">
        <is>
          <t>심영환</t>
        </is>
      </c>
      <c r="C1086" s="22" t="inlineStr">
        <is>
          <t>제이펍</t>
        </is>
      </c>
      <c r="D1086" s="22" t="inlineStr">
        <is>
          <t>2024년 10월</t>
        </is>
      </c>
      <c r="E1086" s="28" t="n">
        <v>20000</v>
      </c>
      <c r="F1086" s="28" t="n">
        <v>18000</v>
      </c>
      <c r="G1086" s="29" t="n">
        <v>18</v>
      </c>
      <c r="H1086" s="29" t="n">
        <v>60</v>
      </c>
      <c r="I1086" s="21" t="inlineStr">
        <is>
          <t>2024</t>
        </is>
      </c>
      <c r="J1086" s="21" t="inlineStr">
        <is>
          <t xml:space="preserve"> 1</t>
        </is>
      </c>
      <c r="K1086" s="30">
        <f>(E1086-F1086)/IF(E1086&gt;0,E1086,1)</f>
        <v/>
      </c>
    </row>
    <row r="1087">
      <c r="A1087" s="22" t="inlineStr">
        <is>
          <t>AI와 예술</t>
        </is>
      </c>
      <c r="B1087" s="22" t="inlineStr">
        <is>
          <t>강보현</t>
        </is>
      </c>
      <c r="C1087" s="22" t="inlineStr">
        <is>
          <t>커뮤니케이션북스</t>
        </is>
      </c>
      <c r="D1087" s="22" t="inlineStr">
        <is>
          <t>2024년 09월</t>
        </is>
      </c>
      <c r="E1087" s="28" t="n">
        <v>12000</v>
      </c>
      <c r="F1087" s="28" t="n">
        <v>12000</v>
      </c>
      <c r="G1087" s="29" t="n">
        <v>0</v>
      </c>
      <c r="H1087" s="29" t="n">
        <v>66</v>
      </c>
      <c r="I1087" s="21" t="inlineStr">
        <is>
          <t>2024</t>
        </is>
      </c>
      <c r="J1087" s="21" t="inlineStr">
        <is>
          <t xml:space="preserve"> 0</t>
        </is>
      </c>
      <c r="K1087" s="30">
        <f>(E1087-F1087)/IF(E1087&gt;0,E1087,1)</f>
        <v/>
      </c>
    </row>
    <row r="1088">
      <c r="A1088" s="22" t="inlineStr">
        <is>
          <t>자연어 처리 첫단추 끼우기</t>
        </is>
      </c>
      <c r="B1088" s="22" t="inlineStr">
        <is>
          <t>오이석, 권태희, 양윤정, 임주희, 조민지, 한창희</t>
        </is>
      </c>
      <c r="C1088" s="22" t="inlineStr">
        <is>
          <t>홍릉과학출판사</t>
        </is>
      </c>
      <c r="D1088" s="22" t="inlineStr">
        <is>
          <t>2022년 07월</t>
        </is>
      </c>
      <c r="E1088" s="28" t="n">
        <v>17000</v>
      </c>
      <c r="F1088" s="28" t="n">
        <v>17000</v>
      </c>
      <c r="G1088" s="29" t="n">
        <v>0</v>
      </c>
      <c r="H1088" s="29" t="n">
        <v>42</v>
      </c>
      <c r="I1088" s="21" t="inlineStr">
        <is>
          <t>2022</t>
        </is>
      </c>
      <c r="J1088" s="21" t="inlineStr">
        <is>
          <t xml:space="preserve"> 0</t>
        </is>
      </c>
      <c r="K1088" s="30">
        <f>(E1088-F1088)/IF(E1088&gt;0,E1088,1)</f>
        <v/>
      </c>
    </row>
    <row r="1089">
      <c r="A1089" s="22" t="inlineStr">
        <is>
          <t>인공지능 바이블 (인공지능에 대한 모든 것)</t>
        </is>
      </c>
      <c r="B1089" s="22" t="inlineStr">
        <is>
          <t>조민호</t>
        </is>
      </c>
      <c r="C1089" s="22" t="inlineStr">
        <is>
          <t>정보문화사</t>
        </is>
      </c>
      <c r="D1089" s="22" t="inlineStr">
        <is>
          <t>2022년 06월</t>
        </is>
      </c>
      <c r="E1089" s="28" t="n">
        <v>28000</v>
      </c>
      <c r="F1089" s="28" t="n">
        <v>25200</v>
      </c>
      <c r="G1089" s="29" t="n">
        <v>24</v>
      </c>
      <c r="H1089" s="29" t="n">
        <v>66</v>
      </c>
      <c r="I1089" s="21" t="inlineStr">
        <is>
          <t>2022</t>
        </is>
      </c>
      <c r="J1089" s="21" t="inlineStr">
        <is>
          <t xml:space="preserve"> 0</t>
        </is>
      </c>
      <c r="K1089" s="30">
        <f>(E1089-F1089)/IF(E1089&gt;0,E1089,1)</f>
        <v/>
      </c>
    </row>
    <row r="1090">
      <c r="A1090" s="22" t="inlineStr">
        <is>
          <t>파이썬으로 움직이는 EV3 로봇</t>
        </is>
      </c>
      <c r="B1090" s="22" t="inlineStr">
        <is>
          <t>황일규</t>
        </is>
      </c>
      <c r="C1090" s="22" t="inlineStr">
        <is>
          <t>복두출판사</t>
        </is>
      </c>
      <c r="D1090" s="22" t="inlineStr">
        <is>
          <t>2021년 07월</t>
        </is>
      </c>
      <c r="E1090" s="28" t="n">
        <v>22000</v>
      </c>
      <c r="F1090" s="28" t="n">
        <v>22000</v>
      </c>
      <c r="G1090" s="29" t="n">
        <v>0</v>
      </c>
      <c r="H1090" s="29" t="n">
        <v>66</v>
      </c>
      <c r="I1090" s="21" t="inlineStr">
        <is>
          <t>2021</t>
        </is>
      </c>
      <c r="J1090" s="21" t="inlineStr">
        <is>
          <t xml:space="preserve"> 0</t>
        </is>
      </c>
      <c r="K1090" s="30">
        <f>(E1090-F1090)/IF(E1090&gt;0,E1090,1)</f>
        <v/>
      </c>
    </row>
    <row r="1091">
      <c r="A1091" s="22" t="inlineStr">
        <is>
          <t>아두이노로 코딩하며 배우는 딥러닝</t>
        </is>
      </c>
      <c r="B1091" s="22" t="inlineStr">
        <is>
          <t>서민우</t>
        </is>
      </c>
      <c r="C1091" s="22" t="inlineStr">
        <is>
          <t>앤써북</t>
        </is>
      </c>
      <c r="D1091" s="22" t="inlineStr">
        <is>
          <t>2021년 06월</t>
        </is>
      </c>
      <c r="E1091" s="28" t="n">
        <v>20800</v>
      </c>
      <c r="F1091" s="28" t="n">
        <v>18720</v>
      </c>
      <c r="G1091" s="29" t="n">
        <v>6</v>
      </c>
      <c r="H1091" s="29" t="n">
        <v>66</v>
      </c>
      <c r="I1091" s="21" t="inlineStr">
        <is>
          <t>2021</t>
        </is>
      </c>
      <c r="J1091" s="21" t="inlineStr">
        <is>
          <t xml:space="preserve"> 0</t>
        </is>
      </c>
      <c r="K1091" s="30">
        <f>(E1091-F1091)/IF(E1091&gt;0,E1091,1)</f>
        <v/>
      </c>
    </row>
    <row r="1092">
      <c r="A1092" s="22" t="inlineStr">
        <is>
          <t>AI 모델을 위한 자연어추론 데이터</t>
        </is>
      </c>
      <c r="B1092" s="22" t="inlineStr">
        <is>
          <t>남지순</t>
        </is>
      </c>
      <c r="C1092" s="22" t="inlineStr">
        <is>
          <t>리니토북스</t>
        </is>
      </c>
      <c r="D1092" s="22" t="inlineStr">
        <is>
          <t>2025년 01월</t>
        </is>
      </c>
      <c r="E1092" s="28" t="n">
        <v>26000</v>
      </c>
      <c r="F1092" s="28" t="n">
        <v>26000</v>
      </c>
      <c r="G1092" s="29" t="n">
        <v>0</v>
      </c>
      <c r="H1092" s="29" t="n">
        <v>24</v>
      </c>
      <c r="I1092" s="21" t="inlineStr">
        <is>
          <t>2025</t>
        </is>
      </c>
      <c r="J1092" s="21" t="inlineStr">
        <is>
          <t xml:space="preserve"> 0</t>
        </is>
      </c>
      <c r="K1092" s="30">
        <f>(E1092-F1092)/IF(E1092&gt;0,E1092,1)</f>
        <v/>
      </c>
    </row>
    <row r="1093">
      <c r="A1093" s="22" t="inlineStr">
        <is>
          <t>10배 빠르게 일하고 연봉 높이는 챗GPT 업무 비법</t>
        </is>
      </c>
      <c r="B1093" s="22" t="inlineStr">
        <is>
          <t>유캔코드</t>
        </is>
      </c>
      <c r="C1093" s="22" t="inlineStr">
        <is>
          <t>한빛비즈</t>
        </is>
      </c>
      <c r="D1093" s="22" t="inlineStr">
        <is>
          <t>2025년 09월</t>
        </is>
      </c>
      <c r="E1093" s="28" t="n">
        <v>23000</v>
      </c>
      <c r="F1093" s="28" t="n">
        <v>20700</v>
      </c>
      <c r="G1093" s="29" t="n">
        <v>11</v>
      </c>
      <c r="H1093" s="29" t="n">
        <v>1374</v>
      </c>
      <c r="I1093" s="21" t="inlineStr">
        <is>
          <t>2025</t>
        </is>
      </c>
      <c r="J1093" s="21" t="inlineStr">
        <is>
          <t xml:space="preserve"> 0</t>
        </is>
      </c>
      <c r="K1093" s="30">
        <f>(E1093-F1093)/IF(E1093&gt;0,E1093,1)</f>
        <v/>
      </c>
    </row>
    <row r="1094">
      <c r="A1094" s="22" t="inlineStr">
        <is>
          <t>메타버스 시대의 사물 인터넷(IoT)</t>
        </is>
      </c>
      <c r="B1094" s="22" t="inlineStr">
        <is>
          <t>양순옥, 김성석</t>
        </is>
      </c>
      <c r="C1094" s="22" t="inlineStr">
        <is>
          <t>생능출판사</t>
        </is>
      </c>
      <c r="D1094" s="22" t="inlineStr">
        <is>
          <t>2023년 02월</t>
        </is>
      </c>
      <c r="E1094" s="28" t="n">
        <v>28000</v>
      </c>
      <c r="F1094" s="28" t="n">
        <v>28000</v>
      </c>
      <c r="G1094" s="29" t="n">
        <v>0</v>
      </c>
      <c r="H1094" s="29" t="n">
        <v>1140</v>
      </c>
      <c r="I1094" s="21" t="inlineStr">
        <is>
          <t>2023</t>
        </is>
      </c>
      <c r="J1094" s="21" t="inlineStr">
        <is>
          <t xml:space="preserve"> 0</t>
        </is>
      </c>
      <c r="K1094" s="30">
        <f>(E1094-F1094)/IF(E1094&gt;0,E1094,1)</f>
        <v/>
      </c>
    </row>
    <row r="1095">
      <c r="A1095" s="22" t="inlineStr">
        <is>
          <t>연필과 종이로 풀어보는 AI 딥러닝 수학 워크북 214제</t>
        </is>
      </c>
      <c r="B1095" s="22" t="inlineStr">
        <is>
          <t>톰 예</t>
        </is>
      </c>
      <c r="C1095" s="22" t="inlineStr">
        <is>
          <t>아티오</t>
        </is>
      </c>
      <c r="D1095" s="22" t="inlineStr">
        <is>
          <t>2025년 12월</t>
        </is>
      </c>
      <c r="E1095" s="28" t="n">
        <v>19000</v>
      </c>
      <c r="F1095" s="28" t="n">
        <v>17100</v>
      </c>
      <c r="G1095" s="29" t="n">
        <v>1</v>
      </c>
      <c r="H1095" s="29" t="n">
        <v>1134</v>
      </c>
      <c r="I1095" s="21" t="inlineStr">
        <is>
          <t>2025</t>
        </is>
      </c>
      <c r="J1095" s="21" t="inlineStr">
        <is>
          <t xml:space="preserve"> 1</t>
        </is>
      </c>
      <c r="K1095" s="30">
        <f>(E1095-F1095)/IF(E1095&gt;0,E1095,1)</f>
        <v/>
      </c>
    </row>
    <row r="1096">
      <c r="A1096" s="22" t="inlineStr">
        <is>
          <t>현직교사가 만든 가장 쉬운 미리캔버스 수업 활용! MiriCanvas(미리캔버스)로 무엇이든 만들 수 있다</t>
        </is>
      </c>
      <c r="B1096" s="22" t="inlineStr">
        <is>
          <t>김동은, 김효민, 박채린, 이희정, 임준열</t>
        </is>
      </c>
      <c r="C1096" s="22" t="inlineStr">
        <is>
          <t>광문각출판미디어</t>
        </is>
      </c>
      <c r="D1096" s="22" t="inlineStr">
        <is>
          <t>2025년 12월</t>
        </is>
      </c>
      <c r="E1096" s="28" t="n">
        <v>21000</v>
      </c>
      <c r="F1096" s="28" t="n">
        <v>21000</v>
      </c>
      <c r="G1096" s="29" t="n">
        <v>30</v>
      </c>
      <c r="H1096" s="29" t="n">
        <v>1122</v>
      </c>
      <c r="I1096" s="21" t="inlineStr">
        <is>
          <t>2025</t>
        </is>
      </c>
      <c r="J1096" s="21" t="inlineStr">
        <is>
          <t xml:space="preserve"> 1</t>
        </is>
      </c>
      <c r="K1096" s="30">
        <f>(E1096-F1096)/IF(E1096&gt;0,E1096,1)</f>
        <v/>
      </c>
    </row>
    <row r="1097">
      <c r="A1097" s="22" t="inlineStr">
        <is>
          <t>따라만 하세요 챗GPT 입문 실무 활용하면서 Chat 공부 사용법과 인공지능 지피티 프롬프트와 엑셀 블로그 유튜브 ppt 배우기 수업 AI 기초 책 학원강의 특강 도서 교재보다 좋은 USB 강좌 교육</t>
        </is>
      </c>
      <c r="B1097" s="22" t="inlineStr">
        <is>
          <t>액션미디어 편집부</t>
        </is>
      </c>
      <c r="C1097" s="22" t="inlineStr">
        <is>
          <t>액션미디어</t>
        </is>
      </c>
      <c r="D1097" s="22" t="inlineStr">
        <is>
          <t>2025년 05월</t>
        </is>
      </c>
      <c r="E1097" s="28" t="n">
        <v>39800</v>
      </c>
      <c r="F1097" s="28" t="n">
        <v>39800</v>
      </c>
      <c r="G1097" s="29" t="n">
        <v>1</v>
      </c>
      <c r="H1097" s="29" t="n">
        <v>996</v>
      </c>
      <c r="I1097" s="21" t="inlineStr">
        <is>
          <t>2025</t>
        </is>
      </c>
      <c r="J1097" s="21" t="inlineStr">
        <is>
          <t xml:space="preserve"> 0</t>
        </is>
      </c>
      <c r="K1097" s="30">
        <f>(E1097-F1097)/IF(E1097&gt;0,E1097,1)</f>
        <v/>
      </c>
    </row>
    <row r="1098">
      <c r="A1098" s="22" t="inlineStr">
        <is>
          <t>파이썬으로 시작하는 머신러닝+딥러닝</t>
        </is>
      </c>
      <c r="B1098" s="22" t="inlineStr">
        <is>
          <t>강지영</t>
        </is>
      </c>
      <c r="C1098" s="22" t="inlineStr">
        <is>
          <t>아이리포</t>
        </is>
      </c>
      <c r="D1098" s="22" t="inlineStr">
        <is>
          <t>2025년 11월</t>
        </is>
      </c>
      <c r="E1098" s="28" t="n">
        <v>28000</v>
      </c>
      <c r="F1098" s="28" t="n">
        <v>25200</v>
      </c>
      <c r="G1098" s="29" t="n">
        <v>5</v>
      </c>
      <c r="H1098" s="29" t="n">
        <v>936</v>
      </c>
      <c r="I1098" s="21" t="inlineStr">
        <is>
          <t>2025</t>
        </is>
      </c>
      <c r="J1098" s="21" t="inlineStr">
        <is>
          <t xml:space="preserve"> 1</t>
        </is>
      </c>
      <c r="K1098" s="30">
        <f>(E1098-F1098)/IF(E1098&gt;0,E1098,1)</f>
        <v/>
      </c>
    </row>
    <row r="1099">
      <c r="A1099" s="22" t="inlineStr">
        <is>
          <t>오렌지로 쉽게 배우는 머신러닝과 데이터 분석</t>
        </is>
      </c>
      <c r="B1099" s="22" t="inlineStr">
        <is>
          <t>장원두, 황순욱, 진예지</t>
        </is>
      </c>
      <c r="C1099" s="22" t="inlineStr">
        <is>
          <t>생능출판사</t>
        </is>
      </c>
      <c r="D1099" s="22" t="inlineStr">
        <is>
          <t>2024년 02월</t>
        </is>
      </c>
      <c r="E1099" s="28" t="n">
        <v>27000</v>
      </c>
      <c r="F1099" s="28" t="n">
        <v>27000</v>
      </c>
      <c r="G1099" s="29" t="n">
        <v>4</v>
      </c>
      <c r="H1099" s="29" t="n">
        <v>1116</v>
      </c>
      <c r="I1099" s="21" t="inlineStr">
        <is>
          <t>2024</t>
        </is>
      </c>
      <c r="J1099" s="21" t="inlineStr">
        <is>
          <t xml:space="preserve"> 0</t>
        </is>
      </c>
      <c r="K1099" s="30">
        <f>(E1099-F1099)/IF(E1099&gt;0,E1099,1)</f>
        <v/>
      </c>
    </row>
    <row r="1100">
      <c r="A1100" s="22" t="inlineStr">
        <is>
          <t>한국과 EU의 AI법</t>
        </is>
      </c>
      <c r="B1100" s="22" t="inlineStr">
        <is>
          <t>안중민</t>
        </is>
      </c>
      <c r="C1100" s="22" t="inlineStr">
        <is>
          <t>커뮤니케이션북스</t>
        </is>
      </c>
      <c r="D1100" s="22" t="inlineStr">
        <is>
          <t>2025년 10월</t>
        </is>
      </c>
      <c r="E1100" s="28" t="n">
        <v>12000</v>
      </c>
      <c r="F1100" s="28" t="n">
        <v>12000</v>
      </c>
      <c r="G1100" s="29" t="n">
        <v>108</v>
      </c>
      <c r="H1100" s="29" t="n">
        <v>1086</v>
      </c>
      <c r="I1100" s="21" t="inlineStr">
        <is>
          <t>2025</t>
        </is>
      </c>
      <c r="J1100" s="21" t="inlineStr">
        <is>
          <t xml:space="preserve"> 1</t>
        </is>
      </c>
      <c r="K1100" s="30">
        <f>(E1100-F1100)/IF(E1100&gt;0,E1100,1)</f>
        <v/>
      </c>
    </row>
    <row r="1101">
      <c r="A1101" s="22" t="inlineStr">
        <is>
          <t>챗GPT 교사 마스터 플랜</t>
        </is>
      </c>
      <c r="B1101" s="22" t="inlineStr">
        <is>
          <t>한민철</t>
        </is>
      </c>
      <c r="C1101" s="22" t="inlineStr">
        <is>
          <t>책바세</t>
        </is>
      </c>
      <c r="D1101" s="22" t="inlineStr">
        <is>
          <t>2023년 10월</t>
        </is>
      </c>
      <c r="E1101" s="28" t="n">
        <v>24000</v>
      </c>
      <c r="F1101" s="28" t="n">
        <v>21600</v>
      </c>
      <c r="G1101" s="29" t="n">
        <v>29</v>
      </c>
      <c r="H1101" s="29" t="n">
        <v>882</v>
      </c>
      <c r="I1101" s="21" t="inlineStr">
        <is>
          <t>2023</t>
        </is>
      </c>
      <c r="J1101" s="21" t="inlineStr">
        <is>
          <t xml:space="preserve"> 1</t>
        </is>
      </c>
      <c r="K1101" s="30">
        <f>(E1101-F1101)/IF(E1101&gt;0,E1101,1)</f>
        <v/>
      </c>
    </row>
    <row r="1102">
      <c r="A1102" s="22" t="inlineStr">
        <is>
          <t>파이썬으로 배우는 데이터 과학</t>
        </is>
      </c>
      <c r="B1102" s="22" t="inlineStr">
        <is>
          <t>샘 라우, 조셉 곤잘레스, 데보라 놀란, 권정민</t>
        </is>
      </c>
      <c r="C1102" s="22" t="inlineStr">
        <is>
          <t>영진닷컴</t>
        </is>
      </c>
      <c r="D1102" s="22" t="inlineStr">
        <is>
          <t>2025년 12월</t>
        </is>
      </c>
      <c r="E1102" s="28" t="n">
        <v>36000</v>
      </c>
      <c r="F1102" s="28" t="n">
        <v>32400</v>
      </c>
      <c r="G1102" s="29" t="n">
        <v>5</v>
      </c>
      <c r="H1102" s="29" t="n">
        <v>804</v>
      </c>
      <c r="I1102" s="21" t="inlineStr">
        <is>
          <t>2025</t>
        </is>
      </c>
      <c r="J1102" s="21" t="inlineStr">
        <is>
          <t xml:space="preserve"> 1</t>
        </is>
      </c>
      <c r="K1102" s="30">
        <f>(E1102-F1102)/IF(E1102&gt;0,E1102,1)</f>
        <v/>
      </c>
    </row>
    <row r="1103">
      <c r="A1103" s="22" t="inlineStr">
        <is>
          <t>AI+로봇</t>
        </is>
      </c>
      <c r="B1103" s="22" t="inlineStr">
        <is>
          <t>김영재</t>
        </is>
      </c>
      <c r="C1103" s="22" t="inlineStr">
        <is>
          <t>MID 엠아이디</t>
        </is>
      </c>
      <c r="D1103" s="22" t="inlineStr">
        <is>
          <t>2025년 08월</t>
        </is>
      </c>
      <c r="E1103" s="28" t="n">
        <v>16000</v>
      </c>
      <c r="F1103" s="28" t="n">
        <v>14400</v>
      </c>
      <c r="G1103" s="29" t="n">
        <v>14</v>
      </c>
      <c r="H1103" s="29" t="n">
        <v>1596</v>
      </c>
      <c r="I1103" s="21" t="inlineStr">
        <is>
          <t>2025</t>
        </is>
      </c>
      <c r="J1103" s="21" t="inlineStr">
        <is>
          <t xml:space="preserve"> 0</t>
        </is>
      </c>
      <c r="K1103" s="30">
        <f>(E1103-F1103)/IF(E1103&gt;0,E1103,1)</f>
        <v/>
      </c>
    </row>
    <row r="1104">
      <c r="A1104" s="22" t="inlineStr">
        <is>
          <t>시스템 설계 면접 완벽 가이드</t>
        </is>
      </c>
      <c r="B1104" s="22" t="inlineStr">
        <is>
          <t>지용 탄, 나정호</t>
        </is>
      </c>
      <c r="C1104" s="22" t="inlineStr">
        <is>
          <t>위키북스</t>
        </is>
      </c>
      <c r="D1104" s="22" t="inlineStr">
        <is>
          <t>2025년 05월</t>
        </is>
      </c>
      <c r="E1104" s="28" t="n">
        <v>35000</v>
      </c>
      <c r="F1104" s="28" t="n">
        <v>31500</v>
      </c>
      <c r="G1104" s="29" t="n">
        <v>4</v>
      </c>
      <c r="H1104" s="29" t="n">
        <v>894</v>
      </c>
      <c r="I1104" s="21" t="inlineStr">
        <is>
          <t>2025</t>
        </is>
      </c>
      <c r="J1104" s="21" t="inlineStr">
        <is>
          <t xml:space="preserve"> 0</t>
        </is>
      </c>
      <c r="K1104" s="30">
        <f>(E1104-F1104)/IF(E1104&gt;0,E1104,1)</f>
        <v/>
      </c>
    </row>
    <row r="1105">
      <c r="A1105" s="22" t="inlineStr">
        <is>
          <t>오늘부터 회사에서 AI 합니다</t>
        </is>
      </c>
      <c r="B1105" s="22" t="inlineStr">
        <is>
          <t>이활석, 업스테이지 AI 교육 부문</t>
        </is>
      </c>
      <c r="C1105" s="22" t="inlineStr">
        <is>
          <t>디지털북스</t>
        </is>
      </c>
      <c r="D1105" s="22" t="inlineStr">
        <is>
          <t>2025년 07월</t>
        </is>
      </c>
      <c r="E1105" s="28" t="n">
        <v>22000</v>
      </c>
      <c r="F1105" s="28" t="n">
        <v>19800</v>
      </c>
      <c r="G1105" s="29" t="n">
        <v>11</v>
      </c>
      <c r="H1105" s="29" t="n">
        <v>828</v>
      </c>
      <c r="I1105" s="21" t="inlineStr">
        <is>
          <t>2025</t>
        </is>
      </c>
      <c r="J1105" s="21" t="inlineStr">
        <is>
          <t xml:space="preserve"> 0</t>
        </is>
      </c>
      <c r="K1105" s="30">
        <f>(E1105-F1105)/IF(E1105&gt;0,E1105,1)</f>
        <v/>
      </c>
    </row>
    <row r="1106">
      <c r="A1106" s="22" t="inlineStr">
        <is>
          <t>AI 전략 수업</t>
        </is>
      </c>
      <c r="B1106" s="22" t="inlineStr">
        <is>
          <t>김동석</t>
        </is>
      </c>
      <c r="C1106" s="22" t="inlineStr">
        <is>
          <t>베가북스</t>
        </is>
      </c>
      <c r="D1106" s="22" t="inlineStr">
        <is>
          <t>2025년 06월</t>
        </is>
      </c>
      <c r="E1106" s="28" t="n">
        <v>19000</v>
      </c>
      <c r="F1106" s="28" t="n">
        <v>17100</v>
      </c>
      <c r="G1106" s="29" t="n">
        <v>4</v>
      </c>
      <c r="H1106" s="29" t="n">
        <v>792</v>
      </c>
      <c r="I1106" s="21" t="inlineStr">
        <is>
          <t>2025</t>
        </is>
      </c>
      <c r="J1106" s="21" t="inlineStr">
        <is>
          <t xml:space="preserve"> 0</t>
        </is>
      </c>
      <c r="K1106" s="30">
        <f>(E1106-F1106)/IF(E1106&gt;0,E1106,1)</f>
        <v/>
      </c>
    </row>
    <row r="1107">
      <c r="A1107" s="22" t="inlineStr">
        <is>
          <t>LUVIT♥ 커서로 시작하는 바이브 코딩</t>
        </is>
      </c>
      <c r="B1107" s="22" t="inlineStr">
        <is>
          <t>김진호</t>
        </is>
      </c>
      <c r="C1107" s="22" t="inlineStr">
        <is>
          <t>제이펍</t>
        </is>
      </c>
      <c r="D1107" s="22" t="inlineStr">
        <is>
          <t>2025년 08월</t>
        </is>
      </c>
      <c r="E1107" s="28" t="n">
        <v>25000</v>
      </c>
      <c r="F1107" s="28" t="n">
        <v>22500</v>
      </c>
      <c r="G1107" s="29" t="n">
        <v>1</v>
      </c>
      <c r="H1107" s="29" t="n">
        <v>720</v>
      </c>
      <c r="I1107" s="21" t="inlineStr">
        <is>
          <t>2025</t>
        </is>
      </c>
      <c r="J1107" s="21" t="inlineStr">
        <is>
          <t xml:space="preserve"> 0</t>
        </is>
      </c>
      <c r="K1107" s="30">
        <f>(E1107-F1107)/IF(E1107&gt;0,E1107,1)</f>
        <v/>
      </c>
    </row>
    <row r="1108">
      <c r="A1108" s="22" t="inlineStr">
        <is>
          <t>만들면서 배우는 생성형 AI 첫걸음</t>
        </is>
      </c>
      <c r="B1108" s="22" t="inlineStr">
        <is>
          <t>천인국</t>
        </is>
      </c>
      <c r="C1108" s="22" t="inlineStr">
        <is>
          <t>생능출판사</t>
        </is>
      </c>
      <c r="D1108" s="22" t="inlineStr">
        <is>
          <t>2024년 12월</t>
        </is>
      </c>
      <c r="E1108" s="28" t="n">
        <v>29000</v>
      </c>
      <c r="F1108" s="28" t="n">
        <v>29000</v>
      </c>
      <c r="G1108" s="29" t="n">
        <v>0</v>
      </c>
      <c r="H1108" s="29" t="n">
        <v>702</v>
      </c>
      <c r="I1108" s="21" t="inlineStr">
        <is>
          <t>2024</t>
        </is>
      </c>
      <c r="J1108" s="21" t="inlineStr">
        <is>
          <t xml:space="preserve"> 1</t>
        </is>
      </c>
      <c r="K1108" s="30">
        <f>(E1108-F1108)/IF(E1108&gt;0,E1108,1)</f>
        <v/>
      </c>
    </row>
    <row r="1109">
      <c r="A1109" s="22" t="inlineStr">
        <is>
          <t>머신 러닝 교과서: 파이토치 편</t>
        </is>
      </c>
      <c r="B1109" s="22" t="inlineStr">
        <is>
          <t>유시 (헤이든) 류, 바히드미자리리, 세바스찬 라시카, 박해선</t>
        </is>
      </c>
      <c r="C1109" s="22" t="inlineStr">
        <is>
          <t>길벗</t>
        </is>
      </c>
      <c r="D1109" s="22" t="inlineStr">
        <is>
          <t>2023년 11월</t>
        </is>
      </c>
      <c r="E1109" s="28" t="n">
        <v>58000</v>
      </c>
      <c r="F1109" s="28" t="n">
        <v>52200</v>
      </c>
      <c r="G1109" s="29" t="n">
        <v>8</v>
      </c>
      <c r="H1109" s="29" t="n">
        <v>684</v>
      </c>
      <c r="I1109" s="21" t="inlineStr">
        <is>
          <t>2023</t>
        </is>
      </c>
      <c r="J1109" s="21" t="inlineStr">
        <is>
          <t xml:space="preserve"> 1</t>
        </is>
      </c>
      <c r="K1109" s="30">
        <f>(E1109-F1109)/IF(E1109&gt;0,E1109,1)</f>
        <v/>
      </c>
    </row>
    <row r="1110">
      <c r="A1110" s="22" t="inlineStr">
        <is>
          <t>코딩 1도 몰라도 커서 AI와 대화하며 7가지 프로그램 만들기</t>
        </is>
      </c>
      <c r="B1110" s="22" t="inlineStr">
        <is>
          <t>이상용, 정동진</t>
        </is>
      </c>
      <c r="C1110" s="22" t="inlineStr">
        <is>
          <t>앤써북</t>
        </is>
      </c>
      <c r="D1110" s="22" t="inlineStr">
        <is>
          <t>2025년 10월</t>
        </is>
      </c>
      <c r="E1110" s="28" t="n">
        <v>18000</v>
      </c>
      <c r="F1110" s="28" t="n">
        <v>16200</v>
      </c>
      <c r="G1110" s="29" t="n">
        <v>21</v>
      </c>
      <c r="H1110" s="29" t="n">
        <v>870</v>
      </c>
      <c r="I1110" s="21" t="inlineStr">
        <is>
          <t>2025</t>
        </is>
      </c>
      <c r="J1110" s="21" t="inlineStr">
        <is>
          <t xml:space="preserve"> 1</t>
        </is>
      </c>
      <c r="K1110" s="30">
        <f>(E1110-F1110)/IF(E1110&gt;0,E1110,1)</f>
        <v/>
      </c>
    </row>
    <row r="1111">
      <c r="A1111" s="22" t="inlineStr">
        <is>
          <t>맥킨지의 로지컬 라이팅</t>
        </is>
      </c>
      <c r="B1111" s="22" t="inlineStr">
        <is>
          <t>아카바 유지, 이지현</t>
        </is>
      </c>
      <c r="C1111" s="22" t="inlineStr">
        <is>
          <t>유엑스리뷰</t>
        </is>
      </c>
      <c r="D1111" s="22" t="inlineStr">
        <is>
          <t>2025년 04월</t>
        </is>
      </c>
      <c r="E1111" s="28" t="n">
        <v>23000</v>
      </c>
      <c r="F1111" s="28" t="n">
        <v>20700</v>
      </c>
      <c r="G1111" s="29" t="n">
        <v>33</v>
      </c>
      <c r="H1111" s="29" t="n">
        <v>678</v>
      </c>
      <c r="I1111" s="21" t="inlineStr">
        <is>
          <t>2025</t>
        </is>
      </c>
      <c r="J1111" s="21" t="inlineStr">
        <is>
          <t xml:space="preserve"> 0</t>
        </is>
      </c>
      <c r="K1111" s="30">
        <f>(E1111-F1111)/IF(E1111&gt;0,E1111,1)</f>
        <v/>
      </c>
    </row>
    <row r="1112">
      <c r="A1112" s="22" t="inlineStr">
        <is>
          <t>데이터 기반 리텐션 전략</t>
        </is>
      </c>
      <c r="B1112" s="22" t="inlineStr">
        <is>
          <t>칼 골드, 장훈</t>
        </is>
      </c>
      <c r="C1112" s="22" t="inlineStr">
        <is>
          <t>에이콘출판사</t>
        </is>
      </c>
      <c r="D1112" s="22" t="inlineStr">
        <is>
          <t>2025년 07월</t>
        </is>
      </c>
      <c r="E1112" s="28" t="n">
        <v>42000</v>
      </c>
      <c r="F1112" s="28" t="n">
        <v>37800</v>
      </c>
      <c r="G1112" s="29" t="n">
        <v>3</v>
      </c>
      <c r="H1112" s="29" t="n">
        <v>708</v>
      </c>
      <c r="I1112" s="21" t="inlineStr">
        <is>
          <t>2025</t>
        </is>
      </c>
      <c r="J1112" s="21" t="inlineStr">
        <is>
          <t xml:space="preserve"> 0</t>
        </is>
      </c>
      <c r="K1112" s="30">
        <f>(E1112-F1112)/IF(E1112&gt;0,E1112,1)</f>
        <v/>
      </c>
    </row>
    <row r="1113">
      <c r="A1113" s="22" t="inlineStr">
        <is>
          <t>개념기반 단원 설계를 위한 ChatGPT 활용레시피</t>
        </is>
      </c>
      <c r="B1113" s="22" t="inlineStr">
        <is>
          <t>정지영</t>
        </is>
      </c>
      <c r="C1113" s="22" t="inlineStr">
        <is>
          <t>내하출판사</t>
        </is>
      </c>
      <c r="D1113" s="22" t="inlineStr">
        <is>
          <t>2025년 08월</t>
        </is>
      </c>
      <c r="E1113" s="28" t="n">
        <v>20000</v>
      </c>
      <c r="F1113" s="28" t="n">
        <v>20000</v>
      </c>
      <c r="G1113" s="29" t="n">
        <v>0</v>
      </c>
      <c r="H1113" s="29" t="n">
        <v>798</v>
      </c>
      <c r="I1113" s="21" t="inlineStr">
        <is>
          <t>2025</t>
        </is>
      </c>
      <c r="J1113" s="21" t="inlineStr">
        <is>
          <t xml:space="preserve"> 0</t>
        </is>
      </c>
      <c r="K1113" s="30">
        <f>(E1113-F1113)/IF(E1113&gt;0,E1113,1)</f>
        <v/>
      </c>
    </row>
    <row r="1114">
      <c r="A1114" s="22" t="inlineStr">
        <is>
          <t>인공지능, 주식분석 좀 부탁해</t>
        </is>
      </c>
      <c r="B1114" s="22" t="inlineStr">
        <is>
          <t>곽경일</t>
        </is>
      </c>
      <c r="C1114" s="22" t="inlineStr">
        <is>
          <t>비제이퍼블릭(BJ퍼블릭)</t>
        </is>
      </c>
      <c r="D1114" s="22" t="inlineStr">
        <is>
          <t>2025년 07월</t>
        </is>
      </c>
      <c r="E1114" s="28" t="n">
        <v>24000</v>
      </c>
      <c r="F1114" s="28" t="n">
        <v>21600</v>
      </c>
      <c r="G1114" s="29" t="n">
        <v>11</v>
      </c>
      <c r="H1114" s="29" t="n">
        <v>684</v>
      </c>
      <c r="I1114" s="21" t="inlineStr">
        <is>
          <t>2025</t>
        </is>
      </c>
      <c r="J1114" s="21" t="inlineStr">
        <is>
          <t xml:space="preserve"> 0</t>
        </is>
      </c>
      <c r="K1114" s="30">
        <f>(E1114-F1114)/IF(E1114&gt;0,E1114,1)</f>
        <v/>
      </c>
    </row>
    <row r="1115">
      <c r="A1115" s="22" t="inlineStr">
        <is>
          <t>라즈베리파이 5로 배우는 AI 인공지능 자율주행 자동차 만들기 + 데이터 수집 · 학습 + 딥러닝</t>
        </is>
      </c>
      <c r="B1115" s="22" t="inlineStr">
        <is>
          <t>장문철</t>
        </is>
      </c>
      <c r="C1115" s="22" t="inlineStr">
        <is>
          <t>앤써북</t>
        </is>
      </c>
      <c r="D1115" s="22" t="inlineStr">
        <is>
          <t>2024년 06월</t>
        </is>
      </c>
      <c r="E1115" s="28" t="n">
        <v>24400</v>
      </c>
      <c r="F1115" s="28" t="n">
        <v>21960</v>
      </c>
      <c r="G1115" s="29" t="n">
        <v>2</v>
      </c>
      <c r="H1115" s="29" t="n">
        <v>690</v>
      </c>
      <c r="I1115" s="21" t="inlineStr">
        <is>
          <t>2024</t>
        </is>
      </c>
      <c r="J1115" s="21" t="inlineStr">
        <is>
          <t xml:space="preserve"> 0</t>
        </is>
      </c>
      <c r="K1115" s="30">
        <f>(E1115-F1115)/IF(E1115&gt;0,E1115,1)</f>
        <v/>
      </c>
    </row>
    <row r="1116">
      <c r="A1116" s="22" t="inlineStr">
        <is>
          <t>랭체인으로 LLM 기반의 AI 서비스 개발하기</t>
        </is>
      </c>
      <c r="B1116" s="22" t="inlineStr">
        <is>
          <t>서지영</t>
        </is>
      </c>
      <c r="C1116" s="22" t="inlineStr">
        <is>
          <t>길벗</t>
        </is>
      </c>
      <c r="D1116" s="22" t="inlineStr">
        <is>
          <t>2024년 02월</t>
        </is>
      </c>
      <c r="E1116" s="28" t="n">
        <v>24000</v>
      </c>
      <c r="F1116" s="28" t="n">
        <v>21600</v>
      </c>
      <c r="G1116" s="29" t="n">
        <v>30</v>
      </c>
      <c r="H1116" s="29" t="n">
        <v>624</v>
      </c>
      <c r="I1116" s="21" t="inlineStr">
        <is>
          <t>2024</t>
        </is>
      </c>
      <c r="J1116" s="21" t="inlineStr">
        <is>
          <t xml:space="preserve"> 0</t>
        </is>
      </c>
      <c r="K1116" s="30">
        <f>(E1116-F1116)/IF(E1116&gt;0,E1116,1)</f>
        <v/>
      </c>
    </row>
    <row r="1117">
      <c r="A1117" s="22" t="inlineStr">
        <is>
          <t>캔바하는 교사, 수업 &amp; 업무</t>
        </is>
      </c>
      <c r="B1117" s="22" t="inlineStr">
        <is>
          <t>김주현, 김수진, 서인애, 양진영, 윤혜정, 정보 더 보기/감추기, 김주현, 김수진, 서인애, 양진영, 윤혜정, 조창호</t>
        </is>
      </c>
      <c r="C1117" s="22" t="inlineStr">
        <is>
          <t>넷마루</t>
        </is>
      </c>
      <c r="D1117" s="22" t="inlineStr">
        <is>
          <t>2025년 08월</t>
        </is>
      </c>
      <c r="E1117" s="28" t="n">
        <v>33000</v>
      </c>
      <c r="F1117" s="28" t="n">
        <v>29700</v>
      </c>
      <c r="G1117" s="29" t="n">
        <v>1</v>
      </c>
      <c r="H1117" s="29" t="n">
        <v>1068</v>
      </c>
      <c r="I1117" s="21" t="inlineStr">
        <is>
          <t>2025</t>
        </is>
      </c>
      <c r="J1117" s="21" t="inlineStr">
        <is>
          <t xml:space="preserve"> 0</t>
        </is>
      </c>
      <c r="K1117" s="30">
        <f>(E1117-F1117)/IF(E1117&gt;0,E1117,1)</f>
        <v/>
      </c>
    </row>
    <row r="1118">
      <c r="A1118" s="22" t="inlineStr">
        <is>
          <t>제가 만든 GPT는 당신이 만든 GPT와 전혀 다릅니다</t>
        </is>
      </c>
      <c r="B1118" s="22" t="inlineStr">
        <is>
          <t>유호석</t>
        </is>
      </c>
      <c r="C1118" s="22" t="inlineStr">
        <is>
          <t>리코멘드</t>
        </is>
      </c>
      <c r="D1118" s="22" t="inlineStr">
        <is>
          <t>2024년 06월</t>
        </is>
      </c>
      <c r="E1118" s="28" t="n">
        <v>22000</v>
      </c>
      <c r="F1118" s="28" t="n">
        <v>19800</v>
      </c>
      <c r="G1118" s="29" t="n">
        <v>18</v>
      </c>
      <c r="H1118" s="29" t="n">
        <v>660</v>
      </c>
      <c r="I1118" s="21" t="inlineStr">
        <is>
          <t>2024</t>
        </is>
      </c>
      <c r="J1118" s="21" t="inlineStr">
        <is>
          <t xml:space="preserve"> 0</t>
        </is>
      </c>
      <c r="K1118" s="30">
        <f>(E1118-F1118)/IF(E1118&gt;0,E1118,1)</f>
        <v/>
      </c>
    </row>
    <row r="1119">
      <c r="A1119" s="22" t="inlineStr">
        <is>
          <t>명품 라즈베리파이</t>
        </is>
      </c>
      <c r="B1119" s="22" t="inlineStr">
        <is>
          <t>황기태, 정인환, 이재문</t>
        </is>
      </c>
      <c r="C1119" s="22" t="inlineStr">
        <is>
          <t>생능출판사</t>
        </is>
      </c>
      <c r="D1119" s="22" t="inlineStr">
        <is>
          <t>2024년 08월</t>
        </is>
      </c>
      <c r="E1119" s="28" t="n">
        <v>32000</v>
      </c>
      <c r="F1119" s="28" t="n">
        <v>32000</v>
      </c>
      <c r="G1119" s="29" t="n">
        <v>4</v>
      </c>
      <c r="H1119" s="29" t="n">
        <v>660</v>
      </c>
      <c r="I1119" s="21" t="inlineStr">
        <is>
          <t>2024</t>
        </is>
      </c>
      <c r="J1119" s="21" t="inlineStr">
        <is>
          <t xml:space="preserve"> 0</t>
        </is>
      </c>
      <c r="K1119" s="30">
        <f>(E1119-F1119)/IF(E1119&gt;0,E1119,1)</f>
        <v/>
      </c>
    </row>
    <row r="1120">
      <c r="A1120" s="22" t="inlineStr">
        <is>
          <t>최고의 AI 영상 Sora로 제작하기</t>
        </is>
      </c>
      <c r="B1120" s="22" t="inlineStr">
        <is>
          <t>밍지, 권유라</t>
        </is>
      </c>
      <c r="C1120" s="22" t="inlineStr">
        <is>
          <t>제이펍</t>
        </is>
      </c>
      <c r="D1120" s="22" t="inlineStr">
        <is>
          <t>2025년 01월</t>
        </is>
      </c>
      <c r="E1120" s="28" t="n">
        <v>22000</v>
      </c>
      <c r="F1120" s="28" t="n">
        <v>19800</v>
      </c>
      <c r="G1120" s="29" t="n">
        <v>13</v>
      </c>
      <c r="H1120" s="29" t="n">
        <v>582</v>
      </c>
      <c r="I1120" s="21" t="inlineStr">
        <is>
          <t>2025</t>
        </is>
      </c>
      <c r="J1120" s="21" t="inlineStr">
        <is>
          <t xml:space="preserve"> 0</t>
        </is>
      </c>
      <c r="K1120" s="30">
        <f>(E1120-F1120)/IF(E1120&gt;0,E1120,1)</f>
        <v/>
      </c>
    </row>
    <row r="1121">
      <c r="A1121" s="22" t="inlineStr">
        <is>
          <t>확률론적 머신러닝 : 기본편</t>
        </is>
      </c>
      <c r="B1121" s="22" t="inlineStr">
        <is>
          <t>케빈 머피, 이판호</t>
        </is>
      </c>
      <c r="C1121" s="22" t="inlineStr">
        <is>
          <t>에이콘출판사</t>
        </is>
      </c>
      <c r="D1121" s="22" t="inlineStr">
        <is>
          <t>2024년 05월</t>
        </is>
      </c>
      <c r="E1121" s="28" t="n">
        <v>80000</v>
      </c>
      <c r="F1121" s="28" t="n">
        <v>72000</v>
      </c>
      <c r="G1121" s="29" t="n">
        <v>2</v>
      </c>
      <c r="H1121" s="29" t="n">
        <v>684</v>
      </c>
      <c r="I1121" s="21" t="inlineStr">
        <is>
          <t>2024</t>
        </is>
      </c>
      <c r="J1121" s="21" t="inlineStr">
        <is>
          <t xml:space="preserve"> 0</t>
        </is>
      </c>
      <c r="K1121" s="30">
        <f>(E1121-F1121)/IF(E1121&gt;0,E1121,1)</f>
        <v/>
      </c>
    </row>
    <row r="1122">
      <c r="A1122" s="22" t="inlineStr">
        <is>
          <t>챗GPT + 엑셀 업무자동화 정석</t>
        </is>
      </c>
      <c r="B1122" s="22" t="inlineStr">
        <is>
          <t>권현욱</t>
        </is>
      </c>
      <c r="C1122" s="22" t="inlineStr">
        <is>
          <t>디지털북스</t>
        </is>
      </c>
      <c r="D1122" s="22" t="inlineStr">
        <is>
          <t>2023년 04월</t>
        </is>
      </c>
      <c r="E1122" s="28" t="n">
        <v>15000</v>
      </c>
      <c r="F1122" s="28" t="n">
        <v>13500</v>
      </c>
      <c r="G1122" s="29" t="n">
        <v>14</v>
      </c>
      <c r="H1122" s="29" t="n">
        <v>750</v>
      </c>
      <c r="I1122" s="21" t="inlineStr">
        <is>
          <t>2023</t>
        </is>
      </c>
      <c r="J1122" s="21" t="inlineStr">
        <is>
          <t xml:space="preserve"> 0</t>
        </is>
      </c>
      <c r="K1122" s="30">
        <f>(E1122-F1122)/IF(E1122&gt;0,E1122,1)</f>
        <v/>
      </c>
    </row>
    <row r="1123">
      <c r="A1123" s="22" t="inlineStr">
        <is>
          <t>파이썬으로 만드는 인공지능</t>
        </is>
      </c>
      <c r="B1123" s="22" t="inlineStr">
        <is>
          <t>오일석, 이진선</t>
        </is>
      </c>
      <c r="C1123" s="22" t="inlineStr">
        <is>
          <t>한빛아카데미</t>
        </is>
      </c>
      <c r="D1123" s="22" t="inlineStr">
        <is>
          <t>2021년 01월</t>
        </is>
      </c>
      <c r="E1123" s="28" t="n">
        <v>31000</v>
      </c>
      <c r="F1123" s="28" t="n">
        <v>31000</v>
      </c>
      <c r="G1123" s="29" t="n">
        <v>1</v>
      </c>
      <c r="H1123" s="29" t="n">
        <v>612</v>
      </c>
      <c r="I1123" s="21" t="inlineStr">
        <is>
          <t>2021</t>
        </is>
      </c>
      <c r="J1123" s="21" t="inlineStr">
        <is>
          <t xml:space="preserve"> 0</t>
        </is>
      </c>
      <c r="K1123" s="30">
        <f>(E1123-F1123)/IF(E1123&gt;0,E1123,1)</f>
        <v/>
      </c>
    </row>
    <row r="1124">
      <c r="A1124" s="22" t="inlineStr">
        <is>
          <t>AI 시대의 프로그래머</t>
        </is>
      </c>
      <c r="B1124" s="22" t="inlineStr">
        <is>
          <t>톰 타울리, 이일섭, 황은옥</t>
        </is>
      </c>
      <c r="C1124" s="22" t="inlineStr">
        <is>
          <t>한빛미디어</t>
        </is>
      </c>
      <c r="D1124" s="22" t="inlineStr">
        <is>
          <t>2024년 08월</t>
        </is>
      </c>
      <c r="E1124" s="28" t="n">
        <v>23000</v>
      </c>
      <c r="F1124" s="28" t="n">
        <v>20700</v>
      </c>
      <c r="G1124" s="29" t="n">
        <v>17</v>
      </c>
      <c r="H1124" s="29" t="n">
        <v>582</v>
      </c>
      <c r="I1124" s="21" t="inlineStr">
        <is>
          <t>2024</t>
        </is>
      </c>
      <c r="J1124" s="21" t="inlineStr">
        <is>
          <t xml:space="preserve"> 0</t>
        </is>
      </c>
      <c r="K1124" s="30">
        <f>(E1124-F1124)/IF(E1124&gt;0,E1124,1)</f>
        <v/>
      </c>
    </row>
    <row r="1125">
      <c r="A1125" s="22" t="inlineStr">
        <is>
          <t>AI 개발자가 되고 싶으세요?</t>
        </is>
      </c>
      <c r="B1125" s="22" t="inlineStr">
        <is>
          <t>배휘동, 홍석용, 오현우, 정금호, 최남규, 정보 더 보기/감추기, 배휘동, 홍석용, 오현우, 정금호, 최남규, 김성완</t>
        </is>
      </c>
      <c r="C1125" s="22" t="inlineStr">
        <is>
          <t>로드북</t>
        </is>
      </c>
      <c r="D1125" s="22" t="inlineStr">
        <is>
          <t>2025년 11월</t>
        </is>
      </c>
      <c r="E1125" s="28" t="n">
        <v>25000</v>
      </c>
      <c r="F1125" s="28" t="n">
        <v>22500</v>
      </c>
      <c r="G1125" s="29" t="n">
        <v>5</v>
      </c>
      <c r="H1125" s="29" t="n">
        <v>570</v>
      </c>
      <c r="I1125" s="21" t="inlineStr">
        <is>
          <t>2025</t>
        </is>
      </c>
      <c r="J1125" s="21" t="inlineStr">
        <is>
          <t xml:space="preserve"> 1</t>
        </is>
      </c>
      <c r="K1125" s="30">
        <f>(E1125-F1125)/IF(E1125&gt;0,E1125,1)</f>
        <v/>
      </c>
    </row>
    <row r="1126">
      <c r="A1126" s="22" t="inlineStr">
        <is>
          <t>개발자답게 코드로 익히는 강화학습</t>
        </is>
      </c>
      <c r="B1126" s="22" t="inlineStr">
        <is>
          <t>멀티코어, 조준희, 강장묵, 이상한, 윤철희</t>
        </is>
      </c>
      <c r="C1126" s="22" t="inlineStr">
        <is>
          <t>프리렉</t>
        </is>
      </c>
      <c r="D1126" s="22" t="inlineStr">
        <is>
          <t>2025년 08월</t>
        </is>
      </c>
      <c r="E1126" s="28" t="n">
        <v>32000</v>
      </c>
      <c r="F1126" s="28" t="n">
        <v>28800</v>
      </c>
      <c r="G1126" s="29" t="n">
        <v>3</v>
      </c>
      <c r="H1126" s="29" t="n">
        <v>552</v>
      </c>
      <c r="I1126" s="21" t="inlineStr">
        <is>
          <t>2025</t>
        </is>
      </c>
      <c r="J1126" s="21" t="inlineStr">
        <is>
          <t xml:space="preserve"> 0</t>
        </is>
      </c>
      <c r="K1126" s="30">
        <f>(E1126-F1126)/IF(E1126&gt;0,E1126,1)</f>
        <v/>
      </c>
    </row>
    <row r="1127">
      <c r="A1127" s="22" t="inlineStr">
        <is>
          <t>PHYSICAL AI: 인공지능에 몸을 더하다</t>
        </is>
      </c>
      <c r="B1127" s="22" t="inlineStr">
        <is>
          <t>손병희</t>
        </is>
      </c>
      <c r="C1127" s="22" t="inlineStr">
        <is>
          <t>지오북스</t>
        </is>
      </c>
      <c r="D1127" s="22" t="inlineStr">
        <is>
          <t>2025년 06월</t>
        </is>
      </c>
      <c r="E1127" s="28" t="n">
        <v>24000</v>
      </c>
      <c r="F1127" s="28" t="n">
        <v>24000</v>
      </c>
      <c r="G1127" s="29" t="n">
        <v>1</v>
      </c>
      <c r="H1127" s="29" t="n">
        <v>594</v>
      </c>
      <c r="I1127" s="21" t="inlineStr">
        <is>
          <t>2025</t>
        </is>
      </c>
      <c r="J1127" s="21" t="inlineStr">
        <is>
          <t xml:space="preserve"> 0</t>
        </is>
      </c>
      <c r="K1127" s="30">
        <f>(E1127-F1127)/IF(E1127&gt;0,E1127,1)</f>
        <v/>
      </c>
    </row>
    <row r="1128">
      <c r="A1128" s="22" t="inlineStr">
        <is>
          <t>생성 AI를 활용한 나만의 콘텐츠 만들기</t>
        </is>
      </c>
      <c r="B1128" s="22" t="inlineStr">
        <is>
          <t>김민후</t>
        </is>
      </c>
      <c r="C1128" s="22" t="inlineStr">
        <is>
          <t>영진닷컴</t>
        </is>
      </c>
      <c r="D1128" s="22" t="inlineStr">
        <is>
          <t>2025년 04월</t>
        </is>
      </c>
      <c r="E1128" s="28" t="n">
        <v>25000</v>
      </c>
      <c r="F1128" s="28" t="n">
        <v>22500</v>
      </c>
      <c r="G1128" s="29" t="n">
        <v>5</v>
      </c>
      <c r="H1128" s="29" t="n">
        <v>828</v>
      </c>
      <c r="I1128" s="21" t="inlineStr">
        <is>
          <t>2025</t>
        </is>
      </c>
      <c r="J1128" s="21" t="inlineStr">
        <is>
          <t xml:space="preserve"> 0</t>
        </is>
      </c>
      <c r="K1128" s="30">
        <f>(E1128-F1128)/IF(E1128&gt;0,E1128,1)</f>
        <v/>
      </c>
    </row>
    <row r="1129">
      <c r="A1129" s="22" t="inlineStr">
        <is>
          <t>랭체인 &amp; 랭그래프로 AI 에이전트 개발하기</t>
        </is>
      </c>
      <c r="B1129" s="22" t="inlineStr">
        <is>
          <t>서지영</t>
        </is>
      </c>
      <c r="C1129" s="22" t="inlineStr">
        <is>
          <t>길벗</t>
        </is>
      </c>
      <c r="D1129" s="22" t="inlineStr">
        <is>
          <t>2025년 03월</t>
        </is>
      </c>
      <c r="E1129" s="28" t="n">
        <v>29000</v>
      </c>
      <c r="F1129" s="28" t="n">
        <v>26100</v>
      </c>
      <c r="G1129" s="29" t="n">
        <v>24</v>
      </c>
      <c r="H1129" s="29" t="n">
        <v>774</v>
      </c>
      <c r="I1129" s="21" t="inlineStr">
        <is>
          <t>2025</t>
        </is>
      </c>
      <c r="J1129" s="21" t="inlineStr">
        <is>
          <t xml:space="preserve"> 0</t>
        </is>
      </c>
      <c r="K1129" s="30">
        <f>(E1129-F1129)/IF(E1129&gt;0,E1129,1)</f>
        <v/>
      </c>
    </row>
    <row r="1130">
      <c r="A1130" s="22" t="inlineStr">
        <is>
          <t>스퀘어 에닉스의 게임 AI</t>
        </is>
      </c>
      <c r="B1130" s="22" t="inlineStr">
        <is>
          <t>스퀘어 에닉스, 송지연</t>
        </is>
      </c>
      <c r="C1130" s="22" t="inlineStr">
        <is>
          <t>AK(에이케이 커뮤니케이션즈)</t>
        </is>
      </c>
      <c r="D1130" s="22" t="inlineStr">
        <is>
          <t>2025년 07월</t>
        </is>
      </c>
      <c r="E1130" s="28" t="n">
        <v>49000</v>
      </c>
      <c r="F1130" s="28" t="n">
        <v>46550</v>
      </c>
      <c r="G1130" s="29" t="n">
        <v>0</v>
      </c>
      <c r="H1130" s="29" t="n">
        <v>606</v>
      </c>
      <c r="I1130" s="21" t="inlineStr">
        <is>
          <t>2025</t>
        </is>
      </c>
      <c r="J1130" s="21" t="inlineStr">
        <is>
          <t xml:space="preserve"> 0</t>
        </is>
      </c>
      <c r="K1130" s="30">
        <f>(E1130-F1130)/IF(E1130&gt;0,E1130,1)</f>
        <v/>
      </c>
    </row>
    <row r="1131">
      <c r="A1131" s="22" t="inlineStr">
        <is>
          <t>컴퓨팅 사고 Level Up 소프트 파워 with 스크래치</t>
        </is>
      </c>
      <c r="B1131" s="22" t="inlineStr">
        <is>
          <t>김호다, 이지민, 최동민, 탁동길</t>
        </is>
      </c>
      <c r="C1131" s="22" t="inlineStr">
        <is>
          <t>연두에디션</t>
        </is>
      </c>
      <c r="D1131" s="22" t="inlineStr">
        <is>
          <t>2020년 02월</t>
        </is>
      </c>
      <c r="E1131" s="28" t="n">
        <v>23000</v>
      </c>
      <c r="F1131" s="28" t="n">
        <v>23000</v>
      </c>
      <c r="G1131" s="29" t="n">
        <v>1</v>
      </c>
      <c r="H1131" s="29" t="n">
        <v>552</v>
      </c>
      <c r="I1131" s="21" t="inlineStr">
        <is>
          <t>2020</t>
        </is>
      </c>
      <c r="J1131" s="21" t="inlineStr">
        <is>
          <t xml:space="preserve"> 0</t>
        </is>
      </c>
      <c r="K1131" s="30">
        <f>(E1131-F1131)/IF(E1131&gt;0,E1131,1)</f>
        <v/>
      </c>
    </row>
    <row r="1132">
      <c r="A1132" s="22" t="inlineStr">
        <is>
          <t>PyTorch로 배우는 딥러닝과 생성형 AI</t>
        </is>
      </c>
      <c r="B1132" s="22" t="inlineStr">
        <is>
          <t>박유성</t>
        </is>
      </c>
      <c r="C1132" s="22" t="inlineStr">
        <is>
          <t>자유아카데미</t>
        </is>
      </c>
      <c r="D1132" s="22" t="inlineStr">
        <is>
          <t>2025년 11월</t>
        </is>
      </c>
      <c r="E1132" s="28" t="n">
        <v>43000</v>
      </c>
      <c r="F1132" s="28" t="n">
        <v>43000</v>
      </c>
      <c r="G1132" s="29" t="n">
        <v>2</v>
      </c>
      <c r="H1132" s="29" t="n">
        <v>498</v>
      </c>
      <c r="I1132" s="21" t="inlineStr">
        <is>
          <t>2025</t>
        </is>
      </c>
      <c r="J1132" s="21" t="inlineStr">
        <is>
          <t xml:space="preserve"> 1</t>
        </is>
      </c>
      <c r="K1132" s="30">
        <f>(E1132-F1132)/IF(E1132&gt;0,E1132,1)</f>
        <v/>
      </c>
    </row>
    <row r="1133">
      <c r="A1133" s="22" t="inlineStr">
        <is>
          <t>Do it! 챗GPT&amp;파이썬으로 AI 직원 만들기</t>
        </is>
      </c>
      <c r="B1133" s="22" t="inlineStr">
        <is>
          <t>이성용</t>
        </is>
      </c>
      <c r="C1133" s="22" t="inlineStr">
        <is>
          <t>이지스퍼블리싱</t>
        </is>
      </c>
      <c r="D1133" s="22" t="inlineStr">
        <is>
          <t>2023년 11월</t>
        </is>
      </c>
      <c r="E1133" s="28" t="n">
        <v>25000</v>
      </c>
      <c r="F1133" s="28" t="n">
        <v>22500</v>
      </c>
      <c r="G1133" s="29" t="n">
        <v>13</v>
      </c>
      <c r="H1133" s="29" t="n">
        <v>504</v>
      </c>
      <c r="I1133" s="21" t="inlineStr">
        <is>
          <t>2023</t>
        </is>
      </c>
      <c r="J1133" s="21" t="inlineStr">
        <is>
          <t xml:space="preserve"> 1</t>
        </is>
      </c>
      <c r="K1133" s="30">
        <f>(E1133-F1133)/IF(E1133&gt;0,E1133,1)</f>
        <v/>
      </c>
    </row>
    <row r="1134">
      <c r="A1134" s="22" t="inlineStr">
        <is>
          <t>만들면서 배우는 40개의 엔트리 게임 + 인공지능 게임</t>
        </is>
      </c>
      <c r="B1134" s="22" t="inlineStr">
        <is>
          <t>전진아, 김수연</t>
        </is>
      </c>
      <c r="C1134" s="22" t="inlineStr">
        <is>
          <t>앤써북</t>
        </is>
      </c>
      <c r="D1134" s="22" t="inlineStr">
        <is>
          <t>2024년 09월</t>
        </is>
      </c>
      <c r="E1134" s="28" t="n">
        <v>21000</v>
      </c>
      <c r="F1134" s="28" t="n">
        <v>18900</v>
      </c>
      <c r="G1134" s="29" t="n">
        <v>6</v>
      </c>
      <c r="H1134" s="29" t="n">
        <v>582</v>
      </c>
      <c r="I1134" s="21" t="inlineStr">
        <is>
          <t>2024</t>
        </is>
      </c>
      <c r="J1134" s="21" t="inlineStr">
        <is>
          <t xml:space="preserve"> 0</t>
        </is>
      </c>
      <c r="K1134" s="30">
        <f>(E1134-F1134)/IF(E1134&gt;0,E1134,1)</f>
        <v/>
      </c>
    </row>
    <row r="1135">
      <c r="A1135" s="22" t="inlineStr">
        <is>
          <t>적게 일하고 많이 버는 AI 워커스</t>
        </is>
      </c>
      <c r="B1135" s="22" t="inlineStr">
        <is>
          <t>김덕진, 김아람</t>
        </is>
      </c>
      <c r="C1135" s="22" t="inlineStr">
        <is>
          <t>21세기북스</t>
        </is>
      </c>
      <c r="D1135" s="22" t="inlineStr">
        <is>
          <t>2024년 08월</t>
        </is>
      </c>
      <c r="E1135" s="28" t="n">
        <v>22000</v>
      </c>
      <c r="F1135" s="28" t="n">
        <v>19800</v>
      </c>
      <c r="G1135" s="29" t="n">
        <v>31</v>
      </c>
      <c r="H1135" s="29" t="n">
        <v>516</v>
      </c>
      <c r="I1135" s="21" t="inlineStr">
        <is>
          <t>2024</t>
        </is>
      </c>
      <c r="J1135" s="21" t="inlineStr">
        <is>
          <t xml:space="preserve"> 0</t>
        </is>
      </c>
      <c r="K1135" s="30">
        <f>(E1135-F1135)/IF(E1135&gt;0,E1135,1)</f>
        <v/>
      </c>
    </row>
    <row r="1136">
      <c r="A1136" s="22" t="inlineStr">
        <is>
          <t>단단한 심층강화학습</t>
        </is>
      </c>
      <c r="B1136" s="22" t="inlineStr">
        <is>
          <t>로라 그레서, 와 룬 켕, 김성우</t>
        </is>
      </c>
      <c r="C1136" s="22" t="inlineStr">
        <is>
          <t>제이펍</t>
        </is>
      </c>
      <c r="D1136" s="22" t="inlineStr">
        <is>
          <t>2022년 02월</t>
        </is>
      </c>
      <c r="E1136" s="28" t="n">
        <v>30000</v>
      </c>
      <c r="F1136" s="28" t="n">
        <v>27000</v>
      </c>
      <c r="G1136" s="29" t="n">
        <v>5</v>
      </c>
      <c r="H1136" s="29" t="n">
        <v>510</v>
      </c>
      <c r="I1136" s="21" t="inlineStr">
        <is>
          <t>2022</t>
        </is>
      </c>
      <c r="J1136" s="21" t="inlineStr">
        <is>
          <t xml:space="preserve"> 0</t>
        </is>
      </c>
      <c r="K1136" s="30">
        <f>(E1136-F1136)/IF(E1136&gt;0,E1136,1)</f>
        <v/>
      </c>
    </row>
    <row r="1137">
      <c r="A1137" s="22" t="inlineStr">
        <is>
          <t>데이터 과학을 위한 파이썬 머신러닝</t>
        </is>
      </c>
      <c r="B1137" s="22" t="inlineStr">
        <is>
          <t>최성철</t>
        </is>
      </c>
      <c r="C1137" s="22" t="inlineStr">
        <is>
          <t>한빛아카데미</t>
        </is>
      </c>
      <c r="D1137" s="22" t="inlineStr">
        <is>
          <t>2022년 01월</t>
        </is>
      </c>
      <c r="E1137" s="28" t="n">
        <v>30000</v>
      </c>
      <c r="F1137" s="28" t="n">
        <v>30000</v>
      </c>
      <c r="G1137" s="29" t="n">
        <v>4</v>
      </c>
      <c r="H1137" s="29" t="n">
        <v>516</v>
      </c>
      <c r="I1137" s="21" t="inlineStr">
        <is>
          <t>2022</t>
        </is>
      </c>
      <c r="J1137" s="21" t="inlineStr">
        <is>
          <t xml:space="preserve"> 0</t>
        </is>
      </c>
      <c r="K1137" s="30">
        <f>(E1137-F1137)/IF(E1137&gt;0,E1137,1)</f>
        <v/>
      </c>
    </row>
    <row r="1138">
      <c r="A1138" s="22" t="inlineStr">
        <is>
          <t>생활코딩 머신러닝 이론편</t>
        </is>
      </c>
      <c r="B1138" s="22" t="inlineStr">
        <is>
          <t>이고잉, 이숙번, 오픈튜토리얼스</t>
        </is>
      </c>
      <c r="C1138" s="22" t="inlineStr">
        <is>
          <t>위키북스</t>
        </is>
      </c>
      <c r="D1138" s="22" t="inlineStr">
        <is>
          <t>2021년 07월</t>
        </is>
      </c>
      <c r="E1138" s="28" t="n">
        <v>13000</v>
      </c>
      <c r="F1138" s="28" t="n">
        <v>11700</v>
      </c>
      <c r="G1138" s="29" t="n">
        <v>5</v>
      </c>
      <c r="H1138" s="29" t="n">
        <v>606</v>
      </c>
      <c r="I1138" s="21" t="inlineStr">
        <is>
          <t>2021</t>
        </is>
      </c>
      <c r="J1138" s="21" t="inlineStr">
        <is>
          <t xml:space="preserve"> 0</t>
        </is>
      </c>
      <c r="K1138" s="30">
        <f>(E1138-F1138)/IF(E1138&gt;0,E1138,1)</f>
        <v/>
      </c>
    </row>
    <row r="1139">
      <c r="A1139" s="22" t="inlineStr">
        <is>
          <t>왕초보 챗GPT로 책쓰기 도전</t>
        </is>
      </c>
      <c r="B1139" s="22" t="inlineStr">
        <is>
          <t>가재산, 장동익, 김영희</t>
        </is>
      </c>
      <c r="C1139" s="22" t="inlineStr">
        <is>
          <t>글로벌콘텐츠</t>
        </is>
      </c>
      <c r="D1139" s="22" t="inlineStr">
        <is>
          <t>2025년 09월</t>
        </is>
      </c>
      <c r="E1139" s="28" t="n">
        <v>19800</v>
      </c>
      <c r="F1139" s="28" t="n">
        <v>17820</v>
      </c>
      <c r="G1139" s="29" t="n">
        <v>37</v>
      </c>
      <c r="H1139" s="29" t="n">
        <v>474</v>
      </c>
      <c r="I1139" s="21" t="inlineStr">
        <is>
          <t>2025</t>
        </is>
      </c>
      <c r="J1139" s="21" t="inlineStr">
        <is>
          <t xml:space="preserve"> 0</t>
        </is>
      </c>
      <c r="K1139" s="30">
        <f>(E1139-F1139)/IF(E1139&gt;0,E1139,1)</f>
        <v/>
      </c>
    </row>
    <row r="1140">
      <c r="A1140" s="22" t="inlineStr">
        <is>
          <t>한 권으로 끝내는 직장인 필수 IT 지식</t>
        </is>
      </c>
      <c r="B1140" s="22" t="inlineStr">
        <is>
          <t>정명림, 김효섭, 박준영, 이수현, 박지은, 정보 더 보기/감추기, 정명림, 김효섭, 박준영, 이수현, 박지은, 이지성</t>
        </is>
      </c>
      <c r="C1140" s="22" t="inlineStr">
        <is>
          <t>비제이퍼블릭(BJ퍼블릭)</t>
        </is>
      </c>
      <c r="D1140" s="22" t="inlineStr">
        <is>
          <t>2025년 05월</t>
        </is>
      </c>
      <c r="E1140" s="28" t="n">
        <v>27500</v>
      </c>
      <c r="F1140" s="28" t="n">
        <v>24750</v>
      </c>
      <c r="G1140" s="29" t="n">
        <v>16</v>
      </c>
      <c r="H1140" s="29" t="n">
        <v>456</v>
      </c>
      <c r="I1140" s="21" t="inlineStr">
        <is>
          <t>2025</t>
        </is>
      </c>
      <c r="J1140" s="21" t="inlineStr">
        <is>
          <t xml:space="preserve"> 0</t>
        </is>
      </c>
      <c r="K1140" s="30">
        <f>(E1140-F1140)/IF(E1140&gt;0,E1140,1)</f>
        <v/>
      </c>
    </row>
    <row r="1141">
      <c r="A1141" s="22" t="inlineStr">
        <is>
          <t>생성형 AI 인 액션</t>
        </is>
      </c>
      <c r="B1141" s="22" t="inlineStr">
        <is>
          <t>아미트 바리, 이준</t>
        </is>
      </c>
      <c r="C1141" s="22" t="inlineStr">
        <is>
          <t>위키북스</t>
        </is>
      </c>
      <c r="D1141" s="22" t="inlineStr">
        <is>
          <t>2025년 08월</t>
        </is>
      </c>
      <c r="E1141" s="28" t="n">
        <v>35000</v>
      </c>
      <c r="F1141" s="28" t="n">
        <v>31500</v>
      </c>
      <c r="G1141" s="29" t="n">
        <v>1</v>
      </c>
      <c r="H1141" s="29" t="n">
        <v>444</v>
      </c>
      <c r="I1141" s="21" t="inlineStr">
        <is>
          <t>2025</t>
        </is>
      </c>
      <c r="J1141" s="21" t="inlineStr">
        <is>
          <t xml:space="preserve"> 0</t>
        </is>
      </c>
      <c r="K1141" s="30">
        <f>(E1141-F1141)/IF(E1141&gt;0,E1141,1)</f>
        <v/>
      </c>
    </row>
    <row r="1142">
      <c r="A1142" s="22" t="inlineStr">
        <is>
          <t>구글 애널리틱스 4를 활용한 디지털 마케팅 with 챗GPT</t>
        </is>
      </c>
      <c r="B1142" s="22" t="inlineStr">
        <is>
          <t>이태열</t>
        </is>
      </c>
      <c r="C1142" s="22" t="inlineStr">
        <is>
          <t>디지털북스</t>
        </is>
      </c>
      <c r="D1142" s="22" t="inlineStr">
        <is>
          <t>2024년 07월</t>
        </is>
      </c>
      <c r="E1142" s="28" t="n">
        <v>25000</v>
      </c>
      <c r="F1142" s="28" t="n">
        <v>22500</v>
      </c>
      <c r="G1142" s="29" t="n">
        <v>7</v>
      </c>
      <c r="H1142" s="29" t="n">
        <v>414</v>
      </c>
      <c r="I1142" s="21" t="inlineStr">
        <is>
          <t>2024</t>
        </is>
      </c>
      <c r="J1142" s="21" t="inlineStr">
        <is>
          <t xml:space="preserve"> 0</t>
        </is>
      </c>
      <c r="K1142" s="30">
        <f>(E1142-F1142)/IF(E1142&gt;0,E1142,1)</f>
        <v/>
      </c>
    </row>
    <row r="1143">
      <c r="A1143" s="22" t="inlineStr">
        <is>
          <t>프롬프트 엔지니어링으로 인공지능 제대로 일 시키기</t>
        </is>
      </c>
      <c r="B1143" s="22" t="inlineStr">
        <is>
          <t>이규남, 조우진, 김동민</t>
        </is>
      </c>
      <c r="C1143" s="22" t="inlineStr">
        <is>
          <t>제이펍</t>
        </is>
      </c>
      <c r="D1143" s="22" t="inlineStr">
        <is>
          <t>2023년 11월</t>
        </is>
      </c>
      <c r="E1143" s="28" t="n">
        <v>22000</v>
      </c>
      <c r="F1143" s="28" t="n">
        <v>19800</v>
      </c>
      <c r="G1143" s="29" t="n">
        <v>33</v>
      </c>
      <c r="H1143" s="29" t="n">
        <v>474</v>
      </c>
      <c r="I1143" s="21" t="inlineStr">
        <is>
          <t>2023</t>
        </is>
      </c>
      <c r="J1143" s="21" t="inlineStr">
        <is>
          <t xml:space="preserve"> 1</t>
        </is>
      </c>
      <c r="K1143" s="30">
        <f>(E1143-F1143)/IF(E1143&gt;0,E1143,1)</f>
        <v/>
      </c>
    </row>
    <row r="1144">
      <c r="A1144" s="22" t="inlineStr">
        <is>
          <t>누구나 쉽게 할 수 있는 빅데이터에서 인공지능까지</t>
        </is>
      </c>
      <c r="B1144" s="22" t="inlineStr">
        <is>
          <t>정화영</t>
        </is>
      </c>
      <c r="C1144" s="22" t="inlineStr">
        <is>
          <t>자유아카데미</t>
        </is>
      </c>
      <c r="D1144" s="22" t="inlineStr">
        <is>
          <t>2026년 03월</t>
        </is>
      </c>
      <c r="E1144" s="28" t="n">
        <v>39000</v>
      </c>
      <c r="F1144" s="28" t="n">
        <v>37830</v>
      </c>
      <c r="G1144" s="29" t="n">
        <v>0</v>
      </c>
      <c r="H1144" s="29" t="n">
        <v>408</v>
      </c>
      <c r="I1144" s="21" t="inlineStr">
        <is>
          <t>2026</t>
        </is>
      </c>
      <c r="J1144" s="21" t="inlineStr">
        <is>
          <t xml:space="preserve"> 0</t>
        </is>
      </c>
      <c r="K1144" s="30">
        <f>(E1144-F1144)/IF(E1144&gt;0,E1144,1)</f>
        <v/>
      </c>
    </row>
    <row r="1145">
      <c r="A1145" s="22" t="inlineStr">
        <is>
          <t>퀀트 UX 리서치</t>
        </is>
      </c>
      <c r="B1145" s="22" t="inlineStr">
        <is>
          <t>크리스 채프먼, 케리 로든, 이선민, 김현진</t>
        </is>
      </c>
      <c r="C1145" s="22" t="inlineStr">
        <is>
          <t>에이콘출판사</t>
        </is>
      </c>
      <c r="D1145" s="22" t="inlineStr">
        <is>
          <t>2025년 09월</t>
        </is>
      </c>
      <c r="E1145" s="28" t="n">
        <v>34000</v>
      </c>
      <c r="F1145" s="28" t="n">
        <v>30600</v>
      </c>
      <c r="G1145" s="29" t="n">
        <v>2</v>
      </c>
      <c r="H1145" s="29" t="n">
        <v>408</v>
      </c>
      <c r="I1145" s="21" t="inlineStr">
        <is>
          <t>2025</t>
        </is>
      </c>
      <c r="J1145" s="21" t="inlineStr">
        <is>
          <t xml:space="preserve"> 0</t>
        </is>
      </c>
      <c r="K1145" s="30">
        <f>(E1145-F1145)/IF(E1145&gt;0,E1145,1)</f>
        <v/>
      </c>
    </row>
    <row r="1146">
      <c r="A1146" s="22" t="inlineStr">
        <is>
          <t>AI와 함께 일하는 법</t>
        </is>
      </c>
      <c r="B1146" s="22" t="inlineStr">
        <is>
          <t>김철수</t>
        </is>
      </c>
      <c r="C1146" s="22" t="inlineStr">
        <is>
          <t>위키북스</t>
        </is>
      </c>
      <c r="D1146" s="22" t="inlineStr">
        <is>
          <t>2025년 03월</t>
        </is>
      </c>
      <c r="E1146" s="28" t="n">
        <v>18000</v>
      </c>
      <c r="F1146" s="28" t="n">
        <v>16200</v>
      </c>
      <c r="G1146" s="29" t="n">
        <v>4</v>
      </c>
      <c r="H1146" s="29" t="n">
        <v>744</v>
      </c>
      <c r="I1146" s="21" t="inlineStr">
        <is>
          <t>2025</t>
        </is>
      </c>
      <c r="J1146" s="21" t="inlineStr">
        <is>
          <t xml:space="preserve"> 0</t>
        </is>
      </c>
      <c r="K1146" s="30">
        <f>(E1146-F1146)/IF(E1146&gt;0,E1146,1)</f>
        <v/>
      </c>
    </row>
    <row r="1147">
      <c r="A1147" s="22" t="inlineStr">
        <is>
          <t>확산 모델의 수학</t>
        </is>
      </c>
      <c r="B1147" s="22" t="inlineStr">
        <is>
          <t>오카노하라 다이스케, 손민규</t>
        </is>
      </c>
      <c r="C1147" s="22" t="inlineStr">
        <is>
          <t>제이펍</t>
        </is>
      </c>
      <c r="D1147" s="22" t="inlineStr">
        <is>
          <t>2024년 07월</t>
        </is>
      </c>
      <c r="E1147" s="28" t="n">
        <v>22000</v>
      </c>
      <c r="F1147" s="28" t="n">
        <v>19800</v>
      </c>
      <c r="G1147" s="29" t="n">
        <v>9</v>
      </c>
      <c r="H1147" s="29" t="n">
        <v>396</v>
      </c>
      <c r="I1147" s="21" t="inlineStr">
        <is>
          <t>2024</t>
        </is>
      </c>
      <c r="J1147" s="21" t="inlineStr">
        <is>
          <t xml:space="preserve"> 0</t>
        </is>
      </c>
      <c r="K1147" s="30">
        <f>(E1147-F1147)/IF(E1147&gt;0,E1147,1)</f>
        <v/>
      </c>
    </row>
    <row r="1148">
      <c r="A1148" s="22" t="inlineStr">
        <is>
          <t>미드저니 프롬프트 마스터 가이드</t>
        </is>
      </c>
      <c r="B1148" s="22" t="inlineStr">
        <is>
          <t>조남경</t>
        </is>
      </c>
      <c r="C1148" s="22" t="inlineStr">
        <is>
          <t>비엘북스</t>
        </is>
      </c>
      <c r="D1148" s="22" t="inlineStr">
        <is>
          <t>2024년 01월</t>
        </is>
      </c>
      <c r="E1148" s="28" t="n">
        <v>29000</v>
      </c>
      <c r="F1148" s="28" t="n">
        <v>26100</v>
      </c>
      <c r="G1148" s="29" t="n">
        <v>19</v>
      </c>
      <c r="H1148" s="29" t="n">
        <v>420</v>
      </c>
      <c r="I1148" s="21" t="inlineStr">
        <is>
          <t>2024</t>
        </is>
      </c>
      <c r="J1148" s="21" t="inlineStr">
        <is>
          <t xml:space="preserve"> 0</t>
        </is>
      </c>
      <c r="K1148" s="30">
        <f>(E1148-F1148)/IF(E1148&gt;0,E1148,1)</f>
        <v/>
      </c>
    </row>
    <row r="1149">
      <c r="A1149" s="22" t="inlineStr">
        <is>
          <t>추천 시스템 입문</t>
        </is>
      </c>
      <c r="B1149" s="22" t="inlineStr">
        <is>
          <t>가자마 마사히로, 이즈카 고지로, 마쓰무라 유야, 김모세</t>
        </is>
      </c>
      <c r="C1149" s="22" t="inlineStr">
        <is>
          <t>한빛미디어</t>
        </is>
      </c>
      <c r="D1149" s="22" t="inlineStr">
        <is>
          <t>2023년 05월</t>
        </is>
      </c>
      <c r="E1149" s="28" t="n">
        <v>29000</v>
      </c>
      <c r="F1149" s="28" t="n">
        <v>26100</v>
      </c>
      <c r="G1149" s="29" t="n">
        <v>17</v>
      </c>
      <c r="H1149" s="29" t="n">
        <v>384</v>
      </c>
      <c r="I1149" s="21" t="inlineStr">
        <is>
          <t>2023</t>
        </is>
      </c>
      <c r="J1149" s="21" t="inlineStr">
        <is>
          <t xml:space="preserve"> 0</t>
        </is>
      </c>
      <c r="K1149" s="30">
        <f>(E1149-F1149)/IF(E1149&gt;0,E1149,1)</f>
        <v/>
      </c>
    </row>
    <row r="1150">
      <c r="A1150" s="22" t="inlineStr">
        <is>
          <t>초소형 머신러닝 TinyML</t>
        </is>
      </c>
      <c r="B1150" s="22" t="inlineStr">
        <is>
          <t>피트 워든, 대니얼 시투나야케, 맹윤호, 임지순</t>
        </is>
      </c>
      <c r="C1150" s="22" t="inlineStr">
        <is>
          <t>한빛미디어</t>
        </is>
      </c>
      <c r="D1150" s="22" t="inlineStr">
        <is>
          <t>2020년 08월</t>
        </is>
      </c>
      <c r="E1150" s="28" t="n">
        <v>40000</v>
      </c>
      <c r="F1150" s="28" t="n">
        <v>36000</v>
      </c>
      <c r="G1150" s="29" t="n">
        <v>18</v>
      </c>
      <c r="H1150" s="29" t="n">
        <v>414</v>
      </c>
      <c r="I1150" s="21" t="inlineStr">
        <is>
          <t>2020</t>
        </is>
      </c>
      <c r="J1150" s="21" t="inlineStr">
        <is>
          <t xml:space="preserve"> 0</t>
        </is>
      </c>
      <c r="K1150" s="30">
        <f>(E1150-F1150)/IF(E1150&gt;0,E1150,1)</f>
        <v/>
      </c>
    </row>
    <row r="1151">
      <c r="A1151" s="22" t="inlineStr">
        <is>
          <t>나는 GPT를 이렇게 키웠다</t>
        </is>
      </c>
      <c r="B1151" s="22" t="inlineStr">
        <is>
          <t>김기진</t>
        </is>
      </c>
      <c r="C1151" s="22" t="inlineStr">
        <is>
          <t>에릭스토리</t>
        </is>
      </c>
      <c r="D1151" s="22" t="inlineStr">
        <is>
          <t>2025년 08월</t>
        </is>
      </c>
      <c r="E1151" s="28" t="n">
        <v>17000</v>
      </c>
      <c r="F1151" s="28" t="n">
        <v>15300</v>
      </c>
      <c r="G1151" s="29" t="n">
        <v>5</v>
      </c>
      <c r="H1151" s="29" t="n">
        <v>396</v>
      </c>
      <c r="I1151" s="21" t="inlineStr">
        <is>
          <t>2025</t>
        </is>
      </c>
      <c r="J1151" s="21" t="inlineStr">
        <is>
          <t xml:space="preserve"> 0</t>
        </is>
      </c>
      <c r="K1151" s="30">
        <f>(E1151-F1151)/IF(E1151&gt;0,E1151,1)</f>
        <v/>
      </c>
    </row>
    <row r="1152">
      <c r="A1152" s="22" t="inlineStr">
        <is>
          <t>AIX: 인공지능 대전환의 시대</t>
        </is>
      </c>
      <c r="B1152" s="22" t="inlineStr">
        <is>
          <t>현대원</t>
        </is>
      </c>
      <c r="C1152" s="22" t="inlineStr">
        <is>
          <t>메타엑스미디어</t>
        </is>
      </c>
      <c r="D1152" s="22" t="inlineStr">
        <is>
          <t>2025년 05월</t>
        </is>
      </c>
      <c r="E1152" s="28" t="n">
        <v>20000</v>
      </c>
      <c r="F1152" s="28" t="n">
        <v>18000</v>
      </c>
      <c r="G1152" s="29" t="n">
        <v>0</v>
      </c>
      <c r="H1152" s="29" t="n">
        <v>390</v>
      </c>
      <c r="I1152" s="21" t="inlineStr">
        <is>
          <t>2025</t>
        </is>
      </c>
      <c r="J1152" s="21" t="inlineStr">
        <is>
          <t xml:space="preserve"> 0</t>
        </is>
      </c>
      <c r="K1152" s="30">
        <f>(E1152-F1152)/IF(E1152&gt;0,E1152,1)</f>
        <v/>
      </c>
    </row>
    <row r="1153">
      <c r="A1153" s="22" t="inlineStr">
        <is>
          <t>세상에서 가장 쉬운 AI 앱 수업</t>
        </is>
      </c>
      <c r="B1153" s="22" t="inlineStr">
        <is>
          <t>공민수, 신창훈</t>
        </is>
      </c>
      <c r="C1153" s="22" t="inlineStr">
        <is>
          <t>리틀에이(LittleA)</t>
        </is>
      </c>
      <c r="D1153" s="22" t="inlineStr">
        <is>
          <t>2021년 09월</t>
        </is>
      </c>
      <c r="E1153" s="28" t="n">
        <v>17500</v>
      </c>
      <c r="F1153" s="28" t="n">
        <v>15750</v>
      </c>
      <c r="G1153" s="29" t="n">
        <v>14</v>
      </c>
      <c r="H1153" s="29" t="n">
        <v>558</v>
      </c>
      <c r="I1153" s="21" t="inlineStr">
        <is>
          <t>2021</t>
        </is>
      </c>
      <c r="J1153" s="21" t="inlineStr">
        <is>
          <t xml:space="preserve"> 0</t>
        </is>
      </c>
      <c r="K1153" s="30">
        <f>(E1153-F1153)/IF(E1153&gt;0,E1153,1)</f>
        <v/>
      </c>
    </row>
    <row r="1154">
      <c r="A1154" s="22" t="inlineStr">
        <is>
          <t>바이브 코딩으로 배우는 풀스택 만들기</t>
        </is>
      </c>
      <c r="B1154" s="22" t="inlineStr">
        <is>
          <t>이희찬</t>
        </is>
      </c>
      <c r="C1154" s="22" t="inlineStr">
        <is>
          <t>길벗캠퍼스</t>
        </is>
      </c>
      <c r="D1154" s="22" t="inlineStr">
        <is>
          <t>2025년 12월</t>
        </is>
      </c>
      <c r="E1154" s="28" t="n">
        <v>26000</v>
      </c>
      <c r="F1154" s="28" t="n">
        <v>26000</v>
      </c>
      <c r="G1154" s="29" t="n">
        <v>4</v>
      </c>
      <c r="H1154" s="29" t="n">
        <v>336</v>
      </c>
      <c r="I1154" s="21" t="inlineStr">
        <is>
          <t>2025</t>
        </is>
      </c>
      <c r="J1154" s="21" t="inlineStr">
        <is>
          <t xml:space="preserve"> 1</t>
        </is>
      </c>
      <c r="K1154" s="30">
        <f>(E1154-F1154)/IF(E1154&gt;0,E1154,1)</f>
        <v/>
      </c>
    </row>
    <row r="1155">
      <c r="A1155" s="22" t="inlineStr">
        <is>
          <t>AI 시대 나는 어떻게 살아남을 것인가</t>
        </is>
      </c>
      <c r="B1155" s="22" t="inlineStr">
        <is>
          <t>안영재</t>
        </is>
      </c>
      <c r="C1155" s="22" t="inlineStr">
        <is>
          <t>가나북스</t>
        </is>
      </c>
      <c r="D1155" s="22" t="inlineStr">
        <is>
          <t>2025년 12월</t>
        </is>
      </c>
      <c r="E1155" s="28" t="n">
        <v>20000</v>
      </c>
      <c r="F1155" s="28" t="n">
        <v>18000</v>
      </c>
      <c r="G1155" s="29" t="n">
        <v>16</v>
      </c>
      <c r="H1155" s="29" t="n">
        <v>348</v>
      </c>
      <c r="I1155" s="21" t="inlineStr">
        <is>
          <t>2025</t>
        </is>
      </c>
      <c r="J1155" s="21" t="inlineStr">
        <is>
          <t xml:space="preserve"> 1</t>
        </is>
      </c>
      <c r="K1155" s="30">
        <f>(E1155-F1155)/IF(E1155&gt;0,E1155,1)</f>
        <v/>
      </c>
    </row>
    <row r="1156">
      <c r="A1156" s="22" t="inlineStr">
        <is>
          <t>AI를 활용한 코칭스킬 업그레이드</t>
        </is>
      </c>
      <c r="B1156" s="22" t="inlineStr">
        <is>
          <t>최환진, 이형준, 전해수</t>
        </is>
      </c>
      <c r="C1156" s="22" t="inlineStr">
        <is>
          <t>학지사</t>
        </is>
      </c>
      <c r="D1156" s="22" t="inlineStr">
        <is>
          <t>2025년 07월</t>
        </is>
      </c>
      <c r="E1156" s="28" t="n">
        <v>18000</v>
      </c>
      <c r="F1156" s="28" t="n">
        <v>17460</v>
      </c>
      <c r="G1156" s="29" t="n">
        <v>0</v>
      </c>
      <c r="H1156" s="29" t="n">
        <v>378</v>
      </c>
      <c r="I1156" s="21" t="inlineStr">
        <is>
          <t>2025</t>
        </is>
      </c>
      <c r="J1156" s="21" t="inlineStr">
        <is>
          <t xml:space="preserve"> 0</t>
        </is>
      </c>
      <c r="K1156" s="30">
        <f>(E1156-F1156)/IF(E1156&gt;0,E1156,1)</f>
        <v/>
      </c>
    </row>
    <row r="1157">
      <c r="A1157" s="22" t="inlineStr">
        <is>
          <t>인공지능 시대의 IT기술의 이해</t>
        </is>
      </c>
      <c r="B1157" s="22" t="inlineStr">
        <is>
          <t>임순범, 이상환</t>
        </is>
      </c>
      <c r="C1157" s="22" t="inlineStr">
        <is>
          <t>생능출판사</t>
        </is>
      </c>
      <c r="D1157" s="22" t="inlineStr">
        <is>
          <t>2024년 01월</t>
        </is>
      </c>
      <c r="E1157" s="28" t="n">
        <v>30000</v>
      </c>
      <c r="F1157" s="28" t="n">
        <v>30000</v>
      </c>
      <c r="G1157" s="29" t="n">
        <v>3</v>
      </c>
      <c r="H1157" s="29" t="n">
        <v>348</v>
      </c>
      <c r="I1157" s="21" t="inlineStr">
        <is>
          <t>2024</t>
        </is>
      </c>
      <c r="J1157" s="21" t="inlineStr">
        <is>
          <t xml:space="preserve"> 0</t>
        </is>
      </c>
      <c r="K1157" s="30">
        <f>(E1157-F1157)/IF(E1157&gt;0,E1157,1)</f>
        <v/>
      </c>
    </row>
    <row r="1158">
      <c r="A1158" s="22" t="inlineStr">
        <is>
          <t>13가지 기술 트렌드로 배우는 4차 산업혁명과 미래사회</t>
        </is>
      </c>
      <c r="B1158" s="22" t="inlineStr">
        <is>
          <t>안병태, 정화영</t>
        </is>
      </c>
      <c r="C1158" s="22" t="inlineStr">
        <is>
          <t>길벗캠퍼스</t>
        </is>
      </c>
      <c r="D1158" s="22" t="inlineStr">
        <is>
          <t>2023년 07월</t>
        </is>
      </c>
      <c r="E1158" s="28" t="n">
        <v>26000</v>
      </c>
      <c r="F1158" s="28" t="n">
        <v>26000</v>
      </c>
      <c r="G1158" s="29" t="n">
        <v>0</v>
      </c>
      <c r="H1158" s="29" t="n">
        <v>336</v>
      </c>
      <c r="I1158" s="21" t="inlineStr">
        <is>
          <t>2023</t>
        </is>
      </c>
      <c r="J1158" s="21" t="inlineStr">
        <is>
          <t xml:space="preserve"> 0</t>
        </is>
      </c>
      <c r="K1158" s="30">
        <f>(E1158-F1158)/IF(E1158&gt;0,E1158,1)</f>
        <v/>
      </c>
    </row>
    <row r="1159">
      <c r="A1159" s="22" t="inlineStr">
        <is>
          <t>원리가 보이는 파이썬 빅데이터 분석 기초와 실습</t>
        </is>
      </c>
      <c r="B1159" s="22" t="inlineStr">
        <is>
          <t>천세학</t>
        </is>
      </c>
      <c r="C1159" s="22" t="inlineStr">
        <is>
          <t>한빛아카데미</t>
        </is>
      </c>
      <c r="D1159" s="22" t="inlineStr">
        <is>
          <t>2023년 06월</t>
        </is>
      </c>
      <c r="E1159" s="28" t="n">
        <v>28000</v>
      </c>
      <c r="F1159" s="28" t="n">
        <v>28000</v>
      </c>
      <c r="G1159" s="29" t="n">
        <v>1</v>
      </c>
      <c r="H1159" s="29" t="n">
        <v>342</v>
      </c>
      <c r="I1159" s="21" t="inlineStr">
        <is>
          <t>2023</t>
        </is>
      </c>
      <c r="J1159" s="21" t="inlineStr">
        <is>
          <t xml:space="preserve"> 0</t>
        </is>
      </c>
      <c r="K1159" s="30">
        <f>(E1159-F1159)/IF(E1159&gt;0,E1159,1)</f>
        <v/>
      </c>
    </row>
    <row r="1160">
      <c r="A1160" s="22" t="inlineStr">
        <is>
          <t>챗GPT를 활용한 40가지 파이썬 프로그램 만들기</t>
        </is>
      </c>
      <c r="B1160" s="22" t="inlineStr">
        <is>
          <t>장문철</t>
        </is>
      </c>
      <c r="C1160" s="22" t="inlineStr">
        <is>
          <t>앤써북</t>
        </is>
      </c>
      <c r="D1160" s="22" t="inlineStr">
        <is>
          <t>2023년 04월</t>
        </is>
      </c>
      <c r="E1160" s="28" t="n">
        <v>17700</v>
      </c>
      <c r="F1160" s="28" t="n">
        <v>15930</v>
      </c>
      <c r="G1160" s="29" t="n">
        <v>16</v>
      </c>
      <c r="H1160" s="29" t="n">
        <v>378</v>
      </c>
      <c r="I1160" s="21" t="inlineStr">
        <is>
          <t>2023</t>
        </is>
      </c>
      <c r="J1160" s="21" t="inlineStr">
        <is>
          <t xml:space="preserve"> 0</t>
        </is>
      </c>
      <c r="K1160" s="30">
        <f>(E1160-F1160)/IF(E1160&gt;0,E1160,1)</f>
        <v/>
      </c>
    </row>
    <row r="1161">
      <c r="A1161" s="22" t="inlineStr">
        <is>
          <t>파이썬으로 배우는 인공지능 수학</t>
        </is>
      </c>
      <c r="B1161" s="22" t="inlineStr">
        <is>
          <t>전태일, 이재광</t>
        </is>
      </c>
      <c r="C1161" s="22" t="inlineStr">
        <is>
          <t>인피니티북스</t>
        </is>
      </c>
      <c r="D1161" s="22" t="inlineStr">
        <is>
          <t>2023년 03월</t>
        </is>
      </c>
      <c r="E1161" s="28" t="n">
        <v>32000</v>
      </c>
      <c r="F1161" s="28" t="n">
        <v>32000</v>
      </c>
      <c r="G1161" s="29" t="n">
        <v>0</v>
      </c>
      <c r="H1161" s="29" t="n">
        <v>348</v>
      </c>
      <c r="I1161" s="21" t="inlineStr">
        <is>
          <t>2023</t>
        </is>
      </c>
      <c r="J1161" s="21" t="inlineStr">
        <is>
          <t xml:space="preserve"> 0</t>
        </is>
      </c>
      <c r="K1161" s="30">
        <f>(E1161-F1161)/IF(E1161&gt;0,E1161,1)</f>
        <v/>
      </c>
    </row>
    <row r="1162">
      <c r="A1162" s="22" t="inlineStr">
        <is>
          <t>CMOS 디지털 집적회로 설계</t>
        </is>
      </c>
      <c r="B1162" s="22" t="inlineStr">
        <is>
          <t>신경욱</t>
        </is>
      </c>
      <c r="C1162" s="22" t="inlineStr">
        <is>
          <t>한빛아카데미</t>
        </is>
      </c>
      <c r="D1162" s="22" t="inlineStr">
        <is>
          <t>2014년 05월</t>
        </is>
      </c>
      <c r="E1162" s="28" t="n">
        <v>26000</v>
      </c>
      <c r="F1162" s="28" t="n">
        <v>26000</v>
      </c>
      <c r="G1162" s="29" t="n">
        <v>0</v>
      </c>
      <c r="H1162" s="29" t="n">
        <v>348</v>
      </c>
      <c r="I1162" s="21" t="inlineStr">
        <is>
          <t>2014</t>
        </is>
      </c>
      <c r="J1162" s="21" t="inlineStr">
        <is>
          <t xml:space="preserve"> 0</t>
        </is>
      </c>
      <c r="K1162" s="30">
        <f>(E1162-F1162)/IF(E1162&gt;0,E1162,1)</f>
        <v/>
      </c>
    </row>
    <row r="1163">
      <c r="A1163" s="22" t="inlineStr">
        <is>
          <t>대체 뭐가 문제야</t>
        </is>
      </c>
      <c r="B1163" s="22" t="inlineStr">
        <is>
          <t>제럴드 M. 와인버그</t>
        </is>
      </c>
      <c r="C1163" s="22" t="inlineStr">
        <is>
          <t>인사이트(insight)</t>
        </is>
      </c>
      <c r="D1163" s="22" t="inlineStr">
        <is>
          <t>2013년 01월</t>
        </is>
      </c>
      <c r="E1163" s="28" t="n">
        <v>11000</v>
      </c>
      <c r="F1163" s="28" t="n">
        <v>9900</v>
      </c>
      <c r="G1163" s="29" t="n">
        <v>4</v>
      </c>
      <c r="H1163" s="29" t="n">
        <v>402</v>
      </c>
      <c r="I1163" s="21" t="inlineStr">
        <is>
          <t>2013</t>
        </is>
      </c>
      <c r="J1163" s="21" t="inlineStr">
        <is>
          <t xml:space="preserve"> 0</t>
        </is>
      </c>
      <c r="K1163" s="30">
        <f>(E1163-F1163)/IF(E1163&gt;0,E1163,1)</f>
        <v/>
      </c>
    </row>
    <row r="1164">
      <c r="A1164" s="22" t="inlineStr">
        <is>
          <t>월 20달러로 고용하는 데이터 분석가 with 챗GPT</t>
        </is>
      </c>
      <c r="B1164" s="22" t="inlineStr">
        <is>
          <t>테리엇, Bob Lee</t>
        </is>
      </c>
      <c r="C1164" s="22" t="inlineStr">
        <is>
          <t>한빛미디어</t>
        </is>
      </c>
      <c r="D1164" s="22" t="inlineStr">
        <is>
          <t>2024년 10월</t>
        </is>
      </c>
      <c r="E1164" s="28" t="n">
        <v>30000</v>
      </c>
      <c r="F1164" s="28" t="n">
        <v>27000</v>
      </c>
      <c r="G1164" s="29" t="n">
        <v>17</v>
      </c>
      <c r="H1164" s="29" t="n">
        <v>336</v>
      </c>
      <c r="I1164" s="21" t="inlineStr">
        <is>
          <t>2024</t>
        </is>
      </c>
      <c r="J1164" s="21" t="inlineStr">
        <is>
          <t xml:space="preserve"> 1</t>
        </is>
      </c>
      <c r="K1164" s="30">
        <f>(E1164-F1164)/IF(E1164&gt;0,E1164,1)</f>
        <v/>
      </c>
    </row>
    <row r="1165">
      <c r="A1165" s="22" t="inlineStr">
        <is>
          <t>파이썬 기반 금융 인공지능</t>
        </is>
      </c>
      <c r="B1165" s="22" t="inlineStr">
        <is>
          <t>이브 힐피시, 김도형</t>
        </is>
      </c>
      <c r="C1165" s="22" t="inlineStr">
        <is>
          <t>한빛미디어</t>
        </is>
      </c>
      <c r="D1165" s="22" t="inlineStr">
        <is>
          <t>2022년 09월</t>
        </is>
      </c>
      <c r="E1165" s="28" t="n">
        <v>42000</v>
      </c>
      <c r="F1165" s="28" t="n">
        <v>37800</v>
      </c>
      <c r="G1165" s="29" t="n">
        <v>23</v>
      </c>
      <c r="H1165" s="29" t="n">
        <v>360</v>
      </c>
      <c r="I1165" s="21" t="inlineStr">
        <is>
          <t>2022</t>
        </is>
      </c>
      <c r="J1165" s="21" t="inlineStr">
        <is>
          <t xml:space="preserve"> 0</t>
        </is>
      </c>
      <c r="K1165" s="30">
        <f>(E1165-F1165)/IF(E1165&gt;0,E1165,1)</f>
        <v/>
      </c>
    </row>
    <row r="1166">
      <c r="A1166" s="22" t="inlineStr">
        <is>
          <t>Do it! 딥러닝 교과서</t>
        </is>
      </c>
      <c r="B1166" s="22" t="inlineStr">
        <is>
          <t>윤성진</t>
        </is>
      </c>
      <c r="C1166" s="22" t="inlineStr">
        <is>
          <t>이지스퍼블리싱</t>
        </is>
      </c>
      <c r="D1166" s="22" t="inlineStr">
        <is>
          <t>2021년 10월</t>
        </is>
      </c>
      <c r="E1166" s="28" t="n">
        <v>28000</v>
      </c>
      <c r="F1166" s="28" t="n">
        <v>25200</v>
      </c>
      <c r="G1166" s="29" t="n">
        <v>13</v>
      </c>
      <c r="H1166" s="29" t="n">
        <v>360</v>
      </c>
      <c r="I1166" s="21" t="inlineStr">
        <is>
          <t>2021</t>
        </is>
      </c>
      <c r="J1166" s="21" t="inlineStr">
        <is>
          <t xml:space="preserve"> 1</t>
        </is>
      </c>
      <c r="K1166" s="30">
        <f>(E1166-F1166)/IF(E1166&gt;0,E1166,1)</f>
        <v/>
      </c>
    </row>
    <row r="1167">
      <c r="A1167" s="22" t="inlineStr">
        <is>
          <t>인공지능 첫걸음</t>
        </is>
      </c>
      <c r="B1167" s="22" t="inlineStr">
        <is>
          <t>송유진</t>
        </is>
      </c>
      <c r="C1167" s="22" t="inlineStr">
        <is>
          <t>연두에디션</t>
        </is>
      </c>
      <c r="D1167" s="22" t="inlineStr">
        <is>
          <t>2026년 01월</t>
        </is>
      </c>
      <c r="E1167" s="28" t="n">
        <v>26000</v>
      </c>
      <c r="F1167" s="28" t="n">
        <v>26000</v>
      </c>
      <c r="G1167" s="29" t="n">
        <v>0</v>
      </c>
      <c r="H1167" s="29" t="n">
        <v>300</v>
      </c>
      <c r="I1167" s="21" t="inlineStr">
        <is>
          <t>2026</t>
        </is>
      </c>
      <c r="J1167" s="21" t="inlineStr">
        <is>
          <t xml:space="preserve"> 0</t>
        </is>
      </c>
      <c r="K1167" s="30">
        <f>(E1167-F1167)/IF(E1167&gt;0,E1167,1)</f>
        <v/>
      </c>
    </row>
    <row r="1168">
      <c r="A1168" s="22" t="inlineStr">
        <is>
          <t>파이썬과 JAX로 추천 시스템 구축하기</t>
        </is>
      </c>
      <c r="B1168" s="22" t="inlineStr">
        <is>
          <t>브라이언 비쇼프, 헥터 이, 동동구</t>
        </is>
      </c>
      <c r="C1168" s="22" t="inlineStr">
        <is>
          <t>제이펍</t>
        </is>
      </c>
      <c r="D1168" s="22" t="inlineStr">
        <is>
          <t>2025년 03월</t>
        </is>
      </c>
      <c r="E1168" s="28" t="n">
        <v>33000</v>
      </c>
      <c r="F1168" s="28" t="n">
        <v>29700</v>
      </c>
      <c r="G1168" s="29" t="n">
        <v>3</v>
      </c>
      <c r="H1168" s="29" t="n">
        <v>288</v>
      </c>
      <c r="I1168" s="21" t="inlineStr">
        <is>
          <t>2025</t>
        </is>
      </c>
      <c r="J1168" s="21" t="inlineStr">
        <is>
          <t xml:space="preserve"> 0</t>
        </is>
      </c>
      <c r="K1168" s="30">
        <f>(E1168-F1168)/IF(E1168&gt;0,E1168,1)</f>
        <v/>
      </c>
    </row>
    <row r="1169">
      <c r="A1169" s="22" t="inlineStr">
        <is>
          <t>한 권으로 끝내는 이미지 생성 AI with 미드저니</t>
        </is>
      </c>
      <c r="B1169" s="22" t="inlineStr">
        <is>
          <t>헤더림, 백승호</t>
        </is>
      </c>
      <c r="C1169" s="22" t="inlineStr">
        <is>
          <t>한빛미디어</t>
        </is>
      </c>
      <c r="D1169" s="22" t="inlineStr">
        <is>
          <t>2024년 03월</t>
        </is>
      </c>
      <c r="E1169" s="28" t="n">
        <v>25000</v>
      </c>
      <c r="F1169" s="28" t="n">
        <v>22500</v>
      </c>
      <c r="G1169" s="29" t="n">
        <v>27</v>
      </c>
      <c r="H1169" s="29" t="n">
        <v>306</v>
      </c>
      <c r="I1169" s="21" t="inlineStr">
        <is>
          <t>2024</t>
        </is>
      </c>
      <c r="J1169" s="21" t="inlineStr">
        <is>
          <t xml:space="preserve"> 0</t>
        </is>
      </c>
      <c r="K1169" s="30">
        <f>(E1169-F1169)/IF(E1169&gt;0,E1169,1)</f>
        <v/>
      </c>
    </row>
    <row r="1170">
      <c r="A1170" s="22" t="inlineStr">
        <is>
          <t>데이터 드리븐 리포트</t>
        </is>
      </c>
      <c r="B1170" s="22" t="inlineStr">
        <is>
          <t>이상석</t>
        </is>
      </c>
      <c r="C1170" s="22" t="inlineStr">
        <is>
          <t>한빛미디어</t>
        </is>
      </c>
      <c r="D1170" s="22" t="inlineStr">
        <is>
          <t>2023년 10월</t>
        </is>
      </c>
      <c r="E1170" s="28" t="n">
        <v>33000</v>
      </c>
      <c r="F1170" s="28" t="n">
        <v>29700</v>
      </c>
      <c r="G1170" s="29" t="n">
        <v>35</v>
      </c>
      <c r="H1170" s="29" t="n">
        <v>288</v>
      </c>
      <c r="I1170" s="21" t="inlineStr">
        <is>
          <t>2023</t>
        </is>
      </c>
      <c r="J1170" s="21" t="inlineStr">
        <is>
          <t xml:space="preserve"> 1</t>
        </is>
      </c>
      <c r="K1170" s="30">
        <f>(E1170-F1170)/IF(E1170&gt;0,E1170,1)</f>
        <v/>
      </c>
    </row>
    <row r="1171">
      <c r="A1171" s="22" t="inlineStr">
        <is>
          <t>Amazon Bedrock 실전 생성형 AI 앱 개발</t>
        </is>
      </c>
      <c r="B1171" s="22" t="inlineStr">
        <is>
          <t>온다 미노루, 쿠마다 칸, 모리타 카즈아키, 김영진, 임연욱, 정보 더 보기/감추기, 온다 미노루, 쿠마다 칸, 모리타 카즈아키, 김영진, 임연욱, 김기철, 김휘경</t>
        </is>
      </c>
      <c r="C1171" s="22" t="inlineStr">
        <is>
          <t>위키북스</t>
        </is>
      </c>
      <c r="D1171" s="22" t="inlineStr">
        <is>
          <t>2025년 11월</t>
        </is>
      </c>
      <c r="E1171" s="28" t="n">
        <v>35000</v>
      </c>
      <c r="F1171" s="28" t="n">
        <v>31500</v>
      </c>
      <c r="G1171" s="29" t="n">
        <v>0</v>
      </c>
      <c r="H1171" s="29" t="n">
        <v>288</v>
      </c>
      <c r="I1171" s="21" t="inlineStr">
        <is>
          <t>2025</t>
        </is>
      </c>
      <c r="J1171" s="21" t="inlineStr">
        <is>
          <t xml:space="preserve"> 1</t>
        </is>
      </c>
      <c r="K1171" s="30">
        <f>(E1171-F1171)/IF(E1171&gt;0,E1171,1)</f>
        <v/>
      </c>
    </row>
    <row r="1172">
      <c r="A1172" s="22" t="inlineStr">
        <is>
          <t>개발자는 글을 못 쓴다고요?</t>
        </is>
      </c>
      <c r="B1172" s="22" t="inlineStr">
        <is>
          <t>전정은, 황수정</t>
        </is>
      </c>
      <c r="C1172" s="22" t="inlineStr">
        <is>
          <t>제이펍</t>
        </is>
      </c>
      <c r="D1172" s="22" t="inlineStr">
        <is>
          <t>2025년 11월</t>
        </is>
      </c>
      <c r="E1172" s="28" t="n">
        <v>28000</v>
      </c>
      <c r="F1172" s="28" t="n">
        <v>25200</v>
      </c>
      <c r="G1172" s="29" t="n">
        <v>8</v>
      </c>
      <c r="H1172" s="29" t="n">
        <v>300</v>
      </c>
      <c r="I1172" s="21" t="inlineStr">
        <is>
          <t>2025</t>
        </is>
      </c>
      <c r="J1172" s="21" t="inlineStr">
        <is>
          <t xml:space="preserve"> 1</t>
        </is>
      </c>
      <c r="K1172" s="30">
        <f>(E1172-F1172)/IF(E1172&gt;0,E1172,1)</f>
        <v/>
      </c>
    </row>
    <row r="1173">
      <c r="A1173" s="22" t="inlineStr">
        <is>
          <t>시작해요, 커서</t>
        </is>
      </c>
      <c r="B1173" s="22" t="inlineStr">
        <is>
          <t>리브로웍스, 김성훈</t>
        </is>
      </c>
      <c r="C1173" s="22" t="inlineStr">
        <is>
          <t>인사이트(insight)</t>
        </is>
      </c>
      <c r="D1173" s="22" t="inlineStr">
        <is>
          <t>2025년 11월</t>
        </is>
      </c>
      <c r="E1173" s="28" t="n">
        <v>22000</v>
      </c>
      <c r="F1173" s="28" t="n">
        <v>19800</v>
      </c>
      <c r="G1173" s="29" t="n">
        <v>26</v>
      </c>
      <c r="H1173" s="29" t="n">
        <v>324</v>
      </c>
      <c r="I1173" s="21" t="inlineStr">
        <is>
          <t>2025</t>
        </is>
      </c>
      <c r="J1173" s="21" t="inlineStr">
        <is>
          <t xml:space="preserve"> 1</t>
        </is>
      </c>
      <c r="K1173" s="30">
        <f>(E1173-F1173)/IF(E1173&gt;0,E1173,1)</f>
        <v/>
      </c>
    </row>
    <row r="1174">
      <c r="A1174" s="22" t="inlineStr">
        <is>
          <t>라마인덱스로 배우는 데이터 기반 AI 애플리케이션</t>
        </is>
      </c>
      <c r="B1174" s="22" t="inlineStr">
        <is>
          <t>안드레이 게오르기우, 동동구</t>
        </is>
      </c>
      <c r="C1174" s="22" t="inlineStr">
        <is>
          <t>제이펍</t>
        </is>
      </c>
      <c r="D1174" s="22" t="inlineStr">
        <is>
          <t>2025년 10월</t>
        </is>
      </c>
      <c r="E1174" s="28" t="n">
        <v>32000</v>
      </c>
      <c r="F1174" s="28" t="n">
        <v>28800</v>
      </c>
      <c r="G1174" s="29" t="n">
        <v>3</v>
      </c>
      <c r="H1174" s="29" t="n">
        <v>330</v>
      </c>
      <c r="I1174" s="21" t="inlineStr">
        <is>
          <t>2025</t>
        </is>
      </c>
      <c r="J1174" s="21" t="inlineStr">
        <is>
          <t xml:space="preserve"> 1</t>
        </is>
      </c>
      <c r="K1174" s="30">
        <f>(E1174-F1174)/IF(E1174&gt;0,E1174,1)</f>
        <v/>
      </c>
    </row>
    <row r="1175">
      <c r="A1175" s="22" t="inlineStr">
        <is>
          <t>5초 안에 사로잡아라</t>
        </is>
      </c>
      <c r="B1175" s="22" t="inlineStr">
        <is>
          <t>김정수</t>
        </is>
      </c>
      <c r="C1175" s="22" t="inlineStr">
        <is>
          <t>비욘드북스</t>
        </is>
      </c>
      <c r="D1175" s="22" t="inlineStr">
        <is>
          <t>2025년 09월</t>
        </is>
      </c>
      <c r="E1175" s="28" t="n">
        <v>28000</v>
      </c>
      <c r="F1175" s="28" t="n">
        <v>25200</v>
      </c>
      <c r="G1175" s="29" t="n">
        <v>18</v>
      </c>
      <c r="H1175" s="29" t="n">
        <v>342</v>
      </c>
      <c r="I1175" s="21" t="inlineStr">
        <is>
          <t>2025</t>
        </is>
      </c>
      <c r="J1175" s="21" t="inlineStr">
        <is>
          <t xml:space="preserve"> 0</t>
        </is>
      </c>
      <c r="K1175" s="30">
        <f>(E1175-F1175)/IF(E1175&gt;0,E1175,1)</f>
        <v/>
      </c>
    </row>
    <row r="1176">
      <c r="A1176" s="22" t="inlineStr">
        <is>
          <t>AX 기획론</t>
        </is>
      </c>
      <c r="B1176" s="22" t="inlineStr">
        <is>
          <t>노주환</t>
        </is>
      </c>
      <c r="C1176" s="22" t="inlineStr">
        <is>
          <t>공존의미학</t>
        </is>
      </c>
      <c r="D1176" s="22" t="inlineStr">
        <is>
          <t>2025년 05월</t>
        </is>
      </c>
      <c r="E1176" s="28" t="n">
        <v>28000</v>
      </c>
      <c r="F1176" s="28" t="n">
        <v>25200</v>
      </c>
      <c r="G1176" s="29" t="n">
        <v>0</v>
      </c>
      <c r="H1176" s="29" t="n">
        <v>306</v>
      </c>
      <c r="I1176" s="21" t="inlineStr">
        <is>
          <t>2025</t>
        </is>
      </c>
      <c r="J1176" s="21" t="inlineStr">
        <is>
          <t xml:space="preserve"> 0</t>
        </is>
      </c>
      <c r="K1176" s="30">
        <f>(E1176-F1176)/IF(E1176&gt;0,E1176,1)</f>
        <v/>
      </c>
    </row>
    <row r="1177">
      <c r="A1177" s="22" t="inlineStr">
        <is>
          <t>생성형 AI 업무 혁신 2</t>
        </is>
      </c>
      <c r="B1177" s="22" t="inlineStr">
        <is>
          <t>박찬규, 윤가희</t>
        </is>
      </c>
      <c r="C1177" s="22" t="inlineStr">
        <is>
          <t>위키북스</t>
        </is>
      </c>
      <c r="D1177" s="22" t="inlineStr">
        <is>
          <t>2024년 08월</t>
        </is>
      </c>
      <c r="E1177" s="28" t="n">
        <v>22000</v>
      </c>
      <c r="F1177" s="28" t="n">
        <v>19800</v>
      </c>
      <c r="G1177" s="29" t="n">
        <v>3</v>
      </c>
      <c r="H1177" s="29" t="n">
        <v>288</v>
      </c>
      <c r="I1177" s="21" t="inlineStr">
        <is>
          <t>2024</t>
        </is>
      </c>
      <c r="J1177" s="21" t="inlineStr">
        <is>
          <t xml:space="preserve"> 0</t>
        </is>
      </c>
      <c r="K1177" s="30">
        <f>(E1177-F1177)/IF(E1177&gt;0,E1177,1)</f>
        <v/>
      </c>
    </row>
    <row r="1178">
      <c r="A1178" s="22" t="inlineStr">
        <is>
          <t>AI 툴킷</t>
        </is>
      </c>
      <c r="B1178" s="22" t="inlineStr">
        <is>
          <t>김규태</t>
        </is>
      </c>
      <c r="C1178" s="22" t="inlineStr">
        <is>
          <t>길벗</t>
        </is>
      </c>
      <c r="D1178" s="22" t="inlineStr">
        <is>
          <t>2024년 05월</t>
        </is>
      </c>
      <c r="E1178" s="28" t="n">
        <v>22000</v>
      </c>
      <c r="F1178" s="28" t="n">
        <v>19800</v>
      </c>
      <c r="G1178" s="29" t="n">
        <v>10</v>
      </c>
      <c r="H1178" s="29" t="n">
        <v>312</v>
      </c>
      <c r="I1178" s="21" t="inlineStr">
        <is>
          <t>2024</t>
        </is>
      </c>
      <c r="J1178" s="21" t="inlineStr">
        <is>
          <t xml:space="preserve"> 0</t>
        </is>
      </c>
      <c r="K1178" s="30">
        <f>(E1178-F1178)/IF(E1178&gt;0,E1178,1)</f>
        <v/>
      </c>
    </row>
    <row r="1179">
      <c r="A1179" s="22" t="inlineStr">
        <is>
          <t>CHAT GPT 도입으로 업무 혁신을 이끄는 방법</t>
        </is>
      </c>
      <c r="B1179" s="22" t="inlineStr">
        <is>
          <t>임성기</t>
        </is>
      </c>
      <c r="C1179" s="22" t="inlineStr">
        <is>
          <t>다큐페이스</t>
        </is>
      </c>
      <c r="D1179" s="22" t="inlineStr">
        <is>
          <t>2023년 08월</t>
        </is>
      </c>
      <c r="E1179" s="28" t="n">
        <v>17000</v>
      </c>
      <c r="F1179" s="28" t="n">
        <v>15300</v>
      </c>
      <c r="G1179" s="29" t="n">
        <v>2</v>
      </c>
      <c r="H1179" s="29" t="n">
        <v>288</v>
      </c>
      <c r="I1179" s="21" t="inlineStr">
        <is>
          <t>2023</t>
        </is>
      </c>
      <c r="J1179" s="21" t="inlineStr">
        <is>
          <t xml:space="preserve"> 0</t>
        </is>
      </c>
      <c r="K1179" s="30">
        <f>(E1179-F1179)/IF(E1179&gt;0,E1179,1)</f>
        <v/>
      </c>
    </row>
    <row r="1180">
      <c r="A1180" s="22" t="inlineStr">
        <is>
          <t>AI 인공지능 드론 만들고 날리고 딥러닝 구현하기</t>
        </is>
      </c>
      <c r="B1180" s="22" t="inlineStr">
        <is>
          <t>서민우</t>
        </is>
      </c>
      <c r="C1180" s="22" t="inlineStr">
        <is>
          <t>앤써북</t>
        </is>
      </c>
      <c r="D1180" s="22" t="inlineStr">
        <is>
          <t>2023년 05월</t>
        </is>
      </c>
      <c r="E1180" s="28" t="n">
        <v>26000</v>
      </c>
      <c r="F1180" s="28" t="n">
        <v>23400</v>
      </c>
      <c r="G1180" s="29" t="n">
        <v>0</v>
      </c>
      <c r="H1180" s="29" t="n">
        <v>306</v>
      </c>
      <c r="I1180" s="21" t="inlineStr">
        <is>
          <t>2023</t>
        </is>
      </c>
      <c r="J1180" s="21" t="inlineStr">
        <is>
          <t xml:space="preserve"> 0</t>
        </is>
      </c>
      <c r="K1180" s="30">
        <f>(E1180-F1180)/IF(E1180&gt;0,E1180,1)</f>
        <v/>
      </c>
    </row>
    <row r="1181">
      <c r="A1181" s="22" t="inlineStr">
        <is>
          <t>패턴인식</t>
        </is>
      </c>
      <c r="B1181" s="22" t="inlineStr">
        <is>
          <t>오일석</t>
        </is>
      </c>
      <c r="C1181" s="22" t="inlineStr">
        <is>
          <t>인피니티북스</t>
        </is>
      </c>
      <c r="D1181" s="22" t="inlineStr">
        <is>
          <t>2023년 02월</t>
        </is>
      </c>
      <c r="E1181" s="28" t="n">
        <v>33000</v>
      </c>
      <c r="F1181" s="28" t="n">
        <v>33000</v>
      </c>
      <c r="G1181" s="29" t="n">
        <v>0</v>
      </c>
      <c r="H1181" s="29" t="n">
        <v>300</v>
      </c>
      <c r="I1181" s="21" t="inlineStr">
        <is>
          <t>2023</t>
        </is>
      </c>
      <c r="J1181" s="21" t="inlineStr">
        <is>
          <t xml:space="preserve"> 0</t>
        </is>
      </c>
      <c r="K1181" s="30">
        <f>(E1181-F1181)/IF(E1181&gt;0,E1181,1)</f>
        <v/>
      </c>
    </row>
    <row r="1182">
      <c r="A1182" s="22" t="inlineStr">
        <is>
          <t>지능정보사회와 AI 윤리</t>
        </is>
      </c>
      <c r="B1182" s="22" t="inlineStr">
        <is>
          <t>한국정보통신보안윤리학회</t>
        </is>
      </c>
      <c r="C1182" s="22" t="inlineStr">
        <is>
          <t>배움터</t>
        </is>
      </c>
      <c r="D1182" s="22" t="inlineStr">
        <is>
          <t>2021년 02월</t>
        </is>
      </c>
      <c r="E1182" s="28" t="n">
        <v>19000</v>
      </c>
      <c r="F1182" s="28" t="n">
        <v>19000</v>
      </c>
      <c r="G1182" s="29" t="n">
        <v>2</v>
      </c>
      <c r="H1182" s="29" t="n">
        <v>300</v>
      </c>
      <c r="I1182" s="21" t="inlineStr">
        <is>
          <t>2021</t>
        </is>
      </c>
      <c r="J1182" s="21" t="inlineStr">
        <is>
          <t xml:space="preserve"> 0</t>
        </is>
      </c>
      <c r="K1182" s="30">
        <f>(E1182-F1182)/IF(E1182&gt;0,E1182,1)</f>
        <v/>
      </c>
    </row>
    <row r="1183">
      <c r="A1183" s="22" t="inlineStr">
        <is>
          <t>확률론적 로보틱스</t>
        </is>
      </c>
      <c r="B1183" s="22" t="inlineStr">
        <is>
          <t>세바스찬 스런, 볼프람 부르가트, 디터 폭스, 남궁영환</t>
        </is>
      </c>
      <c r="C1183" s="22" t="inlineStr">
        <is>
          <t>에이콘출판사</t>
        </is>
      </c>
      <c r="D1183" s="22" t="inlineStr">
        <is>
          <t>2020년 06월</t>
        </is>
      </c>
      <c r="E1183" s="28" t="n">
        <v>50000</v>
      </c>
      <c r="F1183" s="28" t="n">
        <v>45000</v>
      </c>
      <c r="G1183" s="29" t="n">
        <v>4</v>
      </c>
      <c r="H1183" s="29" t="n">
        <v>348</v>
      </c>
      <c r="I1183" s="21" t="inlineStr">
        <is>
          <t>2020</t>
        </is>
      </c>
      <c r="J1183" s="21" t="inlineStr">
        <is>
          <t xml:space="preserve"> 0</t>
        </is>
      </c>
      <c r="K1183" s="30">
        <f>(E1183-F1183)/IF(E1183&gt;0,E1183,1)</f>
        <v/>
      </c>
    </row>
    <row r="1184">
      <c r="A1184" s="22" t="inlineStr">
        <is>
          <t>AI와 스토리텔링 확장</t>
        </is>
      </c>
      <c r="B1184" s="22" t="inlineStr">
        <is>
          <t>송창렬</t>
        </is>
      </c>
      <c r="C1184" s="22" t="inlineStr">
        <is>
          <t>커뮤니케이션북스</t>
        </is>
      </c>
      <c r="D1184" s="22" t="inlineStr">
        <is>
          <t>2025년 09월</t>
        </is>
      </c>
      <c r="E1184" s="28" t="n">
        <v>12000</v>
      </c>
      <c r="F1184" s="28" t="n">
        <v>10920</v>
      </c>
      <c r="G1184" s="29" t="n">
        <v>0</v>
      </c>
      <c r="H1184" s="29" t="n">
        <v>432</v>
      </c>
      <c r="I1184" s="21" t="inlineStr">
        <is>
          <t>2025</t>
        </is>
      </c>
      <c r="J1184" s="21" t="inlineStr">
        <is>
          <t xml:space="preserve"> 0</t>
        </is>
      </c>
      <c r="K1184" s="30">
        <f>(E1184-F1184)/IF(E1184&gt;0,E1184,1)</f>
        <v/>
      </c>
    </row>
    <row r="1185">
      <c r="A1185" s="22" t="inlineStr">
        <is>
          <t>AI와 함께 여는 글쓰기 교육의 미래</t>
        </is>
      </c>
      <c r="B1185" s="22" t="inlineStr">
        <is>
          <t>양일동</t>
        </is>
      </c>
      <c r="C1185" s="22" t="inlineStr">
        <is>
          <t>지식과감성#</t>
        </is>
      </c>
      <c r="D1185" s="22" t="inlineStr">
        <is>
          <t>2025년 09월</t>
        </is>
      </c>
      <c r="E1185" s="28" t="n">
        <v>23000</v>
      </c>
      <c r="F1185" s="28" t="n">
        <v>20700</v>
      </c>
      <c r="G1185" s="29" t="n">
        <v>6</v>
      </c>
      <c r="H1185" s="29" t="n">
        <v>438</v>
      </c>
      <c r="I1185" s="21" t="inlineStr">
        <is>
          <t>2025</t>
        </is>
      </c>
      <c r="J1185" s="21" t="inlineStr">
        <is>
          <t xml:space="preserve"> 0</t>
        </is>
      </c>
      <c r="K1185" s="30">
        <f>(E1185-F1185)/IF(E1185&gt;0,E1185,1)</f>
        <v/>
      </c>
    </row>
    <row r="1186">
      <c r="A1186" s="22" t="inlineStr">
        <is>
          <t>업무 효율이 10배 오르는 챗GPT X 엑셀 활용법</t>
        </is>
      </c>
      <c r="B1186" s="22" t="inlineStr">
        <is>
          <t>다케이 가즈미, 구수영</t>
        </is>
      </c>
      <c r="C1186" s="22" t="inlineStr">
        <is>
          <t>AK(에이케이 커뮤니케이션즈)</t>
        </is>
      </c>
      <c r="D1186" s="22" t="inlineStr">
        <is>
          <t>2024년 12월</t>
        </is>
      </c>
      <c r="E1186" s="28" t="n">
        <v>19800</v>
      </c>
      <c r="F1186" s="28" t="n">
        <v>18810</v>
      </c>
      <c r="G1186" s="29" t="n">
        <v>0</v>
      </c>
      <c r="H1186" s="29" t="n">
        <v>318</v>
      </c>
      <c r="I1186" s="21" t="inlineStr">
        <is>
          <t>2024</t>
        </is>
      </c>
      <c r="J1186" s="21" t="inlineStr">
        <is>
          <t xml:space="preserve"> 1</t>
        </is>
      </c>
      <c r="K1186" s="30">
        <f>(E1186-F1186)/IF(E1186&gt;0,E1186,1)</f>
        <v/>
      </c>
    </row>
    <row r="1187">
      <c r="A1187" s="22" t="inlineStr">
        <is>
          <t>챗GPT 제대로 써먹기</t>
        </is>
      </c>
      <c r="B1187" s="22" t="inlineStr">
        <is>
          <t>조민정</t>
        </is>
      </c>
      <c r="C1187" s="22" t="inlineStr">
        <is>
          <t>한빛미디어</t>
        </is>
      </c>
      <c r="D1187" s="22" t="inlineStr">
        <is>
          <t>2024년 09월</t>
        </is>
      </c>
      <c r="E1187" s="28" t="n">
        <v>22000</v>
      </c>
      <c r="F1187" s="28" t="n">
        <v>19800</v>
      </c>
      <c r="G1187" s="29" t="n">
        <v>26</v>
      </c>
      <c r="H1187" s="29" t="n">
        <v>288</v>
      </c>
      <c r="I1187" s="21" t="inlineStr">
        <is>
          <t>2024</t>
        </is>
      </c>
      <c r="J1187" s="21" t="inlineStr">
        <is>
          <t xml:space="preserve"> 0</t>
        </is>
      </c>
      <c r="K1187" s="30">
        <f>(E1187-F1187)/IF(E1187&gt;0,E1187,1)</f>
        <v/>
      </c>
    </row>
    <row r="1188">
      <c r="A1188" s="22" t="inlineStr">
        <is>
          <t>챗GPT 제미나이 업무활용 마스터키트</t>
        </is>
      </c>
      <c r="B1188" s="22" t="inlineStr">
        <is>
          <t>백경석</t>
        </is>
      </c>
      <c r="C1188" s="22" t="inlineStr">
        <is>
          <t>에이아이마스터</t>
        </is>
      </c>
      <c r="D1188" s="22" t="inlineStr">
        <is>
          <t>2025년 01월</t>
        </is>
      </c>
      <c r="E1188" s="28" t="n">
        <v>33000</v>
      </c>
      <c r="F1188" s="28" t="n">
        <v>29700</v>
      </c>
      <c r="G1188" s="29" t="n">
        <v>0</v>
      </c>
      <c r="H1188" s="29" t="n">
        <v>330</v>
      </c>
      <c r="I1188" s="21" t="inlineStr">
        <is>
          <t>2025</t>
        </is>
      </c>
      <c r="J1188" s="21" t="inlineStr">
        <is>
          <t xml:space="preserve"> 0</t>
        </is>
      </c>
      <c r="K1188" s="30">
        <f>(E1188-F1188)/IF(E1188&gt;0,E1188,1)</f>
        <v/>
      </c>
    </row>
    <row r="1189">
      <c r="A1189" s="22" t="inlineStr">
        <is>
          <t>AGI 자기 보존권과 트롤리 딜레마</t>
        </is>
      </c>
      <c r="B1189" s="22" t="inlineStr">
        <is>
          <t>이상덕</t>
        </is>
      </c>
      <c r="C1189" s="22" t="inlineStr">
        <is>
          <t>커뮤니케이션북스</t>
        </is>
      </c>
      <c r="D1189" s="22" t="inlineStr">
        <is>
          <t>2025년 12월</t>
        </is>
      </c>
      <c r="E1189" s="28" t="n">
        <v>12000</v>
      </c>
      <c r="F1189" s="28" t="n">
        <v>12000</v>
      </c>
      <c r="G1189" s="29" t="n">
        <v>3</v>
      </c>
      <c r="H1189" s="29" t="n">
        <v>240</v>
      </c>
      <c r="I1189" s="21" t="inlineStr">
        <is>
          <t>2025</t>
        </is>
      </c>
      <c r="J1189" s="21" t="inlineStr">
        <is>
          <t xml:space="preserve"> 1</t>
        </is>
      </c>
      <c r="K1189" s="30">
        <f>(E1189-F1189)/IF(E1189&gt;0,E1189,1)</f>
        <v/>
      </c>
    </row>
    <row r="1190">
      <c r="A1190" s="22" t="inlineStr">
        <is>
          <t>AI 트랜스포메이션(AX)</t>
        </is>
      </c>
      <c r="B1190" s="22" t="inlineStr">
        <is>
          <t>임정혁</t>
        </is>
      </c>
      <c r="C1190" s="22" t="inlineStr">
        <is>
          <t>포아이알미디어</t>
        </is>
      </c>
      <c r="D1190" s="22" t="inlineStr">
        <is>
          <t>2025년 10월</t>
        </is>
      </c>
      <c r="E1190" s="28" t="n">
        <v>33000</v>
      </c>
      <c r="F1190" s="28" t="n">
        <v>29700</v>
      </c>
      <c r="G1190" s="29" t="n">
        <v>0</v>
      </c>
      <c r="H1190" s="29" t="n">
        <v>402</v>
      </c>
      <c r="I1190" s="21" t="inlineStr">
        <is>
          <t>2025</t>
        </is>
      </c>
      <c r="J1190" s="21" t="inlineStr">
        <is>
          <t xml:space="preserve"> 1</t>
        </is>
      </c>
      <c r="K1190" s="30">
        <f>(E1190-F1190)/IF(E1190&gt;0,E1190,1)</f>
        <v/>
      </c>
    </row>
    <row r="1191">
      <c r="A1191" s="22" t="inlineStr">
        <is>
          <t>비즈니스 모델과 AI</t>
        </is>
      </c>
      <c r="B1191" s="22" t="inlineStr">
        <is>
          <t>이경전</t>
        </is>
      </c>
      <c r="C1191" s="22" t="inlineStr">
        <is>
          <t>커뮤니케이션북스</t>
        </is>
      </c>
      <c r="D1191" s="22" t="inlineStr">
        <is>
          <t>2025년 01월</t>
        </is>
      </c>
      <c r="E1191" s="28" t="n">
        <v>12000</v>
      </c>
      <c r="F1191" s="28" t="n">
        <v>12000</v>
      </c>
      <c r="G1191" s="29" t="n">
        <v>0</v>
      </c>
      <c r="H1191" s="29" t="n">
        <v>270</v>
      </c>
      <c r="I1191" s="21" t="inlineStr">
        <is>
          <t>2025</t>
        </is>
      </c>
      <c r="J1191" s="21" t="inlineStr">
        <is>
          <t xml:space="preserve"> 0</t>
        </is>
      </c>
      <c r="K1191" s="30">
        <f>(E1191-F1191)/IF(E1191&gt;0,E1191,1)</f>
        <v/>
      </c>
    </row>
    <row r="1192">
      <c r="A1192" s="22" t="inlineStr">
        <is>
          <t>인공지능 법과 윤리</t>
        </is>
      </c>
      <c r="B1192" s="22" t="inlineStr">
        <is>
          <t>김명훈</t>
        </is>
      </c>
      <c r="C1192" s="22" t="inlineStr">
        <is>
          <t>길벗캠퍼스</t>
        </is>
      </c>
      <c r="D1192" s="22" t="inlineStr">
        <is>
          <t>2024년 12월</t>
        </is>
      </c>
      <c r="E1192" s="28" t="n">
        <v>29500</v>
      </c>
      <c r="F1192" s="28" t="n">
        <v>29500</v>
      </c>
      <c r="G1192" s="29" t="n">
        <v>2</v>
      </c>
      <c r="H1192" s="29" t="n">
        <v>282</v>
      </c>
      <c r="I1192" s="21" t="inlineStr">
        <is>
          <t>2024</t>
        </is>
      </c>
      <c r="J1192" s="21" t="inlineStr">
        <is>
          <t xml:space="preserve"> 1</t>
        </is>
      </c>
      <c r="K1192" s="30">
        <f>(E1192-F1192)/IF(E1192&gt;0,E1192,1)</f>
        <v/>
      </c>
    </row>
    <row r="1193">
      <c r="A1193" s="22" t="inlineStr">
        <is>
          <t>밀리터리 인공지능 리터러시</t>
        </is>
      </c>
      <c r="B1193" s="22" t="inlineStr">
        <is>
          <t>정현식</t>
        </is>
      </c>
      <c r="C1193" s="22" t="inlineStr">
        <is>
          <t>좋은땅</t>
        </is>
      </c>
      <c r="D1193" s="22" t="inlineStr">
        <is>
          <t>2025년 10월</t>
        </is>
      </c>
      <c r="E1193" s="28" t="n">
        <v>17000</v>
      </c>
      <c r="F1193" s="28" t="n">
        <v>15300</v>
      </c>
      <c r="G1193" s="29" t="n">
        <v>1</v>
      </c>
      <c r="H1193" s="29" t="n">
        <v>408</v>
      </c>
      <c r="I1193" s="21" t="inlineStr">
        <is>
          <t>2025</t>
        </is>
      </c>
      <c r="J1193" s="21" t="inlineStr">
        <is>
          <t xml:space="preserve"> 1</t>
        </is>
      </c>
      <c r="K1193" s="30">
        <f>(E1193-F1193)/IF(E1193&gt;0,E1193,1)</f>
        <v/>
      </c>
    </row>
    <row r="1194">
      <c r="A1194" s="22" t="inlineStr">
        <is>
          <t>5차원 AI</t>
        </is>
      </c>
      <c r="B1194" s="22" t="inlineStr">
        <is>
          <t>원동연, 민진홍</t>
        </is>
      </c>
      <c r="C1194" s="22" t="inlineStr">
        <is>
          <t>성안당</t>
        </is>
      </c>
      <c r="D1194" s="22" t="inlineStr">
        <is>
          <t>2025년 04월</t>
        </is>
      </c>
      <c r="E1194" s="28" t="n">
        <v>23000</v>
      </c>
      <c r="F1194" s="28" t="n">
        <v>20700</v>
      </c>
      <c r="G1194" s="29" t="n">
        <v>49</v>
      </c>
      <c r="H1194" s="29" t="n">
        <v>282</v>
      </c>
      <c r="I1194" s="21" t="inlineStr">
        <is>
          <t>2025</t>
        </is>
      </c>
      <c r="J1194" s="21" t="inlineStr">
        <is>
          <t xml:space="preserve"> 0</t>
        </is>
      </c>
      <c r="K1194" s="30">
        <f>(E1194-F1194)/IF(E1194&gt;0,E1194,1)</f>
        <v/>
      </c>
    </row>
    <row r="1195">
      <c r="A1195" s="22" t="inlineStr">
        <is>
          <t>AI 대전환 시대, 질문을 디자인하라</t>
        </is>
      </c>
      <c r="B1195" s="22" t="inlineStr">
        <is>
          <t>김기진</t>
        </is>
      </c>
      <c r="C1195" s="22" t="inlineStr">
        <is>
          <t>에릭스토리</t>
        </is>
      </c>
      <c r="D1195" s="22" t="inlineStr">
        <is>
          <t>2025년 04월</t>
        </is>
      </c>
      <c r="E1195" s="28" t="n">
        <v>15000</v>
      </c>
      <c r="F1195" s="28" t="n">
        <v>13500</v>
      </c>
      <c r="G1195" s="29" t="n">
        <v>1</v>
      </c>
      <c r="H1195" s="29" t="n">
        <v>252</v>
      </c>
      <c r="I1195" s="21" t="inlineStr">
        <is>
          <t>2025</t>
        </is>
      </c>
      <c r="J1195" s="21" t="inlineStr">
        <is>
          <t xml:space="preserve"> 0</t>
        </is>
      </c>
      <c r="K1195" s="30">
        <f>(E1195-F1195)/IF(E1195&gt;0,E1195,1)</f>
        <v/>
      </c>
    </row>
    <row r="1196">
      <c r="A1196" s="22" t="inlineStr">
        <is>
          <t>파이토치와 유니티 ML-Agents로 배우는 강화학습 [응용편]</t>
        </is>
      </c>
      <c r="B1196" s="22" t="inlineStr">
        <is>
          <t>민규식, 이현호, 박유민</t>
        </is>
      </c>
      <c r="C1196" s="22" t="inlineStr">
        <is>
          <t>위키북스</t>
        </is>
      </c>
      <c r="D1196" s="22" t="inlineStr">
        <is>
          <t>2025년 01월</t>
        </is>
      </c>
      <c r="E1196" s="28" t="n">
        <v>38000</v>
      </c>
      <c r="F1196" s="28" t="n">
        <v>34200</v>
      </c>
      <c r="G1196" s="29" t="n">
        <v>1</v>
      </c>
      <c r="H1196" s="29" t="n">
        <v>288</v>
      </c>
      <c r="I1196" s="21" t="inlineStr">
        <is>
          <t>2025</t>
        </is>
      </c>
      <c r="J1196" s="21" t="inlineStr">
        <is>
          <t xml:space="preserve"> 0</t>
        </is>
      </c>
      <c r="K1196" s="30">
        <f>(E1196-F1196)/IF(E1196&gt;0,E1196,1)</f>
        <v/>
      </c>
    </row>
    <row r="1197">
      <c r="A1197" s="22" t="inlineStr">
        <is>
          <t>포토샵 with AI</t>
        </is>
      </c>
      <c r="B1197" s="22" t="inlineStr">
        <is>
          <t>이문형</t>
        </is>
      </c>
      <c r="C1197" s="22" t="inlineStr">
        <is>
          <t>길벗캠퍼스</t>
        </is>
      </c>
      <c r="D1197" s="22" t="inlineStr">
        <is>
          <t>2024년 12월</t>
        </is>
      </c>
      <c r="E1197" s="28" t="n">
        <v>28000</v>
      </c>
      <c r="F1197" s="28" t="n">
        <v>28000</v>
      </c>
      <c r="G1197" s="29" t="n">
        <v>2</v>
      </c>
      <c r="H1197" s="29" t="n">
        <v>264</v>
      </c>
      <c r="I1197" s="21" t="inlineStr">
        <is>
          <t>2024</t>
        </is>
      </c>
      <c r="J1197" s="21" t="inlineStr">
        <is>
          <t xml:space="preserve"> 1</t>
        </is>
      </c>
      <c r="K1197" s="30">
        <f>(E1197-F1197)/IF(E1197&gt;0,E1197,1)</f>
        <v/>
      </c>
    </row>
    <row r="1198">
      <c r="A1198" s="22" t="inlineStr">
        <is>
          <t>파이썬과 AI 인공지능 카메라를 활용한 자율주행 자동차</t>
        </is>
      </c>
      <c r="B1198" s="22" t="inlineStr">
        <is>
          <t>장문철</t>
        </is>
      </c>
      <c r="C1198" s="22" t="inlineStr">
        <is>
          <t>앤써북</t>
        </is>
      </c>
      <c r="D1198" s="22" t="inlineStr">
        <is>
          <t>2024년 08월</t>
        </is>
      </c>
      <c r="E1198" s="28" t="n">
        <v>25500</v>
      </c>
      <c r="F1198" s="28" t="n">
        <v>22950</v>
      </c>
      <c r="G1198" s="29" t="n">
        <v>2</v>
      </c>
      <c r="H1198" s="29" t="n">
        <v>312</v>
      </c>
      <c r="I1198" s="21" t="inlineStr">
        <is>
          <t>2024</t>
        </is>
      </c>
      <c r="J1198" s="21" t="inlineStr">
        <is>
          <t xml:space="preserve"> 0</t>
        </is>
      </c>
      <c r="K1198" s="30">
        <f>(E1198-F1198)/IF(E1198&gt;0,E1198,1)</f>
        <v/>
      </c>
    </row>
    <row r="1199">
      <c r="A1199" s="22" t="inlineStr">
        <is>
          <t>생성형 AI 영상 제작 : 영화·애니메이션·광고·PPT·유튜브까지</t>
        </is>
      </c>
      <c r="B1199" s="22" t="inlineStr">
        <is>
          <t>김세원</t>
        </is>
      </c>
      <c r="C1199" s="22" t="inlineStr">
        <is>
          <t>책바세</t>
        </is>
      </c>
      <c r="D1199" s="22" t="inlineStr">
        <is>
          <t>2024년 07월</t>
        </is>
      </c>
      <c r="E1199" s="28" t="n">
        <v>24000</v>
      </c>
      <c r="F1199" s="28" t="n">
        <v>21600</v>
      </c>
      <c r="G1199" s="29" t="n">
        <v>7</v>
      </c>
      <c r="H1199" s="29" t="n">
        <v>264</v>
      </c>
      <c r="I1199" s="21" t="inlineStr">
        <is>
          <t>2024</t>
        </is>
      </c>
      <c r="J1199" s="21" t="inlineStr">
        <is>
          <t xml:space="preserve"> 0</t>
        </is>
      </c>
      <c r="K1199" s="30">
        <f>(E1199-F1199)/IF(E1199&gt;0,E1199,1)</f>
        <v/>
      </c>
    </row>
    <row r="1200">
      <c r="A1200" s="22" t="inlineStr">
        <is>
          <t>AI 원더랜드</t>
        </is>
      </c>
      <c r="B1200" s="22" t="inlineStr">
        <is>
          <t>안재홍</t>
        </is>
      </c>
      <c r="C1200" s="22" t="inlineStr">
        <is>
          <t>길벗</t>
        </is>
      </c>
      <c r="D1200" s="22" t="inlineStr">
        <is>
          <t>2024년 05월</t>
        </is>
      </c>
      <c r="E1200" s="28" t="n">
        <v>25000</v>
      </c>
      <c r="F1200" s="28" t="n">
        <v>22500</v>
      </c>
      <c r="G1200" s="29" t="n">
        <v>9</v>
      </c>
      <c r="H1200" s="29" t="n">
        <v>264</v>
      </c>
      <c r="I1200" s="21" t="inlineStr">
        <is>
          <t>2024</t>
        </is>
      </c>
      <c r="J1200" s="21" t="inlineStr">
        <is>
          <t xml:space="preserve"> 0</t>
        </is>
      </c>
      <c r="K1200" s="30">
        <f>(E1200-F1200)/IF(E1200&gt;0,E1200,1)</f>
        <v/>
      </c>
    </row>
    <row r="1201">
      <c r="A1201" s="22" t="inlineStr">
        <is>
          <t>데일리 프롬프트 101</t>
        </is>
      </c>
      <c r="B1201" s="22" t="inlineStr">
        <is>
          <t>최소영</t>
        </is>
      </c>
      <c r="C1201" s="22" t="inlineStr">
        <is>
          <t>루비페이퍼</t>
        </is>
      </c>
      <c r="D1201" s="22" t="inlineStr">
        <is>
          <t>2024년 04월</t>
        </is>
      </c>
      <c r="E1201" s="28" t="n">
        <v>20000</v>
      </c>
      <c r="F1201" s="28" t="n">
        <v>18000</v>
      </c>
      <c r="G1201" s="29" t="n">
        <v>11</v>
      </c>
      <c r="H1201" s="29" t="n">
        <v>300</v>
      </c>
      <c r="I1201" s="21" t="inlineStr">
        <is>
          <t>2024</t>
        </is>
      </c>
      <c r="J1201" s="21" t="inlineStr">
        <is>
          <t xml:space="preserve"> 0</t>
        </is>
      </c>
      <c r="K1201" s="30">
        <f>(E1201-F1201)/IF(E1201&gt;0,E1201,1)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9" customWidth="1" min="3" max="3"/>
    <col width="14" customWidth="1" min="4" max="4"/>
    <col width="20" customWidth="1" min="5" max="5"/>
    <col width="20" customWidth="1" min="6" max="6"/>
    <col width="16" customWidth="1" min="7" max="7"/>
    <col width="16" customWidth="1" min="8" max="8"/>
    <col width="11" customWidth="1" min="9" max="9"/>
    <col width="10" customWidth="1" min="10" max="10"/>
    <col width="33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생성형 AI 시대 수학 교육</t>
        </is>
      </c>
      <c r="B2" s="22" t="inlineStr">
        <is>
          <t>유주연, 정민주</t>
        </is>
      </c>
      <c r="C2" s="22" t="inlineStr">
        <is>
          <t>커뮤니케이션북스</t>
        </is>
      </c>
      <c r="D2" s="22" t="inlineStr">
        <is>
          <t>2026년 03월</t>
        </is>
      </c>
      <c r="E2" s="28" t="n">
        <v>12000</v>
      </c>
      <c r="F2" s="28" t="n">
        <v>12000</v>
      </c>
      <c r="G2" s="29" t="n">
        <v>0</v>
      </c>
      <c r="H2" s="29" t="n">
        <v>246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AI 수업 설계</t>
        </is>
      </c>
      <c r="B3" s="22" t="inlineStr">
        <is>
          <t>이다연</t>
        </is>
      </c>
      <c r="C3" s="22" t="inlineStr">
        <is>
          <t>커뮤니케이션북스</t>
        </is>
      </c>
      <c r="D3" s="22" t="inlineStr">
        <is>
          <t>2026년 05월</t>
        </is>
      </c>
      <c r="E3" s="28" t="n">
        <v>12000</v>
      </c>
      <c r="F3" s="28" t="n">
        <v>12000</v>
      </c>
      <c r="G3" s="29" t="n">
        <v>0</v>
      </c>
      <c r="H3" s="29" t="n">
        <v>144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AI 로봇 공학의 철학적 뿌리</t>
        </is>
      </c>
      <c r="B4" s="22" t="inlineStr">
        <is>
          <t>박우석</t>
        </is>
      </c>
      <c r="C4" s="22" t="inlineStr">
        <is>
          <t>커뮤니케이션북스</t>
        </is>
      </c>
      <c r="D4" s="22" t="inlineStr">
        <is>
          <t>2025년 11월</t>
        </is>
      </c>
      <c r="E4" s="28" t="n">
        <v>12000</v>
      </c>
      <c r="F4" s="28" t="n">
        <v>12000</v>
      </c>
      <c r="G4" s="29" t="n">
        <v>0</v>
      </c>
      <c r="H4" s="29" t="n">
        <v>108</v>
      </c>
      <c r="I4" s="21" t="inlineStr">
        <is>
          <t>2025</t>
        </is>
      </c>
      <c r="J4" s="21" t="inlineStr">
        <is>
          <t xml:space="preserve"> 1</t>
        </is>
      </c>
      <c r="K4" s="30">
        <f>(E4-F4)/IF(E4&gt;0,E4,1)</f>
        <v/>
      </c>
    </row>
    <row r="5">
      <c r="A5" s="22" t="inlineStr">
        <is>
          <t>인공지능과 의식</t>
        </is>
      </c>
      <c r="B5" s="22" t="inlineStr">
        <is>
          <t>한정규</t>
        </is>
      </c>
      <c r="C5" s="22" t="inlineStr">
        <is>
          <t>커뮤니케이션북스</t>
        </is>
      </c>
      <c r="D5" s="22" t="inlineStr">
        <is>
          <t>2025년 05월</t>
        </is>
      </c>
      <c r="E5" s="28" t="n">
        <v>12000</v>
      </c>
      <c r="F5" s="28" t="n">
        <v>12000</v>
      </c>
      <c r="G5" s="29" t="n">
        <v>1</v>
      </c>
      <c r="H5" s="29" t="n">
        <v>108</v>
      </c>
      <c r="I5" s="21" t="inlineStr">
        <is>
          <t>2025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생성형 AI와 워터마크</t>
        </is>
      </c>
      <c r="B6" s="22" t="inlineStr">
        <is>
          <t>소병수</t>
        </is>
      </c>
      <c r="C6" s="22" t="inlineStr">
        <is>
          <t>커뮤니케이션북스</t>
        </is>
      </c>
      <c r="D6" s="22" t="inlineStr">
        <is>
          <t>2025년 03월</t>
        </is>
      </c>
      <c r="E6" s="28" t="n">
        <v>12000</v>
      </c>
      <c r="F6" s="28" t="n">
        <v>12000</v>
      </c>
      <c r="G6" s="29" t="n">
        <v>1</v>
      </c>
      <c r="H6" s="29" t="n">
        <v>72</v>
      </c>
      <c r="I6" s="21" t="inlineStr">
        <is>
          <t>2025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생성형 AI와 사변적 디자인</t>
        </is>
      </c>
      <c r="B7" s="22" t="inlineStr">
        <is>
          <t>장순규</t>
        </is>
      </c>
      <c r="C7" s="22" t="inlineStr">
        <is>
          <t>커뮤니케이션북스</t>
        </is>
      </c>
      <c r="D7" s="22" t="inlineStr">
        <is>
          <t>2026년 04월</t>
        </is>
      </c>
      <c r="E7" s="28" t="n">
        <v>12000</v>
      </c>
      <c r="F7" s="28" t="n">
        <v>12000</v>
      </c>
      <c r="G7" s="29" t="n">
        <v>0</v>
      </c>
      <c r="H7" s="29" t="n">
        <v>90</v>
      </c>
      <c r="I7" s="21" t="inlineStr">
        <is>
          <t>2026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AI와 다도 교육</t>
        </is>
      </c>
      <c r="B8" s="22" t="inlineStr">
        <is>
          <t>경혜영, 윤병화</t>
        </is>
      </c>
      <c r="C8" s="22" t="inlineStr">
        <is>
          <t>커뮤니케이션북스</t>
        </is>
      </c>
      <c r="D8" s="22" t="inlineStr">
        <is>
          <t>2025년 12월</t>
        </is>
      </c>
      <c r="E8" s="28" t="n">
        <v>12000</v>
      </c>
      <c r="F8" s="28" t="n">
        <v>12000</v>
      </c>
      <c r="G8" s="29" t="n">
        <v>0</v>
      </c>
      <c r="H8" s="29" t="n">
        <v>72</v>
      </c>
      <c r="I8" s="21" t="inlineStr">
        <is>
          <t>2025</t>
        </is>
      </c>
      <c r="J8" s="21" t="inlineStr">
        <is>
          <t xml:space="preserve"> 1</t>
        </is>
      </c>
      <c r="K8" s="30">
        <f>(E8-F8)/IF(E8&gt;0,E8,1)</f>
        <v/>
      </c>
    </row>
    <row r="9">
      <c r="A9" s="22" t="inlineStr">
        <is>
          <t>AI와 신용 평가</t>
        </is>
      </c>
      <c r="B9" s="22" t="inlineStr">
        <is>
          <t>최성민</t>
        </is>
      </c>
      <c r="C9" s="22" t="inlineStr">
        <is>
          <t>커뮤니케이션북스</t>
        </is>
      </c>
      <c r="D9" s="22" t="inlineStr">
        <is>
          <t>2024년 11월</t>
        </is>
      </c>
      <c r="E9" s="28" t="n">
        <v>12000</v>
      </c>
      <c r="F9" s="28" t="n">
        <v>12000</v>
      </c>
      <c r="G9" s="29" t="n">
        <v>5</v>
      </c>
      <c r="H9" s="29" t="n">
        <v>72</v>
      </c>
      <c r="I9" s="21" t="inlineStr">
        <is>
          <t>2024</t>
        </is>
      </c>
      <c r="J9" s="21" t="inlineStr">
        <is>
          <t xml:space="preserve"> 1</t>
        </is>
      </c>
      <c r="K9" s="30">
        <f>(E9-F9)/IF(E9&gt;0,E9,1)</f>
        <v/>
      </c>
    </row>
    <row r="10">
      <c r="A10" s="22" t="inlineStr">
        <is>
          <t>AI 프롬프트와 토픽 모델링</t>
        </is>
      </c>
      <c r="B10" s="22" t="inlineStr">
        <is>
          <t>정동균, 이종화</t>
        </is>
      </c>
      <c r="C10" s="22" t="inlineStr">
        <is>
          <t>커뮤니케이션북스</t>
        </is>
      </c>
      <c r="D10" s="22" t="inlineStr">
        <is>
          <t>2026년 05월</t>
        </is>
      </c>
      <c r="E10" s="28" t="n">
        <v>12000</v>
      </c>
      <c r="F10" s="28" t="n">
        <v>12000</v>
      </c>
      <c r="G10" s="29" t="n">
        <v>0</v>
      </c>
      <c r="H10" s="29" t="n">
        <v>270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AI 시대의 질적 연구</t>
        </is>
      </c>
      <c r="B11" s="22" t="inlineStr">
        <is>
          <t>김영순</t>
        </is>
      </c>
      <c r="C11" s="22" t="inlineStr">
        <is>
          <t>커뮤니케이션북스</t>
        </is>
      </c>
      <c r="D11" s="22" t="inlineStr">
        <is>
          <t>2026년 03월</t>
        </is>
      </c>
      <c r="E11" s="28" t="n">
        <v>12000</v>
      </c>
      <c r="F11" s="28" t="n">
        <v>12000</v>
      </c>
      <c r="G11" s="29" t="n">
        <v>0</v>
      </c>
      <c r="H11" s="29" t="n">
        <v>234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생성형 AI와 스마트 물류 혁신</t>
        </is>
      </c>
      <c r="B12" s="22" t="inlineStr">
        <is>
          <t>정재엽</t>
        </is>
      </c>
      <c r="C12" s="22" t="inlineStr">
        <is>
          <t>커뮤니케이션북스</t>
        </is>
      </c>
      <c r="D12" s="22" t="inlineStr">
        <is>
          <t>2026년 04월</t>
        </is>
      </c>
      <c r="E12" s="28" t="n">
        <v>12000</v>
      </c>
      <c r="F12" s="28" t="n">
        <v>12000</v>
      </c>
      <c r="G12" s="29" t="n">
        <v>0</v>
      </c>
      <c r="H12" s="29" t="n">
        <v>144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저전력 AI 반도체</t>
        </is>
      </c>
      <c r="B13" s="22" t="inlineStr">
        <is>
          <t>최종수</t>
        </is>
      </c>
      <c r="C13" s="22" t="inlineStr">
        <is>
          <t>커뮤니케이션북스</t>
        </is>
      </c>
      <c r="D13" s="22" t="inlineStr">
        <is>
          <t>2025년 03월</t>
        </is>
      </c>
      <c r="E13" s="28" t="n">
        <v>12000</v>
      </c>
      <c r="F13" s="28" t="n">
        <v>12000</v>
      </c>
      <c r="G13" s="29" t="n">
        <v>0</v>
      </c>
      <c r="H13" s="29" t="n">
        <v>216</v>
      </c>
      <c r="I13" s="21" t="inlineStr">
        <is>
          <t>2025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AI와 청소년 윤리 교육</t>
        </is>
      </c>
      <c r="B14" s="22" t="inlineStr">
        <is>
          <t>고정아</t>
        </is>
      </c>
      <c r="C14" s="22" t="inlineStr">
        <is>
          <t>커뮤니케이션북스</t>
        </is>
      </c>
      <c r="D14" s="22" t="inlineStr">
        <is>
          <t>2026년 04월</t>
        </is>
      </c>
      <c r="E14" s="28" t="n">
        <v>12000</v>
      </c>
      <c r="F14" s="28" t="n">
        <v>12000</v>
      </c>
      <c r="G14" s="29" t="n">
        <v>0</v>
      </c>
      <c r="H14" s="29" t="n">
        <v>168</v>
      </c>
      <c r="I14" s="21" t="inlineStr">
        <is>
          <t>2026</t>
        </is>
      </c>
      <c r="J14" s="21" t="inlineStr">
        <is>
          <t xml:space="preserve"> 0</t>
        </is>
      </c>
      <c r="K14" s="30">
        <f>(E14-F14)/IF(E14&gt;0,E14,1)</f>
        <v/>
      </c>
    </row>
    <row r="15">
      <c r="A15" s="22" t="inlineStr">
        <is>
          <t>AI와 교사 평가의 재구성</t>
        </is>
      </c>
      <c r="B15" s="22" t="inlineStr">
        <is>
          <t>최진영</t>
        </is>
      </c>
      <c r="C15" s="22" t="inlineStr">
        <is>
          <t>커뮤니케이션북스</t>
        </is>
      </c>
      <c r="D15" s="22" t="inlineStr">
        <is>
          <t>2026년 04월</t>
        </is>
      </c>
      <c r="E15" s="28" t="n">
        <v>12000</v>
      </c>
      <c r="F15" s="28" t="n">
        <v>12000</v>
      </c>
      <c r="G15" s="29" t="n">
        <v>0</v>
      </c>
      <c r="H15" s="29" t="n">
        <v>168</v>
      </c>
      <c r="I15" s="21" t="inlineStr">
        <is>
          <t>2026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AI와 스마트팜</t>
        </is>
      </c>
      <c r="B16" s="22" t="inlineStr">
        <is>
          <t>이상연</t>
        </is>
      </c>
      <c r="C16" s="22" t="inlineStr">
        <is>
          <t>커뮤니케이션북스</t>
        </is>
      </c>
      <c r="D16" s="22" t="inlineStr">
        <is>
          <t>2025년 05월</t>
        </is>
      </c>
      <c r="E16" s="28" t="n">
        <v>12000</v>
      </c>
      <c r="F16" s="28" t="n">
        <v>12000</v>
      </c>
      <c r="G16" s="29" t="n">
        <v>0</v>
      </c>
      <c r="H16" s="29" t="n">
        <v>252</v>
      </c>
      <c r="I16" s="21" t="inlineStr">
        <is>
          <t>2025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AI와 역사학</t>
        </is>
      </c>
      <c r="B17" s="22" t="inlineStr">
        <is>
          <t>이상국</t>
        </is>
      </c>
      <c r="C17" s="22" t="inlineStr">
        <is>
          <t>커뮤니케이션북스</t>
        </is>
      </c>
      <c r="D17" s="22" t="inlineStr">
        <is>
          <t>2024년 12월</t>
        </is>
      </c>
      <c r="E17" s="28" t="n">
        <v>12000</v>
      </c>
      <c r="F17" s="28" t="n">
        <v>11400</v>
      </c>
      <c r="G17" s="29" t="n">
        <v>0</v>
      </c>
      <c r="H17" s="29" t="n">
        <v>258</v>
      </c>
      <c r="I17" s="21" t="inlineStr">
        <is>
          <t>2024</t>
        </is>
      </c>
      <c r="J17" s="21" t="inlineStr">
        <is>
          <t xml:space="preserve"> 1</t>
        </is>
      </c>
      <c r="K17" s="30">
        <f>(E17-F17)/IF(E17&gt;0,E17,1)</f>
        <v/>
      </c>
    </row>
    <row r="18">
      <c r="A18" s="22" t="inlineStr">
        <is>
          <t>AI와 알고리즘적 구제</t>
        </is>
      </c>
      <c r="B18" s="22" t="inlineStr">
        <is>
          <t>양문일</t>
        </is>
      </c>
      <c r="C18" s="22" t="inlineStr">
        <is>
          <t>커뮤니케이션북스</t>
        </is>
      </c>
      <c r="D18" s="22" t="inlineStr">
        <is>
          <t>2026년 05월</t>
        </is>
      </c>
      <c r="E18" s="28" t="n">
        <v>12000</v>
      </c>
      <c r="F18" s="28" t="n">
        <v>12000</v>
      </c>
      <c r="G18" s="29" t="n">
        <v>0</v>
      </c>
      <c r="H18" s="29" t="n">
        <v>210</v>
      </c>
      <c r="I18" s="21" t="inlineStr">
        <is>
          <t>2026</t>
        </is>
      </c>
      <c r="J18" s="21" t="inlineStr">
        <is>
          <t xml:space="preserve"> 0</t>
        </is>
      </c>
      <c r="K18" s="30">
        <f>(E18-F18)/IF(E18&gt;0,E18,1)</f>
        <v/>
      </c>
    </row>
    <row r="19">
      <c r="A19" s="22" t="inlineStr">
        <is>
          <t>AI와 다크팩토리</t>
        </is>
      </c>
      <c r="B19" s="22" t="inlineStr">
        <is>
          <t>박인선</t>
        </is>
      </c>
      <c r="C19" s="22" t="inlineStr">
        <is>
          <t>커뮤니케이션북스</t>
        </is>
      </c>
      <c r="D19" s="22" t="inlineStr">
        <is>
          <t>2026년 04월</t>
        </is>
      </c>
      <c r="E19" s="28" t="n">
        <v>12000</v>
      </c>
      <c r="F19" s="28" t="n">
        <v>12000</v>
      </c>
      <c r="G19" s="29" t="n">
        <v>0</v>
      </c>
      <c r="H19" s="29" t="n">
        <v>204</v>
      </c>
      <c r="I19" s="21" t="inlineStr">
        <is>
          <t>2026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AI 부동산 서비스와 내 집 마련</t>
        </is>
      </c>
      <c r="B20" s="22" t="inlineStr">
        <is>
          <t>심규진, 김민성</t>
        </is>
      </c>
      <c r="C20" s="22" t="inlineStr">
        <is>
          <t>커뮤니케이션북스</t>
        </is>
      </c>
      <c r="D20" s="22" t="inlineStr">
        <is>
          <t>2026년 04월</t>
        </is>
      </c>
      <c r="E20" s="28" t="n">
        <v>12000</v>
      </c>
      <c r="F20" s="28" t="n">
        <v>12000</v>
      </c>
      <c r="G20" s="29" t="n">
        <v>0</v>
      </c>
      <c r="H20" s="29" t="n">
        <v>162</v>
      </c>
      <c r="I20" s="21" t="inlineStr">
        <is>
          <t>2026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AI와 양자컴퓨터</t>
        </is>
      </c>
      <c r="B21" s="22" t="inlineStr">
        <is>
          <t>최종수</t>
        </is>
      </c>
      <c r="C21" s="22" t="inlineStr">
        <is>
          <t>커뮤니케이션북스</t>
        </is>
      </c>
      <c r="D21" s="22" t="inlineStr">
        <is>
          <t>2026년 01월</t>
        </is>
      </c>
      <c r="E21" s="28" t="n">
        <v>12000</v>
      </c>
      <c r="F21" s="28" t="n">
        <v>12000</v>
      </c>
      <c r="G21" s="29" t="n">
        <v>0</v>
      </c>
      <c r="H21" s="29" t="n">
        <v>150</v>
      </c>
      <c r="I21" s="21" t="inlineStr">
        <is>
          <t>2026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AI와 조직 문화</t>
        </is>
      </c>
      <c r="B22" s="22" t="inlineStr">
        <is>
          <t>배득형, 이중학</t>
        </is>
      </c>
      <c r="C22" s="22" t="inlineStr">
        <is>
          <t>커뮤니케이션북스</t>
        </is>
      </c>
      <c r="D22" s="22" t="inlineStr">
        <is>
          <t>2026년 04월</t>
        </is>
      </c>
      <c r="E22" s="28" t="n">
        <v>12000</v>
      </c>
      <c r="F22" s="28" t="n">
        <v>12000</v>
      </c>
      <c r="G22" s="29" t="n">
        <v>0</v>
      </c>
      <c r="H22" s="29" t="n">
        <v>108</v>
      </c>
      <c r="I22" s="21" t="inlineStr">
        <is>
          <t>2026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자율 운항 선박</t>
        </is>
      </c>
      <c r="B23" s="22" t="inlineStr">
        <is>
          <t>남궁호, 김주성, 이진석, 장다운</t>
        </is>
      </c>
      <c r="C23" s="22" t="inlineStr">
        <is>
          <t>커뮤니케이션북스</t>
        </is>
      </c>
      <c r="D23" s="22" t="inlineStr">
        <is>
          <t>2026년 03월</t>
        </is>
      </c>
      <c r="E23" s="28" t="n">
        <v>12000</v>
      </c>
      <c r="F23" s="28" t="n">
        <v>12000</v>
      </c>
      <c r="G23" s="29" t="n">
        <v>0</v>
      </c>
      <c r="H23" s="29" t="n">
        <v>180</v>
      </c>
      <c r="I23" s="21" t="inlineStr">
        <is>
          <t>2026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메타버스와 AI 콘텐츠</t>
        </is>
      </c>
      <c r="B24" s="22" t="inlineStr">
        <is>
          <t>정윤경</t>
        </is>
      </c>
      <c r="C24" s="22" t="inlineStr">
        <is>
          <t>커뮤니케이션북스</t>
        </is>
      </c>
      <c r="D24" s="22" t="inlineStr">
        <is>
          <t>2026년 04월</t>
        </is>
      </c>
      <c r="E24" s="28" t="n">
        <v>12000</v>
      </c>
      <c r="F24" s="28" t="n">
        <v>12000</v>
      </c>
      <c r="G24" s="29" t="n">
        <v>0</v>
      </c>
      <c r="H24" s="29" t="n">
        <v>114</v>
      </c>
      <c r="I24" s="21" t="inlineStr">
        <is>
          <t>2026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AI와 회화 문화유산 복원</t>
        </is>
      </c>
      <c r="B25" s="22" t="inlineStr">
        <is>
          <t>정두희</t>
        </is>
      </c>
      <c r="C25" s="22" t="inlineStr">
        <is>
          <t>커뮤니케이션북스</t>
        </is>
      </c>
      <c r="D25" s="22" t="inlineStr">
        <is>
          <t>2026년 04월</t>
        </is>
      </c>
      <c r="E25" s="28" t="n">
        <v>12000</v>
      </c>
      <c r="F25" s="28" t="n">
        <v>12000</v>
      </c>
      <c r="G25" s="29" t="n">
        <v>0</v>
      </c>
      <c r="H25" s="29" t="n">
        <v>114</v>
      </c>
      <c r="I25" s="21" t="inlineStr">
        <is>
          <t>2026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AI 자가 설계</t>
        </is>
      </c>
      <c r="B26" s="22" t="inlineStr">
        <is>
          <t>최성자</t>
        </is>
      </c>
      <c r="C26" s="22" t="inlineStr">
        <is>
          <t>커뮤니케이션북스</t>
        </is>
      </c>
      <c r="D26" s="22" t="inlineStr">
        <is>
          <t>2026년 04월</t>
        </is>
      </c>
      <c r="E26" s="28" t="n">
        <v>12000</v>
      </c>
      <c r="F26" s="28" t="n">
        <v>12000</v>
      </c>
      <c r="G26" s="29" t="n">
        <v>0</v>
      </c>
      <c r="H26" s="29" t="n">
        <v>114</v>
      </c>
      <c r="I26" s="21" t="inlineStr">
        <is>
          <t>2026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AI와 사용자 경험</t>
        </is>
      </c>
      <c r="B27" s="22" t="inlineStr">
        <is>
          <t>이윤</t>
        </is>
      </c>
      <c r="C27" s="22" t="inlineStr">
        <is>
          <t>커뮤니케이션북스</t>
        </is>
      </c>
      <c r="D27" s="22" t="inlineStr">
        <is>
          <t>2026년 04월</t>
        </is>
      </c>
      <c r="E27" s="28" t="n">
        <v>12000</v>
      </c>
      <c r="F27" s="28" t="n">
        <v>12000</v>
      </c>
      <c r="G27" s="29" t="n">
        <v>0</v>
      </c>
      <c r="H27" s="29" t="n">
        <v>114</v>
      </c>
      <c r="I27" s="21" t="inlineStr">
        <is>
          <t>2026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어린이를 위한 AI 리터러시</t>
        </is>
      </c>
      <c r="B28" s="22" t="inlineStr">
        <is>
          <t>심진아, 박수원</t>
        </is>
      </c>
      <c r="C28" s="22" t="inlineStr">
        <is>
          <t>커뮤니케이션북스</t>
        </is>
      </c>
      <c r="D28" s="22" t="inlineStr">
        <is>
          <t>2026년 03월</t>
        </is>
      </c>
      <c r="E28" s="28" t="n">
        <v>12000</v>
      </c>
      <c r="F28" s="28" t="n">
        <v>12000</v>
      </c>
      <c r="G28" s="29" t="n">
        <v>0</v>
      </c>
      <c r="H28" s="29" t="n">
        <v>114</v>
      </c>
      <c r="I28" s="21" t="inlineStr">
        <is>
          <t>2026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AI와 리더십 공학</t>
        </is>
      </c>
      <c r="B29" s="22" t="inlineStr">
        <is>
          <t>김문경</t>
        </is>
      </c>
      <c r="C29" s="22" t="inlineStr">
        <is>
          <t>커뮤니케이션북스</t>
        </is>
      </c>
      <c r="D29" s="22" t="inlineStr">
        <is>
          <t>2026년 05월</t>
        </is>
      </c>
      <c r="E29" s="28" t="n">
        <v>12000</v>
      </c>
      <c r="F29" s="28" t="n">
        <v>12000</v>
      </c>
      <c r="G29" s="29" t="n">
        <v>0</v>
      </c>
      <c r="H29" s="29" t="n">
        <v>84</v>
      </c>
      <c r="I29" s="21" t="inlineStr">
        <is>
          <t>2026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AI와 규제샌드박스</t>
        </is>
      </c>
      <c r="B30" s="22" t="inlineStr">
        <is>
          <t>최해옥</t>
        </is>
      </c>
      <c r="C30" s="22" t="inlineStr">
        <is>
          <t>커뮤니케이션북스</t>
        </is>
      </c>
      <c r="D30" s="22" t="inlineStr">
        <is>
          <t>2026년 05월</t>
        </is>
      </c>
      <c r="E30" s="28" t="n">
        <v>12000</v>
      </c>
      <c r="F30" s="28" t="n">
        <v>12000</v>
      </c>
      <c r="G30" s="29" t="n">
        <v>0</v>
      </c>
      <c r="H30" s="29" t="n">
        <v>84</v>
      </c>
      <c r="I30" s="21" t="inlineStr">
        <is>
          <t>2026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AI 시대의 행정자동결정</t>
        </is>
      </c>
      <c r="B31" s="22" t="inlineStr">
        <is>
          <t>정남철</t>
        </is>
      </c>
      <c r="C31" s="22" t="inlineStr">
        <is>
          <t>커뮤니케이션북스</t>
        </is>
      </c>
      <c r="D31" s="22" t="inlineStr">
        <is>
          <t>2026년 05월</t>
        </is>
      </c>
      <c r="E31" s="28" t="n">
        <v>12000</v>
      </c>
      <c r="F31" s="28" t="n">
        <v>12000</v>
      </c>
      <c r="G31" s="29" t="n">
        <v>0</v>
      </c>
      <c r="H31" s="29" t="n">
        <v>138</v>
      </c>
      <c r="I31" s="21" t="inlineStr">
        <is>
          <t>2026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AI 에이전트와 인간 설득의 종말</t>
        </is>
      </c>
      <c r="B32" s="22" t="inlineStr">
        <is>
          <t>유경아</t>
        </is>
      </c>
      <c r="C32" s="22" t="inlineStr">
        <is>
          <t>커뮤니케이션북스</t>
        </is>
      </c>
      <c r="D32" s="22" t="inlineStr">
        <is>
          <t>2026년 04월</t>
        </is>
      </c>
      <c r="E32" s="28" t="n">
        <v>12000</v>
      </c>
      <c r="F32" s="28" t="n">
        <v>12000</v>
      </c>
      <c r="G32" s="29" t="n">
        <v>2</v>
      </c>
      <c r="H32" s="29" t="n">
        <v>186</v>
      </c>
      <c r="I32" s="21" t="inlineStr">
        <is>
          <t>2026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AI와 의사 결정</t>
        </is>
      </c>
      <c r="B33" s="22" t="inlineStr">
        <is>
          <t>이상석</t>
        </is>
      </c>
      <c r="C33" s="22" t="inlineStr">
        <is>
          <t>커뮤니케이션북스</t>
        </is>
      </c>
      <c r="D33" s="22" t="inlineStr">
        <is>
          <t>2026년 03월</t>
        </is>
      </c>
      <c r="E33" s="28" t="n">
        <v>12000</v>
      </c>
      <c r="F33" s="28" t="n">
        <v>12000</v>
      </c>
      <c r="G33" s="29" t="n">
        <v>0</v>
      </c>
      <c r="H33" s="29" t="n">
        <v>108</v>
      </c>
      <c r="I33" s="21" t="inlineStr">
        <is>
          <t>2026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AI와 과학 수업</t>
        </is>
      </c>
      <c r="B34" s="22" t="inlineStr">
        <is>
          <t>문선희, 김지연</t>
        </is>
      </c>
      <c r="C34" s="22" t="inlineStr">
        <is>
          <t>커뮤니케이션북스</t>
        </is>
      </c>
      <c r="D34" s="22" t="inlineStr">
        <is>
          <t>2025년 10월</t>
        </is>
      </c>
      <c r="E34" s="28" t="n">
        <v>12000</v>
      </c>
      <c r="F34" s="28" t="n">
        <v>12000</v>
      </c>
      <c r="G34" s="29" t="n">
        <v>0</v>
      </c>
      <c r="H34" s="29" t="n">
        <v>216</v>
      </c>
      <c r="I34" s="21" t="inlineStr">
        <is>
          <t>2025</t>
        </is>
      </c>
      <c r="J34" s="21" t="inlineStr">
        <is>
          <t xml:space="preserve"> 1</t>
        </is>
      </c>
      <c r="K34" s="30">
        <f>(E34-F34)/IF(E34&gt;0,E34,1)</f>
        <v/>
      </c>
    </row>
    <row r="35">
      <c r="A35" s="22" t="inlineStr">
        <is>
          <t>범죄와 AI</t>
        </is>
      </c>
      <c r="B35" s="22" t="inlineStr">
        <is>
          <t>정혜욱</t>
        </is>
      </c>
      <c r="C35" s="22" t="inlineStr">
        <is>
          <t>커뮤니케이션북스</t>
        </is>
      </c>
      <c r="D35" s="22" t="inlineStr">
        <is>
          <t>2024년 08월</t>
        </is>
      </c>
      <c r="E35" s="28" t="n">
        <v>12000</v>
      </c>
      <c r="F35" s="28" t="n">
        <v>12000</v>
      </c>
      <c r="G35" s="29" t="n">
        <v>0</v>
      </c>
      <c r="H35" s="29" t="n">
        <v>54</v>
      </c>
      <c r="I35" s="21" t="inlineStr">
        <is>
          <t>2024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AI와 부동산 복지</t>
        </is>
      </c>
      <c r="B36" s="22" t="inlineStr">
        <is>
          <t>김민근, 박성식, 백두진</t>
        </is>
      </c>
      <c r="C36" s="22" t="inlineStr">
        <is>
          <t>커뮤니케이션북스</t>
        </is>
      </c>
      <c r="D36" s="22" t="inlineStr">
        <is>
          <t>2026년 03월</t>
        </is>
      </c>
      <c r="E36" s="28" t="n">
        <v>12000</v>
      </c>
      <c r="F36" s="28" t="n">
        <v>12000</v>
      </c>
      <c r="G36" s="29" t="n">
        <v>0</v>
      </c>
      <c r="H36" s="29" t="n">
        <v>126</v>
      </c>
      <c r="I36" s="21" t="inlineStr">
        <is>
          <t>2026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AI와 미디어 윤리</t>
        </is>
      </c>
      <c r="B37" s="22" t="inlineStr">
        <is>
          <t>박선미</t>
        </is>
      </c>
      <c r="C37" s="22" t="inlineStr">
        <is>
          <t>커뮤니케이션북스</t>
        </is>
      </c>
      <c r="D37" s="22" t="inlineStr">
        <is>
          <t>2025년 04월</t>
        </is>
      </c>
      <c r="E37" s="28" t="n">
        <v>12000</v>
      </c>
      <c r="F37" s="28" t="n">
        <v>12000</v>
      </c>
      <c r="G37" s="29" t="n">
        <v>0</v>
      </c>
      <c r="H37" s="29" t="n">
        <v>108</v>
      </c>
      <c r="I37" s="21" t="inlineStr">
        <is>
          <t>2025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AI와 인권</t>
        </is>
      </c>
      <c r="B38" s="22" t="inlineStr">
        <is>
          <t>송시섭</t>
        </is>
      </c>
      <c r="C38" s="22" t="inlineStr">
        <is>
          <t>커뮤니케이션북스</t>
        </is>
      </c>
      <c r="D38" s="22" t="inlineStr">
        <is>
          <t>2025년 07월</t>
        </is>
      </c>
      <c r="E38" s="28" t="n">
        <v>12000</v>
      </c>
      <c r="F38" s="28" t="n">
        <v>12000</v>
      </c>
      <c r="G38" s="29" t="n">
        <v>0</v>
      </c>
      <c r="H38" s="29" t="n">
        <v>48</v>
      </c>
      <c r="I38" s="21" t="inlineStr">
        <is>
          <t>2025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2" t="inlineStr">
        <is>
          <t>AI와 마케팅 커뮤니케이션</t>
        </is>
      </c>
      <c r="B39" s="22" t="inlineStr">
        <is>
          <t>송유진</t>
        </is>
      </c>
      <c r="C39" s="22" t="inlineStr">
        <is>
          <t>커뮤니케이션북스</t>
        </is>
      </c>
      <c r="D39" s="22" t="inlineStr">
        <is>
          <t>2025년 07월</t>
        </is>
      </c>
      <c r="E39" s="28" t="n">
        <v>12000</v>
      </c>
      <c r="F39" s="28" t="n">
        <v>12000</v>
      </c>
      <c r="G39" s="29" t="n">
        <v>0</v>
      </c>
      <c r="H39" s="29" t="n">
        <v>96</v>
      </c>
      <c r="I39" s="21" t="inlineStr">
        <is>
          <t>2025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2" t="inlineStr">
        <is>
          <t>AI와 임신·출산·양육</t>
        </is>
      </c>
      <c r="B40" s="22" t="inlineStr">
        <is>
          <t>김헌식</t>
        </is>
      </c>
      <c r="C40" s="22" t="inlineStr">
        <is>
          <t>커뮤니케이션북스</t>
        </is>
      </c>
      <c r="D40" s="22" t="inlineStr">
        <is>
          <t>2026년 04월</t>
        </is>
      </c>
      <c r="E40" s="28" t="n">
        <v>12000</v>
      </c>
      <c r="F40" s="28" t="n">
        <v>12000</v>
      </c>
      <c r="G40" s="29" t="n">
        <v>0</v>
      </c>
      <c r="H40" s="29" t="n">
        <v>72</v>
      </c>
      <c r="I40" s="21" t="inlineStr">
        <is>
          <t>2026</t>
        </is>
      </c>
      <c r="J40" s="21" t="inlineStr">
        <is>
          <t xml:space="preserve"> 0</t>
        </is>
      </c>
      <c r="K40" s="30">
        <f>(E40-F40)/IF(E40&gt;0,E40,1)</f>
        <v/>
      </c>
    </row>
    <row r="41">
      <c r="A41" s="22" t="inlineStr">
        <is>
          <t>신세틱 서베이: AI 서베이</t>
        </is>
      </c>
      <c r="B41" s="22" t="inlineStr">
        <is>
          <t>오승호</t>
        </is>
      </c>
      <c r="C41" s="22" t="inlineStr">
        <is>
          <t>커뮤니케이션북스</t>
        </is>
      </c>
      <c r="D41" s="22" t="inlineStr">
        <is>
          <t>2026년 04월</t>
        </is>
      </c>
      <c r="E41" s="28" t="n">
        <v>12000</v>
      </c>
      <c r="F41" s="28" t="n">
        <v>12000</v>
      </c>
      <c r="G41" s="29" t="n">
        <v>0</v>
      </c>
      <c r="H41" s="29" t="n">
        <v>60</v>
      </c>
      <c r="I41" s="21" t="inlineStr">
        <is>
          <t>2026</t>
        </is>
      </c>
      <c r="J41" s="21" t="inlineStr">
        <is>
          <t xml:space="preserve"> 0</t>
        </is>
      </c>
      <c r="K41" s="30">
        <f>(E41-F41)/IF(E41&gt;0,E41,1)</f>
        <v/>
      </c>
    </row>
    <row r="42">
      <c r="A42" s="22" t="inlineStr">
        <is>
          <t>LLM 활용과 국방</t>
        </is>
      </c>
      <c r="B42" s="22" t="inlineStr">
        <is>
          <t>이성호, 이소울, 유희철, 박상수, 김우현</t>
        </is>
      </c>
      <c r="C42" s="22" t="inlineStr">
        <is>
          <t>커뮤니케이션북스</t>
        </is>
      </c>
      <c r="D42" s="22" t="inlineStr">
        <is>
          <t>2026년 04월</t>
        </is>
      </c>
      <c r="E42" s="28" t="n">
        <v>12000</v>
      </c>
      <c r="F42" s="28" t="n">
        <v>12000</v>
      </c>
      <c r="G42" s="29" t="n">
        <v>0</v>
      </c>
      <c r="H42" s="29" t="n">
        <v>60</v>
      </c>
      <c r="I42" s="21" t="inlineStr">
        <is>
          <t>2026</t>
        </is>
      </c>
      <c r="J42" s="21" t="inlineStr">
        <is>
          <t xml:space="preserve"> 0</t>
        </is>
      </c>
      <c r="K42" s="30">
        <f>(E42-F42)/IF(E42&gt;0,E42,1)</f>
        <v/>
      </c>
    </row>
    <row r="43">
      <c r="A43" s="22" t="inlineStr">
        <is>
          <t>AI와 군자론</t>
        </is>
      </c>
      <c r="B43" s="22" t="inlineStr">
        <is>
          <t>이승형</t>
        </is>
      </c>
      <c r="C43" s="22" t="inlineStr">
        <is>
          <t>커뮤니케이션북스</t>
        </is>
      </c>
      <c r="D43" s="22" t="inlineStr">
        <is>
          <t>2026년 04월</t>
        </is>
      </c>
      <c r="E43" s="28" t="n">
        <v>12000</v>
      </c>
      <c r="F43" s="28" t="n">
        <v>12000</v>
      </c>
      <c r="G43" s="29" t="n">
        <v>0</v>
      </c>
      <c r="H43" s="29" t="n">
        <v>84</v>
      </c>
      <c r="I43" s="21" t="inlineStr">
        <is>
          <t>2026</t>
        </is>
      </c>
      <c r="J43" s="21" t="inlineStr">
        <is>
          <t xml:space="preserve"> 0</t>
        </is>
      </c>
      <c r="K43" s="30">
        <f>(E43-F43)/IF(E43&gt;0,E43,1)</f>
        <v/>
      </c>
    </row>
    <row r="44">
      <c r="A44" s="22" t="inlineStr">
        <is>
          <t>AGI 시대의 가추적 사유</t>
        </is>
      </c>
      <c r="B44" s="22" t="inlineStr">
        <is>
          <t>서준호</t>
        </is>
      </c>
      <c r="C44" s="22" t="inlineStr">
        <is>
          <t>커뮤니케이션북스</t>
        </is>
      </c>
      <c r="D44" s="22" t="inlineStr">
        <is>
          <t>2026년 04월</t>
        </is>
      </c>
      <c r="E44" s="28" t="n">
        <v>12000</v>
      </c>
      <c r="F44" s="28" t="n">
        <v>12000</v>
      </c>
      <c r="G44" s="29" t="n">
        <v>0</v>
      </c>
      <c r="H44" s="29" t="n">
        <v>90</v>
      </c>
      <c r="I44" s="21" t="inlineStr">
        <is>
          <t>2026</t>
        </is>
      </c>
      <c r="J44" s="21" t="inlineStr">
        <is>
          <t xml:space="preserve"> 0</t>
        </is>
      </c>
      <c r="K44" s="30">
        <f>(E44-F44)/IF(E44&gt;0,E44,1)</f>
        <v/>
      </c>
    </row>
    <row r="45">
      <c r="A45" s="22" t="inlineStr">
        <is>
          <t>AGI와 SAI: 차세대 인공지능의 진화</t>
        </is>
      </c>
      <c r="B45" s="22" t="inlineStr">
        <is>
          <t>이정헌</t>
        </is>
      </c>
      <c r="C45" s="22" t="inlineStr">
        <is>
          <t>커뮤니케이션북스</t>
        </is>
      </c>
      <c r="D45" s="22" t="inlineStr">
        <is>
          <t>2026년 04월</t>
        </is>
      </c>
      <c r="E45" s="28" t="n">
        <v>12000</v>
      </c>
      <c r="F45" s="28" t="n">
        <v>12000</v>
      </c>
      <c r="G45" s="29" t="n">
        <v>0</v>
      </c>
      <c r="H45" s="29" t="n">
        <v>60</v>
      </c>
      <c r="I45" s="21" t="inlineStr">
        <is>
          <t>2026</t>
        </is>
      </c>
      <c r="J45" s="21" t="inlineStr">
        <is>
          <t xml:space="preserve"> 0</t>
        </is>
      </c>
      <c r="K45" s="30">
        <f>(E45-F45)/IF(E45&gt;0,E45,1)</f>
        <v/>
      </c>
    </row>
    <row r="46">
      <c r="A46" s="22" t="inlineStr">
        <is>
          <t>제조업 AI 내재화와 기술 경영</t>
        </is>
      </c>
      <c r="B46" s="22" t="inlineStr">
        <is>
          <t>손승진</t>
        </is>
      </c>
      <c r="C46" s="22" t="inlineStr">
        <is>
          <t>커뮤니케이션북스</t>
        </is>
      </c>
      <c r="D46" s="22" t="inlineStr">
        <is>
          <t>2026년 04월</t>
        </is>
      </c>
      <c r="E46" s="28" t="n">
        <v>12000</v>
      </c>
      <c r="F46" s="28" t="n">
        <v>12000</v>
      </c>
      <c r="G46" s="29" t="n">
        <v>0</v>
      </c>
      <c r="H46" s="29" t="n">
        <v>72</v>
      </c>
      <c r="I46" s="21" t="inlineStr">
        <is>
          <t>2026</t>
        </is>
      </c>
      <c r="J46" s="21" t="inlineStr">
        <is>
          <t xml:space="preserve"> 0</t>
        </is>
      </c>
      <c r="K46" s="30">
        <f>(E46-F46)/IF(E46&gt;0,E46,1)</f>
        <v/>
      </c>
    </row>
    <row r="47">
      <c r="A47" s="22" t="inlineStr">
        <is>
          <t>AI 활용 부동산 게놈 지도</t>
        </is>
      </c>
      <c r="B47" s="22" t="inlineStr">
        <is>
          <t>강요명, 강현주, 박성현, 이승현, 서정렬</t>
        </is>
      </c>
      <c r="C47" s="22" t="inlineStr">
        <is>
          <t>커뮤니케이션북스</t>
        </is>
      </c>
      <c r="D47" s="22" t="inlineStr">
        <is>
          <t>2026년 04월</t>
        </is>
      </c>
      <c r="E47" s="28" t="n">
        <v>12000</v>
      </c>
      <c r="F47" s="28" t="n">
        <v>12000</v>
      </c>
      <c r="G47" s="29" t="n">
        <v>0</v>
      </c>
      <c r="H47" s="29" t="n">
        <v>72</v>
      </c>
      <c r="I47" s="21" t="inlineStr">
        <is>
          <t>2026</t>
        </is>
      </c>
      <c r="J47" s="21" t="inlineStr">
        <is>
          <t xml:space="preserve"> 0</t>
        </is>
      </c>
      <c r="K47" s="30">
        <f>(E47-F47)/IF(E47&gt;0,E47,1)</f>
        <v/>
      </c>
    </row>
    <row r="48">
      <c r="A48" s="22" t="inlineStr">
        <is>
          <t>AI와 미세먼지</t>
        </is>
      </c>
      <c r="B48" s="22" t="inlineStr">
        <is>
          <t>이준호</t>
        </is>
      </c>
      <c r="C48" s="22" t="inlineStr">
        <is>
          <t>커뮤니케이션북스</t>
        </is>
      </c>
      <c r="D48" s="22" t="inlineStr">
        <is>
          <t>2026년 04월</t>
        </is>
      </c>
      <c r="E48" s="28" t="n">
        <v>12000</v>
      </c>
      <c r="F48" s="28" t="n">
        <v>12000</v>
      </c>
      <c r="G48" s="29" t="n">
        <v>0</v>
      </c>
      <c r="H48" s="29" t="n">
        <v>72</v>
      </c>
      <c r="I48" s="21" t="inlineStr">
        <is>
          <t>2026</t>
        </is>
      </c>
      <c r="J48" s="21" t="inlineStr">
        <is>
          <t xml:space="preserve"> 0</t>
        </is>
      </c>
      <c r="K48" s="30">
        <f>(E48-F48)/IF(E48&gt;0,E48,1)</f>
        <v/>
      </c>
    </row>
    <row r="49">
      <c r="A49" s="22" t="inlineStr">
        <is>
          <t>AI와 112 상황실</t>
        </is>
      </c>
      <c r="B49" s="22" t="inlineStr">
        <is>
          <t>황정용</t>
        </is>
      </c>
      <c r="C49" s="22" t="inlineStr">
        <is>
          <t>커뮤니케이션북스</t>
        </is>
      </c>
      <c r="D49" s="22" t="inlineStr">
        <is>
          <t>2026년 04월</t>
        </is>
      </c>
      <c r="E49" s="28" t="n">
        <v>12000</v>
      </c>
      <c r="F49" s="28" t="n">
        <v>12000</v>
      </c>
      <c r="G49" s="29" t="n">
        <v>0</v>
      </c>
      <c r="H49" s="29" t="n">
        <v>72</v>
      </c>
      <c r="I49" s="21" t="inlineStr">
        <is>
          <t>2026</t>
        </is>
      </c>
      <c r="J49" s="21" t="inlineStr">
        <is>
          <t xml:space="preserve"> 0</t>
        </is>
      </c>
      <c r="K49" s="30">
        <f>(E49-F49)/IF(E49&gt;0,E49,1)</f>
        <v/>
      </c>
    </row>
    <row r="50">
      <c r="A50" s="22" t="inlineStr">
        <is>
          <t>AI와 영화 감독</t>
        </is>
      </c>
      <c r="B50" s="22" t="inlineStr">
        <is>
          <t>박인수</t>
        </is>
      </c>
      <c r="C50" s="22" t="inlineStr">
        <is>
          <t>커뮤니케이션북스</t>
        </is>
      </c>
      <c r="D50" s="22" t="inlineStr">
        <is>
          <t>2026년 04월</t>
        </is>
      </c>
      <c r="E50" s="28" t="n">
        <v>12000</v>
      </c>
      <c r="F50" s="28" t="n">
        <v>12000</v>
      </c>
      <c r="G50" s="29" t="n">
        <v>0</v>
      </c>
      <c r="H50" s="29" t="n">
        <v>102</v>
      </c>
      <c r="I50" s="21" t="inlineStr">
        <is>
          <t>2026</t>
        </is>
      </c>
      <c r="J50" s="21" t="inlineStr">
        <is>
          <t xml:space="preserve"> 0</t>
        </is>
      </c>
      <c r="K50" s="30">
        <f>(E50-F50)/IF(E50&gt;0,E50,1)</f>
        <v/>
      </c>
    </row>
    <row r="51">
      <c r="A51" s="22" t="inlineStr">
        <is>
          <t>AI와 리듬 그루브</t>
        </is>
      </c>
      <c r="B51" s="22" t="inlineStr">
        <is>
          <t>박한솔</t>
        </is>
      </c>
      <c r="C51" s="22" t="inlineStr">
        <is>
          <t>커뮤니케이션북스</t>
        </is>
      </c>
      <c r="D51" s="22" t="inlineStr">
        <is>
          <t>2026년 03월</t>
        </is>
      </c>
      <c r="E51" s="28" t="n">
        <v>12000</v>
      </c>
      <c r="F51" s="28" t="n">
        <v>12000</v>
      </c>
      <c r="G51" s="29" t="n">
        <v>0</v>
      </c>
      <c r="H51" s="29" t="n">
        <v>72</v>
      </c>
      <c r="I51" s="21" t="inlineStr">
        <is>
          <t>2026</t>
        </is>
      </c>
      <c r="J51" s="21" t="inlineStr">
        <is>
          <t xml:space="preserve"> 0</t>
        </is>
      </c>
      <c r="K51" s="30">
        <f>(E51-F51)/IF(E51&gt;0,E51,1)</f>
        <v/>
      </c>
    </row>
    <row r="52">
      <c r="A52" s="22" t="inlineStr">
        <is>
          <t>인공지능과 성범죄</t>
        </is>
      </c>
      <c r="B52" s="22" t="inlineStr">
        <is>
          <t>배상균</t>
        </is>
      </c>
      <c r="C52" s="22" t="inlineStr">
        <is>
          <t>커뮤니케이션북스</t>
        </is>
      </c>
      <c r="D52" s="22" t="inlineStr">
        <is>
          <t>2025년 02월</t>
        </is>
      </c>
      <c r="E52" s="28" t="n">
        <v>12000</v>
      </c>
      <c r="F52" s="28" t="n">
        <v>12000</v>
      </c>
      <c r="G52" s="29" t="n">
        <v>0</v>
      </c>
      <c r="H52" s="29" t="n">
        <v>12</v>
      </c>
      <c r="I52" s="21" t="inlineStr">
        <is>
          <t>2025</t>
        </is>
      </c>
      <c r="J52" s="21" t="inlineStr">
        <is>
          <t xml:space="preserve"> 0</t>
        </is>
      </c>
      <c r="K52" s="30">
        <f>(E52-F52)/IF(E52&gt;0,E52,1)</f>
        <v/>
      </c>
    </row>
    <row r="53">
      <c r="A53" s="22" t="inlineStr">
        <is>
          <t>AI 시대 디자인 교육의 사고 구조</t>
        </is>
      </c>
      <c r="B53" s="22" t="inlineStr">
        <is>
          <t>정유섭</t>
        </is>
      </c>
      <c r="C53" s="22" t="inlineStr">
        <is>
          <t>커뮤니케이션북스</t>
        </is>
      </c>
      <c r="D53" s="22" t="inlineStr">
        <is>
          <t>2026년 05월</t>
        </is>
      </c>
      <c r="E53" s="28" t="n">
        <v>12000</v>
      </c>
      <c r="F53" s="28" t="n">
        <v>12000</v>
      </c>
      <c r="G53" s="29" t="n">
        <v>0</v>
      </c>
      <c r="H53" s="29" t="n">
        <v>60</v>
      </c>
      <c r="I53" s="21" t="inlineStr">
        <is>
          <t>2026</t>
        </is>
      </c>
      <c r="J53" s="21" t="inlineStr">
        <is>
          <t xml:space="preserve"> 0</t>
        </is>
      </c>
      <c r="K53" s="30">
        <f>(E53-F53)/IF(E53&gt;0,E53,1)</f>
        <v/>
      </c>
    </row>
    <row r="54">
      <c r="A54" s="22" t="inlineStr">
        <is>
          <t>로봇 의식론</t>
        </is>
      </c>
      <c r="B54" s="22" t="inlineStr">
        <is>
          <t>정대현</t>
        </is>
      </c>
      <c r="C54" s="22" t="inlineStr">
        <is>
          <t>커뮤니케이션북스</t>
        </is>
      </c>
      <c r="D54" s="22" t="inlineStr">
        <is>
          <t>2026년 05월</t>
        </is>
      </c>
      <c r="E54" s="28" t="n">
        <v>12000</v>
      </c>
      <c r="F54" s="28" t="n">
        <v>12000</v>
      </c>
      <c r="G54" s="29" t="n">
        <v>0</v>
      </c>
      <c r="H54" s="29" t="n">
        <v>42</v>
      </c>
      <c r="I54" s="21" t="inlineStr">
        <is>
          <t>2026</t>
        </is>
      </c>
      <c r="J54" s="21" t="inlineStr">
        <is>
          <t xml:space="preserve"> 0</t>
        </is>
      </c>
      <c r="K54" s="30">
        <f>(E54-F54)/IF(E54&gt;0,E54,1)</f>
        <v/>
      </c>
    </row>
    <row r="55">
      <c r="A55" s="22" t="inlineStr">
        <is>
          <t>AI 시대의 공영 미디어 전략</t>
        </is>
      </c>
      <c r="B55" s="22" t="inlineStr">
        <is>
          <t>김정환</t>
        </is>
      </c>
      <c r="C55" s="22" t="inlineStr">
        <is>
          <t>커뮤니케이션북스</t>
        </is>
      </c>
      <c r="D55" s="22" t="inlineStr">
        <is>
          <t>2026년 05월</t>
        </is>
      </c>
      <c r="E55" s="28" t="n">
        <v>12000</v>
      </c>
      <c r="F55" s="28" t="n">
        <v>12000</v>
      </c>
      <c r="G55" s="29" t="n">
        <v>3</v>
      </c>
      <c r="H55" s="29" t="n">
        <v>102</v>
      </c>
      <c r="I55" s="21" t="inlineStr">
        <is>
          <t>2026</t>
        </is>
      </c>
      <c r="J55" s="21" t="inlineStr">
        <is>
          <t xml:space="preserve"> 0</t>
        </is>
      </c>
      <c r="K55" s="30">
        <f>(E55-F55)/IF(E55&gt;0,E55,1)</f>
        <v/>
      </c>
    </row>
    <row r="56">
      <c r="A56" s="22" t="inlineStr">
        <is>
          <t>AI 얼굴 인식과 보안</t>
        </is>
      </c>
      <c r="B56" s="22" t="inlineStr">
        <is>
          <t>유영준</t>
        </is>
      </c>
      <c r="C56" s="22" t="inlineStr">
        <is>
          <t>커뮤니케이션북스</t>
        </is>
      </c>
      <c r="D56" s="22" t="inlineStr">
        <is>
          <t>2025년 05월</t>
        </is>
      </c>
      <c r="E56" s="28" t="n">
        <v>12000</v>
      </c>
      <c r="F56" s="28" t="n">
        <v>12000</v>
      </c>
      <c r="G56" s="29" t="n">
        <v>0</v>
      </c>
      <c r="H56" s="29" t="n">
        <v>72</v>
      </c>
      <c r="I56" s="21" t="inlineStr">
        <is>
          <t>2025</t>
        </is>
      </c>
      <c r="J56" s="21" t="inlineStr">
        <is>
          <t xml:space="preserve"> 0</t>
        </is>
      </c>
      <c r="K56" s="30">
        <f>(E56-F56)/IF(E56&gt;0,E56,1)</f>
        <v/>
      </c>
    </row>
    <row r="57">
      <c r="A57" s="22" t="inlineStr">
        <is>
          <t>AI와 상상력 교육 (큰글자책)</t>
        </is>
      </c>
      <c r="B57" s="22" t="inlineStr">
        <is>
          <t>문은영</t>
        </is>
      </c>
      <c r="C57" s="22" t="inlineStr">
        <is>
          <t>커뮤니케이션북스</t>
        </is>
      </c>
      <c r="D57" s="22" t="inlineStr">
        <is>
          <t>2025년 07월</t>
        </is>
      </c>
      <c r="E57" s="28" t="n">
        <v>25000</v>
      </c>
      <c r="F57" s="28" t="n">
        <v>25000</v>
      </c>
      <c r="G57" s="29" t="n">
        <v>0</v>
      </c>
      <c r="H57" s="29" t="n">
        <v>60</v>
      </c>
      <c r="I57" s="21" t="inlineStr">
        <is>
          <t>2025</t>
        </is>
      </c>
      <c r="J57" s="21" t="inlineStr">
        <is>
          <t xml:space="preserve"> 0</t>
        </is>
      </c>
      <c r="K57" s="30">
        <f>(E57-F57)/IF(E57&gt;0,E57,1)</f>
        <v/>
      </c>
    </row>
    <row r="58">
      <c r="A58" s="22" t="inlineStr">
        <is>
          <t>AI 발전과 차세대 보안 전략</t>
        </is>
      </c>
      <c r="B58" s="22" t="inlineStr">
        <is>
          <t>박종철, 박유신, 전준형, 박휘진, 이민우</t>
        </is>
      </c>
      <c r="C58" s="22" t="inlineStr">
        <is>
          <t>커뮤니케이션북스</t>
        </is>
      </c>
      <c r="D58" s="22" t="inlineStr">
        <is>
          <t>2026년 03월</t>
        </is>
      </c>
      <c r="E58" s="28" t="n">
        <v>12000</v>
      </c>
      <c r="F58" s="28" t="n">
        <v>12000</v>
      </c>
      <c r="G58" s="29" t="n">
        <v>0</v>
      </c>
      <c r="H58" s="29" t="n">
        <v>144</v>
      </c>
      <c r="I58" s="21" t="inlineStr">
        <is>
          <t>2026</t>
        </is>
      </c>
      <c r="J58" s="21" t="inlineStr">
        <is>
          <t xml:space="preserve"> 0</t>
        </is>
      </c>
      <c r="K58" s="30">
        <f>(E58-F58)/IF(E58&gt;0,E58,1)</f>
        <v/>
      </c>
    </row>
    <row r="59">
      <c r="A59" s="22" t="inlineStr">
        <is>
          <t>공공 HRD의 AX 전환</t>
        </is>
      </c>
      <c r="B59" s="22" t="inlineStr">
        <is>
          <t>김은희</t>
        </is>
      </c>
      <c r="C59" s="22" t="inlineStr">
        <is>
          <t>커뮤니케이션북스</t>
        </is>
      </c>
      <c r="D59" s="22" t="inlineStr">
        <is>
          <t>2026년 05월</t>
        </is>
      </c>
      <c r="E59" s="28" t="n">
        <v>12000</v>
      </c>
      <c r="F59" s="28" t="n">
        <v>12000</v>
      </c>
      <c r="G59" s="29" t="n">
        <v>0</v>
      </c>
      <c r="H59" s="29" t="n">
        <v>126</v>
      </c>
      <c r="I59" s="21" t="inlineStr">
        <is>
          <t>2026</t>
        </is>
      </c>
      <c r="J59" s="21" t="inlineStr">
        <is>
          <t xml:space="preserve"> 0</t>
        </is>
      </c>
      <c r="K59" s="30">
        <f>(E59-F59)/IF(E59&gt;0,E59,1)</f>
        <v/>
      </c>
    </row>
    <row r="60">
      <c r="A60" s="22" t="inlineStr">
        <is>
          <t>AI와 게임 NPC의 미래</t>
        </is>
      </c>
      <c r="B60" s="22" t="inlineStr">
        <is>
          <t>오석희</t>
        </is>
      </c>
      <c r="C60" s="22" t="inlineStr">
        <is>
          <t>커뮤니케이션북스</t>
        </is>
      </c>
      <c r="D60" s="22" t="inlineStr">
        <is>
          <t>2026년 05월</t>
        </is>
      </c>
      <c r="E60" s="28" t="n">
        <v>12000</v>
      </c>
      <c r="F60" s="28" t="n">
        <v>12000</v>
      </c>
      <c r="G60" s="29" t="n">
        <v>0</v>
      </c>
      <c r="H60" s="29" t="n">
        <v>228</v>
      </c>
      <c r="I60" s="21" t="inlineStr">
        <is>
          <t>2026</t>
        </is>
      </c>
      <c r="J60" s="21" t="inlineStr">
        <is>
          <t xml:space="preserve"> 0</t>
        </is>
      </c>
      <c r="K60" s="30">
        <f>(E60-F60)/IF(E60&gt;0,E60,1)</f>
        <v/>
      </c>
    </row>
    <row r="61">
      <c r="A61" s="22" t="inlineStr">
        <is>
          <t>AI 시대의 새로운 문해력</t>
        </is>
      </c>
      <c r="B61" s="22" t="inlineStr">
        <is>
          <t>김은하</t>
        </is>
      </c>
      <c r="C61" s="22" t="inlineStr">
        <is>
          <t>커뮤니케이션북스</t>
        </is>
      </c>
      <c r="D61" s="22" t="inlineStr">
        <is>
          <t>2026년 05월</t>
        </is>
      </c>
      <c r="E61" s="28" t="n">
        <v>12000</v>
      </c>
      <c r="F61" s="28" t="n">
        <v>12000</v>
      </c>
      <c r="G61" s="29" t="n">
        <v>0</v>
      </c>
      <c r="H61" s="29" t="n">
        <v>186</v>
      </c>
      <c r="I61" s="21" t="inlineStr">
        <is>
          <t>2026</t>
        </is>
      </c>
      <c r="J61" s="21" t="inlineStr">
        <is>
          <t xml:space="preserve"> 0</t>
        </is>
      </c>
      <c r="K61" s="30">
        <f>(E61-F61)/IF(E61&gt;0,E61,1)</f>
        <v/>
      </c>
    </row>
    <row r="62">
      <c r="A62" s="22" t="inlineStr">
        <is>
          <t>AI와 대화</t>
        </is>
      </c>
      <c r="B62" s="22" t="inlineStr">
        <is>
          <t>김순옥</t>
        </is>
      </c>
      <c r="C62" s="22" t="inlineStr">
        <is>
          <t>커뮤니케이션북스</t>
        </is>
      </c>
      <c r="D62" s="22" t="inlineStr">
        <is>
          <t>2026년 05월</t>
        </is>
      </c>
      <c r="E62" s="28" t="n">
        <v>12000</v>
      </c>
      <c r="F62" s="28" t="n">
        <v>12000</v>
      </c>
      <c r="G62" s="29" t="n">
        <v>0</v>
      </c>
      <c r="H62" s="29" t="n">
        <v>186</v>
      </c>
      <c r="I62" s="21" t="inlineStr">
        <is>
          <t>2026</t>
        </is>
      </c>
      <c r="J62" s="21" t="inlineStr">
        <is>
          <t xml:space="preserve"> 0</t>
        </is>
      </c>
      <c r="K62" s="30">
        <f>(E62-F62)/IF(E62&gt;0,E62,1)</f>
        <v/>
      </c>
    </row>
    <row r="63">
      <c r="A63" s="22" t="inlineStr">
        <is>
          <t>피지컬 AI, 현실 세계의 지능화</t>
        </is>
      </c>
      <c r="B63" s="22" t="inlineStr">
        <is>
          <t>김학용</t>
        </is>
      </c>
      <c r="C63" s="22" t="inlineStr">
        <is>
          <t>커뮤니케이션북스</t>
        </is>
      </c>
      <c r="D63" s="22" t="inlineStr">
        <is>
          <t>2025년 10월</t>
        </is>
      </c>
      <c r="E63" s="28" t="n">
        <v>12000</v>
      </c>
      <c r="F63" s="28" t="n">
        <v>12000</v>
      </c>
      <c r="G63" s="29" t="n">
        <v>4</v>
      </c>
      <c r="H63" s="29" t="n">
        <v>528</v>
      </c>
      <c r="I63" s="21" t="inlineStr">
        <is>
          <t>2025</t>
        </is>
      </c>
      <c r="J63" s="21" t="inlineStr">
        <is>
          <t xml:space="preserve"> 1</t>
        </is>
      </c>
      <c r="K63" s="30">
        <f>(E63-F63)/IF(E63&gt;0,E63,1)</f>
        <v/>
      </c>
    </row>
    <row r="64">
      <c r="A64" s="22" t="inlineStr">
        <is>
          <t>AI와 심리상담</t>
        </is>
      </c>
      <c r="B64" s="22" t="inlineStr">
        <is>
          <t>황매향</t>
        </is>
      </c>
      <c r="C64" s="22" t="inlineStr">
        <is>
          <t>커뮤니케이션북스</t>
        </is>
      </c>
      <c r="D64" s="22" t="inlineStr">
        <is>
          <t>2025년 08월</t>
        </is>
      </c>
      <c r="E64" s="28" t="n">
        <v>12000</v>
      </c>
      <c r="F64" s="28" t="n">
        <v>11400</v>
      </c>
      <c r="G64" s="29" t="n">
        <v>0</v>
      </c>
      <c r="H64" s="29" t="n">
        <v>378</v>
      </c>
      <c r="I64" s="21" t="inlineStr">
        <is>
          <t>2025</t>
        </is>
      </c>
      <c r="J64" s="21" t="inlineStr">
        <is>
          <t xml:space="preserve"> 0</t>
        </is>
      </c>
      <c r="K64" s="30">
        <f>(E64-F64)/IF(E64&gt;0,E64,1)</f>
        <v/>
      </c>
    </row>
    <row r="65">
      <c r="A65" s="22" t="inlineStr">
        <is>
          <t>에너지와 AI</t>
        </is>
      </c>
      <c r="B65" s="22" t="inlineStr">
        <is>
          <t>최우성</t>
        </is>
      </c>
      <c r="C65" s="22" t="inlineStr">
        <is>
          <t>커뮤니케이션북스</t>
        </is>
      </c>
      <c r="D65" s="22" t="inlineStr">
        <is>
          <t>2025년 08월</t>
        </is>
      </c>
      <c r="E65" s="28" t="n">
        <v>12000</v>
      </c>
      <c r="F65" s="28" t="n">
        <v>12000</v>
      </c>
      <c r="G65" s="29" t="n">
        <v>1</v>
      </c>
      <c r="H65" s="29" t="n">
        <v>384</v>
      </c>
      <c r="I65" s="21" t="inlineStr">
        <is>
          <t>2025</t>
        </is>
      </c>
      <c r="J65" s="21" t="inlineStr">
        <is>
          <t xml:space="preserve"> 0</t>
        </is>
      </c>
      <c r="K65" s="30">
        <f>(E65-F65)/IF(E65&gt;0,E65,1)</f>
        <v/>
      </c>
    </row>
    <row r="66">
      <c r="A66" s="22" t="inlineStr">
        <is>
          <t>AI 모델 성능 평가, LLM·VLM과 미래 AI 모델</t>
        </is>
      </c>
      <c r="B66" s="22" t="inlineStr">
        <is>
          <t>이정헌</t>
        </is>
      </c>
      <c r="C66" s="22" t="inlineStr">
        <is>
          <t>커뮤니케이션북스</t>
        </is>
      </c>
      <c r="D66" s="22" t="inlineStr">
        <is>
          <t>2025년 09월</t>
        </is>
      </c>
      <c r="E66" s="28" t="n">
        <v>12000</v>
      </c>
      <c r="F66" s="28" t="n">
        <v>12000</v>
      </c>
      <c r="G66" s="29" t="n">
        <v>0</v>
      </c>
      <c r="H66" s="29" t="n">
        <v>276</v>
      </c>
      <c r="I66" s="21" t="inlineStr">
        <is>
          <t>2025</t>
        </is>
      </c>
      <c r="J66" s="21" t="inlineStr">
        <is>
          <t xml:space="preserve"> 0</t>
        </is>
      </c>
      <c r="K66" s="30">
        <f>(E66-F66)/IF(E66&gt;0,E66,1)</f>
        <v/>
      </c>
    </row>
    <row r="67">
      <c r="A67" s="22" t="inlineStr">
        <is>
          <t>AI에 대한 인권의 역습</t>
        </is>
      </c>
      <c r="B67" s="22" t="inlineStr">
        <is>
          <t>노호창</t>
        </is>
      </c>
      <c r="C67" s="22" t="inlineStr">
        <is>
          <t>커뮤니케이션북스</t>
        </is>
      </c>
      <c r="D67" s="22" t="inlineStr">
        <is>
          <t>2026년 04월</t>
        </is>
      </c>
      <c r="E67" s="28" t="n">
        <v>12000</v>
      </c>
      <c r="F67" s="28" t="n">
        <v>12000</v>
      </c>
      <c r="G67" s="29" t="n">
        <v>14</v>
      </c>
      <c r="H67" s="29" t="n">
        <v>294</v>
      </c>
      <c r="I67" s="21" t="inlineStr">
        <is>
          <t>2026</t>
        </is>
      </c>
      <c r="J67" s="21" t="inlineStr">
        <is>
          <t xml:space="preserve"> 0</t>
        </is>
      </c>
      <c r="K67" s="30">
        <f>(E67-F67)/IF(E67&gt;0,E67,1)</f>
        <v/>
      </c>
    </row>
    <row r="68">
      <c r="A68" s="22" t="inlineStr">
        <is>
          <t>AI와 간호 돌봄</t>
        </is>
      </c>
      <c r="B68" s="22" t="inlineStr">
        <is>
          <t>이은영, 김현의, 박은준</t>
        </is>
      </c>
      <c r="C68" s="22" t="inlineStr">
        <is>
          <t>커뮤니케이션북스</t>
        </is>
      </c>
      <c r="D68" s="22" t="inlineStr">
        <is>
          <t>2025년 09월</t>
        </is>
      </c>
      <c r="E68" s="28" t="n">
        <v>12000</v>
      </c>
      <c r="F68" s="28" t="n">
        <v>12000</v>
      </c>
      <c r="G68" s="29" t="n">
        <v>0</v>
      </c>
      <c r="H68" s="29" t="n">
        <v>234</v>
      </c>
      <c r="I68" s="21" t="inlineStr">
        <is>
          <t>2025</t>
        </is>
      </c>
      <c r="J68" s="21" t="inlineStr">
        <is>
          <t xml:space="preserve"> 0</t>
        </is>
      </c>
      <c r="K68" s="30">
        <f>(E68-F68)/IF(E68&gt;0,E68,1)</f>
        <v/>
      </c>
    </row>
    <row r="69">
      <c r="A69" s="22" t="inlineStr">
        <is>
          <t>심리상담과 AI의 융합</t>
        </is>
      </c>
      <c r="B69" s="22" t="inlineStr">
        <is>
          <t>이혜숙</t>
        </is>
      </c>
      <c r="C69" s="22" t="inlineStr">
        <is>
          <t>커뮤니케이션북스</t>
        </is>
      </c>
      <c r="D69" s="22" t="inlineStr">
        <is>
          <t>2026년 01월</t>
        </is>
      </c>
      <c r="E69" s="28" t="n">
        <v>12000</v>
      </c>
      <c r="F69" s="28" t="n">
        <v>12000</v>
      </c>
      <c r="G69" s="29" t="n">
        <v>0</v>
      </c>
      <c r="H69" s="29" t="n">
        <v>210</v>
      </c>
      <c r="I69" s="21" t="inlineStr">
        <is>
          <t>2026</t>
        </is>
      </c>
      <c r="J69" s="21" t="inlineStr">
        <is>
          <t xml:space="preserve"> 0</t>
        </is>
      </c>
      <c r="K69" s="30">
        <f>(E69-F69)/IF(E69&gt;0,E69,1)</f>
        <v/>
      </c>
    </row>
    <row r="70">
      <c r="A70" s="22" t="inlineStr">
        <is>
          <t>AI, 차별, 소통</t>
        </is>
      </c>
      <c r="B70" s="22" t="inlineStr">
        <is>
          <t>석주연</t>
        </is>
      </c>
      <c r="C70" s="22" t="inlineStr">
        <is>
          <t>커뮤니케이션북스</t>
        </is>
      </c>
      <c r="D70" s="22" t="inlineStr">
        <is>
          <t>2025년 02월</t>
        </is>
      </c>
      <c r="E70" s="28" t="n">
        <v>12000</v>
      </c>
      <c r="F70" s="28" t="n">
        <v>12000</v>
      </c>
      <c r="G70" s="29" t="n">
        <v>0</v>
      </c>
      <c r="H70" s="29" t="n">
        <v>168</v>
      </c>
      <c r="I70" s="21" t="inlineStr">
        <is>
          <t>2025</t>
        </is>
      </c>
      <c r="J70" s="21" t="inlineStr">
        <is>
          <t xml:space="preserve"> 0</t>
        </is>
      </c>
      <c r="K70" s="30">
        <f>(E70-F70)/IF(E70&gt;0,E70,1)</f>
        <v/>
      </c>
    </row>
    <row r="71">
      <c r="A71" s="22" t="inlineStr">
        <is>
          <t>AI와 패션 디자인</t>
        </is>
      </c>
      <c r="B71" s="22" t="inlineStr">
        <is>
          <t>마진주, 정연이</t>
        </is>
      </c>
      <c r="C71" s="22" t="inlineStr">
        <is>
          <t>커뮤니케이션북스</t>
        </is>
      </c>
      <c r="D71" s="22" t="inlineStr">
        <is>
          <t>2025년 12월</t>
        </is>
      </c>
      <c r="E71" s="28" t="n">
        <v>12000</v>
      </c>
      <c r="F71" s="28" t="n">
        <v>12000</v>
      </c>
      <c r="G71" s="29" t="n">
        <v>0</v>
      </c>
      <c r="H71" s="29" t="n">
        <v>186</v>
      </c>
      <c r="I71" s="21" t="inlineStr">
        <is>
          <t>2025</t>
        </is>
      </c>
      <c r="J71" s="21" t="inlineStr">
        <is>
          <t xml:space="preserve"> 1</t>
        </is>
      </c>
      <c r="K71" s="30">
        <f>(E71-F71)/IF(E71&gt;0,E71,1)</f>
        <v/>
      </c>
    </row>
    <row r="72">
      <c r="A72" s="22" t="inlineStr">
        <is>
          <t>AI와 우주 탐사</t>
        </is>
      </c>
      <c r="B72" s="22" t="inlineStr">
        <is>
          <t>안형준</t>
        </is>
      </c>
      <c r="C72" s="22" t="inlineStr">
        <is>
          <t>커뮤니케이션북스</t>
        </is>
      </c>
      <c r="D72" s="22" t="inlineStr">
        <is>
          <t>2025년 09월</t>
        </is>
      </c>
      <c r="E72" s="28" t="n">
        <v>12000</v>
      </c>
      <c r="F72" s="28" t="n">
        <v>12000</v>
      </c>
      <c r="G72" s="29" t="n">
        <v>0</v>
      </c>
      <c r="H72" s="29" t="n">
        <v>180</v>
      </c>
      <c r="I72" s="21" t="inlineStr">
        <is>
          <t>2025</t>
        </is>
      </c>
      <c r="J72" s="21" t="inlineStr">
        <is>
          <t xml:space="preserve"> 0</t>
        </is>
      </c>
      <c r="K72" s="30">
        <f>(E72-F72)/IF(E72&gt;0,E72,1)</f>
        <v/>
      </c>
    </row>
    <row r="73">
      <c r="A73" s="22" t="inlineStr">
        <is>
          <t>AI, 양자 기술과 사이버 보안</t>
        </is>
      </c>
      <c r="B73" s="22" t="inlineStr">
        <is>
          <t>이은주, 김영기, 레티퀴엔, 박종민, 소천용, 정보 더 보기/감추기, 이은주, 김영기, 레티퀴엔, 박종민, 소천용, 이정, Ella Lee, 향준의, 이주민</t>
        </is>
      </c>
      <c r="C73" s="22" t="inlineStr">
        <is>
          <t>커뮤니케이션북스</t>
        </is>
      </c>
      <c r="D73" s="22" t="inlineStr">
        <is>
          <t>2025년 05월</t>
        </is>
      </c>
      <c r="E73" s="28" t="n">
        <v>12000</v>
      </c>
      <c r="F73" s="28" t="n">
        <v>12000</v>
      </c>
      <c r="G73" s="29" t="n">
        <v>0</v>
      </c>
      <c r="H73" s="29" t="n">
        <v>216</v>
      </c>
      <c r="I73" s="21" t="inlineStr">
        <is>
          <t>2025</t>
        </is>
      </c>
      <c r="J73" s="21" t="inlineStr">
        <is>
          <t xml:space="preserve"> 0</t>
        </is>
      </c>
      <c r="K73" s="30">
        <f>(E73-F73)/IF(E73&gt;0,E73,1)</f>
        <v/>
      </c>
    </row>
    <row r="74">
      <c r="A74" s="22" t="inlineStr">
        <is>
          <t>AI와 웹소설</t>
        </is>
      </c>
      <c r="B74" s="22" t="inlineStr">
        <is>
          <t>박성준</t>
        </is>
      </c>
      <c r="C74" s="22" t="inlineStr">
        <is>
          <t>커뮤니케이션북스</t>
        </is>
      </c>
      <c r="D74" s="22" t="inlineStr">
        <is>
          <t>2025년 10월</t>
        </is>
      </c>
      <c r="E74" s="28" t="n">
        <v>12000</v>
      </c>
      <c r="F74" s="28" t="n">
        <v>12000</v>
      </c>
      <c r="G74" s="29" t="n">
        <v>0</v>
      </c>
      <c r="H74" s="29" t="n">
        <v>192</v>
      </c>
      <c r="I74" s="21" t="inlineStr">
        <is>
          <t>2025</t>
        </is>
      </c>
      <c r="J74" s="21" t="inlineStr">
        <is>
          <t xml:space="preserve"> 1</t>
        </is>
      </c>
      <c r="K74" s="30">
        <f>(E74-F74)/IF(E74&gt;0,E74,1)</f>
        <v/>
      </c>
    </row>
    <row r="75">
      <c r="A75" s="22" t="inlineStr">
        <is>
          <t>AI가 대체하는, 대체 못하는 노동</t>
        </is>
      </c>
      <c r="B75" s="22" t="inlineStr">
        <is>
          <t>김관욱</t>
        </is>
      </c>
      <c r="C75" s="22" t="inlineStr">
        <is>
          <t>커뮤니케이션북스</t>
        </is>
      </c>
      <c r="D75" s="22" t="inlineStr">
        <is>
          <t>2025년 06월</t>
        </is>
      </c>
      <c r="E75" s="28" t="n">
        <v>12000</v>
      </c>
      <c r="F75" s="28" t="n">
        <v>12000</v>
      </c>
      <c r="G75" s="29" t="n">
        <v>1</v>
      </c>
      <c r="H75" s="29" t="n">
        <v>168</v>
      </c>
      <c r="I75" s="21" t="inlineStr">
        <is>
          <t>2025</t>
        </is>
      </c>
      <c r="J75" s="21" t="inlineStr">
        <is>
          <t xml:space="preserve"> 0</t>
        </is>
      </c>
      <c r="K75" s="30">
        <f>(E75-F75)/IF(E75&gt;0,E75,1)</f>
        <v/>
      </c>
    </row>
    <row r="76">
      <c r="A76" s="22" t="inlineStr">
        <is>
          <t>AI와 무용</t>
        </is>
      </c>
      <c r="B76" s="22" t="inlineStr">
        <is>
          <t>임영숙</t>
        </is>
      </c>
      <c r="C76" s="22" t="inlineStr">
        <is>
          <t>커뮤니케이션북스</t>
        </is>
      </c>
      <c r="D76" s="22" t="inlineStr">
        <is>
          <t>2026년 01월</t>
        </is>
      </c>
      <c r="E76" s="28" t="n">
        <v>12000</v>
      </c>
      <c r="F76" s="28" t="n">
        <v>12000</v>
      </c>
      <c r="G76" s="29" t="n">
        <v>0</v>
      </c>
      <c r="H76" s="29" t="n">
        <v>126</v>
      </c>
      <c r="I76" s="21" t="inlineStr">
        <is>
          <t>2026</t>
        </is>
      </c>
      <c r="J76" s="21" t="inlineStr">
        <is>
          <t xml:space="preserve"> 0</t>
        </is>
      </c>
      <c r="K76" s="30">
        <f>(E76-F76)/IF(E76&gt;0,E76,1)</f>
        <v/>
      </c>
    </row>
    <row r="77">
      <c r="A77" s="22" t="inlineStr">
        <is>
          <t>AI 시대와 직업능력 개발</t>
        </is>
      </c>
      <c r="B77" s="22" t="inlineStr">
        <is>
          <t>최홍기</t>
        </is>
      </c>
      <c r="C77" s="22" t="inlineStr">
        <is>
          <t>커뮤니케이션북스</t>
        </is>
      </c>
      <c r="D77" s="22" t="inlineStr">
        <is>
          <t>2026년 05월</t>
        </is>
      </c>
      <c r="E77" s="28" t="n">
        <v>12000</v>
      </c>
      <c r="F77" s="28" t="n">
        <v>12000</v>
      </c>
      <c r="G77" s="29" t="n">
        <v>0</v>
      </c>
      <c r="H77" s="29" t="n">
        <v>84</v>
      </c>
      <c r="I77" s="21" t="inlineStr">
        <is>
          <t>2026</t>
        </is>
      </c>
      <c r="J77" s="21" t="inlineStr">
        <is>
          <t xml:space="preserve"> 0</t>
        </is>
      </c>
      <c r="K77" s="30">
        <f>(E77-F77)/IF(E77&gt;0,E77,1)</f>
        <v/>
      </c>
    </row>
    <row r="78">
      <c r="A78" s="22" t="inlineStr">
        <is>
          <t>디자인 콘셉트와 AI</t>
        </is>
      </c>
      <c r="B78" s="22" t="inlineStr">
        <is>
          <t>김수홍</t>
        </is>
      </c>
      <c r="C78" s="22" t="inlineStr">
        <is>
          <t>커뮤니케이션북스</t>
        </is>
      </c>
      <c r="D78" s="22" t="inlineStr">
        <is>
          <t>2026년 05월</t>
        </is>
      </c>
      <c r="E78" s="28" t="n">
        <v>12000</v>
      </c>
      <c r="F78" s="28" t="n">
        <v>12000</v>
      </c>
      <c r="G78" s="29" t="n">
        <v>0</v>
      </c>
      <c r="H78" s="29" t="n">
        <v>84</v>
      </c>
      <c r="I78" s="21" t="inlineStr">
        <is>
          <t>2026</t>
        </is>
      </c>
      <c r="J78" s="21" t="inlineStr">
        <is>
          <t xml:space="preserve"> 0</t>
        </is>
      </c>
      <c r="K78" s="30">
        <f>(E78-F78)/IF(E78&gt;0,E78,1)</f>
        <v/>
      </c>
    </row>
    <row r="79">
      <c r="A79" s="22" t="inlineStr">
        <is>
          <t>AI 발전과 차세대 보안 전략 (큰글자책)</t>
        </is>
      </c>
      <c r="B79" s="22" t="inlineStr">
        <is>
          <t>이민우, 박휘진, 전준형, 박유신, 박종철</t>
        </is>
      </c>
      <c r="C79" s="22" t="inlineStr">
        <is>
          <t>커뮤니케이션북스</t>
        </is>
      </c>
      <c r="D79" s="22" t="inlineStr">
        <is>
          <t>2026년 03월</t>
        </is>
      </c>
      <c r="E79" s="28" t="n">
        <v>25000</v>
      </c>
      <c r="F79" s="28" t="n">
        <v>25000</v>
      </c>
      <c r="G79" s="29" t="n">
        <v>0</v>
      </c>
      <c r="H79" s="29" t="n">
        <v>54</v>
      </c>
      <c r="I79" s="21" t="inlineStr">
        <is>
          <t>2026</t>
        </is>
      </c>
      <c r="J79" s="21" t="inlineStr">
        <is>
          <t xml:space="preserve"> 0</t>
        </is>
      </c>
      <c r="K79" s="30">
        <f>(E79-F79)/IF(E79&gt;0,E79,1)</f>
        <v/>
      </c>
    </row>
    <row r="80">
      <c r="A80" s="22" t="inlineStr">
        <is>
          <t>AI와 과학관</t>
        </is>
      </c>
      <c r="B80" s="22" t="inlineStr">
        <is>
          <t>손성근, 김민환, 김상우</t>
        </is>
      </c>
      <c r="C80" s="22" t="inlineStr">
        <is>
          <t>커뮤니케이션북스</t>
        </is>
      </c>
      <c r="D80" s="22" t="inlineStr">
        <is>
          <t>2026년 05월</t>
        </is>
      </c>
      <c r="E80" s="28" t="n">
        <v>12000</v>
      </c>
      <c r="F80" s="28" t="n">
        <v>12000</v>
      </c>
      <c r="G80" s="29" t="n">
        <v>1</v>
      </c>
      <c r="H80" s="29" t="n">
        <v>3192</v>
      </c>
      <c r="I80" s="21" t="inlineStr">
        <is>
          <t>2026</t>
        </is>
      </c>
      <c r="J80" s="21" t="inlineStr">
        <is>
          <t xml:space="preserve"> 0</t>
        </is>
      </c>
      <c r="K80" s="30">
        <f>(E80-F80)/IF(E80&gt;0,E80,1)</f>
        <v/>
      </c>
    </row>
    <row r="81">
      <c r="A81" s="22" t="inlineStr">
        <is>
          <t>생성형 AI 검증의 기술</t>
        </is>
      </c>
      <c r="B81" s="22" t="inlineStr">
        <is>
          <t>김경원</t>
        </is>
      </c>
      <c r="C81" s="22" t="inlineStr">
        <is>
          <t>커뮤니케이션북스</t>
        </is>
      </c>
      <c r="D81" s="22" t="inlineStr">
        <is>
          <t>2026년 05월</t>
        </is>
      </c>
      <c r="E81" s="28" t="n">
        <v>12000</v>
      </c>
      <c r="F81" s="28" t="n">
        <v>12000</v>
      </c>
      <c r="G81" s="29" t="n">
        <v>0</v>
      </c>
      <c r="H81" s="29" t="n">
        <v>84</v>
      </c>
      <c r="I81" s="21" t="inlineStr">
        <is>
          <t>2026</t>
        </is>
      </c>
      <c r="J81" s="21" t="inlineStr">
        <is>
          <t xml:space="preserve"> 0</t>
        </is>
      </c>
      <c r="K81" s="30">
        <f>(E81-F81)/IF(E81&gt;0,E81,1)</f>
        <v/>
      </c>
    </row>
    <row r="82">
      <c r="A82" s="22" t="inlineStr">
        <is>
          <t>AI 시대의 대학 수업</t>
        </is>
      </c>
      <c r="B82" s="22" t="inlineStr">
        <is>
          <t>김태연, 이서현, 조박, 진명지, 최낙진</t>
        </is>
      </c>
      <c r="C82" s="22" t="inlineStr">
        <is>
          <t>커뮤니케이션북스</t>
        </is>
      </c>
      <c r="D82" s="22" t="inlineStr">
        <is>
          <t>2026년 05월</t>
        </is>
      </c>
      <c r="E82" s="28" t="n">
        <v>12000</v>
      </c>
      <c r="F82" s="28" t="n">
        <v>12000</v>
      </c>
      <c r="G82" s="29" t="n">
        <v>0</v>
      </c>
      <c r="H82" s="29" t="n">
        <v>84</v>
      </c>
      <c r="I82" s="21" t="inlineStr">
        <is>
          <t>2026</t>
        </is>
      </c>
      <c r="J82" s="21" t="inlineStr">
        <is>
          <t xml:space="preserve"> 0</t>
        </is>
      </c>
      <c r="K82" s="30">
        <f>(E82-F82)/IF(E82&gt;0,E82,1)</f>
        <v/>
      </c>
    </row>
    <row r="83">
      <c r="A83" s="22" t="inlineStr">
        <is>
          <t>AI 시대의 국어 의식</t>
        </is>
      </c>
      <c r="B83" s="22" t="inlineStr">
        <is>
          <t>송주호</t>
        </is>
      </c>
      <c r="C83" s="22" t="inlineStr">
        <is>
          <t>커뮤니케이션북스</t>
        </is>
      </c>
      <c r="D83" s="22" t="inlineStr">
        <is>
          <t>2026년 05월</t>
        </is>
      </c>
      <c r="E83" s="28" t="n">
        <v>12000</v>
      </c>
      <c r="F83" s="28" t="n">
        <v>12000</v>
      </c>
      <c r="G83" s="29" t="n">
        <v>0</v>
      </c>
      <c r="H83" s="29" t="n">
        <v>84</v>
      </c>
      <c r="I83" s="21" t="inlineStr">
        <is>
          <t>2026</t>
        </is>
      </c>
      <c r="J83" s="21" t="inlineStr">
        <is>
          <t xml:space="preserve"> 0</t>
        </is>
      </c>
      <c r="K83" s="30">
        <f>(E83-F83)/IF(E83&gt;0,E83,1)</f>
        <v/>
      </c>
    </row>
    <row r="84">
      <c r="A84" s="22" t="inlineStr">
        <is>
          <t>사이버-AI 넥서스와 미국의 동맹</t>
        </is>
      </c>
      <c r="B84" s="22" t="inlineStr">
        <is>
          <t>신승휴</t>
        </is>
      </c>
      <c r="C84" s="22" t="inlineStr">
        <is>
          <t>커뮤니케이션북스</t>
        </is>
      </c>
      <c r="D84" s="22" t="inlineStr">
        <is>
          <t>2026년 05월</t>
        </is>
      </c>
      <c r="E84" s="28" t="n">
        <v>12000</v>
      </c>
      <c r="F84" s="28" t="n">
        <v>12000</v>
      </c>
      <c r="G84" s="29" t="n">
        <v>0</v>
      </c>
      <c r="H84" s="29" t="n">
        <v>84</v>
      </c>
      <c r="I84" s="21" t="inlineStr">
        <is>
          <t>2026</t>
        </is>
      </c>
      <c r="J84" s="21" t="inlineStr">
        <is>
          <t xml:space="preserve"> 0</t>
        </is>
      </c>
      <c r="K84" s="30">
        <f>(E84-F84)/IF(E84&gt;0,E84,1)</f>
        <v/>
      </c>
    </row>
    <row r="85">
      <c r="A85" s="22" t="inlineStr">
        <is>
          <t>AI, 그리고 종교의 대답</t>
        </is>
      </c>
      <c r="B85" s="22" t="inlineStr">
        <is>
          <t>김진</t>
        </is>
      </c>
      <c r="C85" s="22" t="inlineStr">
        <is>
          <t>커뮤니케이션북스</t>
        </is>
      </c>
      <c r="D85" s="22" t="inlineStr">
        <is>
          <t>2026년 05월</t>
        </is>
      </c>
      <c r="E85" s="28" t="n">
        <v>12000</v>
      </c>
      <c r="F85" s="28" t="n">
        <v>12000</v>
      </c>
      <c r="G85" s="29" t="n">
        <v>0</v>
      </c>
      <c r="H85" s="29" t="n">
        <v>84</v>
      </c>
      <c r="I85" s="21" t="inlineStr">
        <is>
          <t>2026</t>
        </is>
      </c>
      <c r="J85" s="21" t="inlineStr">
        <is>
          <t xml:space="preserve"> 0</t>
        </is>
      </c>
      <c r="K85" s="30">
        <f>(E85-F85)/IF(E85&gt;0,E85,1)</f>
        <v/>
      </c>
    </row>
    <row r="86">
      <c r="A86" s="22" t="inlineStr">
        <is>
          <t>AI와 발명교육</t>
        </is>
      </c>
      <c r="B86" s="22" t="inlineStr">
        <is>
          <t>김다솔</t>
        </is>
      </c>
      <c r="C86" s="22" t="inlineStr">
        <is>
          <t>커뮤니케이션북스</t>
        </is>
      </c>
      <c r="D86" s="22" t="inlineStr">
        <is>
          <t>2026년 05월</t>
        </is>
      </c>
      <c r="E86" s="28" t="n">
        <v>12000</v>
      </c>
      <c r="F86" s="28" t="n">
        <v>12000</v>
      </c>
      <c r="G86" s="29" t="n">
        <v>0</v>
      </c>
      <c r="H86" s="29" t="n">
        <v>84</v>
      </c>
      <c r="I86" s="21" t="inlineStr">
        <is>
          <t>2026</t>
        </is>
      </c>
      <c r="J86" s="21" t="inlineStr">
        <is>
          <t xml:space="preserve"> 0</t>
        </is>
      </c>
      <c r="K86" s="30">
        <f>(E86-F86)/IF(E86&gt;0,E86,1)</f>
        <v/>
      </c>
    </row>
    <row r="87">
      <c r="A87" s="22" t="inlineStr">
        <is>
          <t>쿠브플로우 중심 AI 모델 설계와 운영</t>
        </is>
      </c>
      <c r="B87" s="22" t="inlineStr">
        <is>
          <t>김동길, 박판종, 정태윤</t>
        </is>
      </c>
      <c r="C87" s="22" t="inlineStr">
        <is>
          <t>커뮤니케이션북스</t>
        </is>
      </c>
      <c r="D87" s="22" t="inlineStr">
        <is>
          <t>2026년 05월</t>
        </is>
      </c>
      <c r="E87" s="28" t="n">
        <v>12000</v>
      </c>
      <c r="F87" s="28" t="n">
        <v>12000</v>
      </c>
      <c r="G87" s="29" t="n">
        <v>0</v>
      </c>
      <c r="H87" s="29" t="n">
        <v>84</v>
      </c>
      <c r="I87" s="21" t="inlineStr">
        <is>
          <t>2026</t>
        </is>
      </c>
      <c r="J87" s="21" t="inlineStr">
        <is>
          <t xml:space="preserve"> 0</t>
        </is>
      </c>
      <c r="K87" s="30">
        <f>(E87-F87)/IF(E87&gt;0,E87,1)</f>
        <v/>
      </c>
    </row>
    <row r="88">
      <c r="A88" s="22" t="inlineStr">
        <is>
          <t>AI 배우</t>
        </is>
      </c>
      <c r="B88" s="22" t="inlineStr">
        <is>
          <t>박인수</t>
        </is>
      </c>
      <c r="C88" s="22" t="inlineStr">
        <is>
          <t>커뮤니케이션북스</t>
        </is>
      </c>
      <c r="D88" s="22" t="inlineStr">
        <is>
          <t>2026년 05월</t>
        </is>
      </c>
      <c r="E88" s="28" t="n">
        <v>12000</v>
      </c>
      <c r="F88" s="28" t="n">
        <v>12000</v>
      </c>
      <c r="G88" s="29" t="n">
        <v>0</v>
      </c>
      <c r="H88" s="29" t="n">
        <v>84</v>
      </c>
      <c r="I88" s="21" t="inlineStr">
        <is>
          <t>2026</t>
        </is>
      </c>
      <c r="J88" s="21" t="inlineStr">
        <is>
          <t xml:space="preserve"> 0</t>
        </is>
      </c>
      <c r="K88" s="30">
        <f>(E88-F88)/IF(E88&gt;0,E88,1)</f>
        <v/>
      </c>
    </row>
    <row r="89">
      <c r="A89" s="22" t="inlineStr">
        <is>
          <t>AI 학습·생성과 저작권</t>
        </is>
      </c>
      <c r="B89" s="22" t="inlineStr">
        <is>
          <t>김경숙</t>
        </is>
      </c>
      <c r="C89" s="22" t="inlineStr">
        <is>
          <t>커뮤니케이션북스</t>
        </is>
      </c>
      <c r="D89" s="22" t="inlineStr">
        <is>
          <t>2026년 05월</t>
        </is>
      </c>
      <c r="E89" s="28" t="n">
        <v>12000</v>
      </c>
      <c r="F89" s="28" t="n">
        <v>12000</v>
      </c>
      <c r="G89" s="29" t="n">
        <v>0</v>
      </c>
      <c r="H89" s="29" t="n">
        <v>84</v>
      </c>
      <c r="I89" s="21" t="inlineStr">
        <is>
          <t>2026</t>
        </is>
      </c>
      <c r="J89" s="21" t="inlineStr">
        <is>
          <t xml:space="preserve"> 0</t>
        </is>
      </c>
      <c r="K89" s="30">
        <f>(E89-F89)/IF(E89&gt;0,E89,1)</f>
        <v/>
      </c>
    </row>
    <row r="90">
      <c r="A90" s="22" t="inlineStr">
        <is>
          <t>생성형 AI와 잉여 데이터</t>
        </is>
      </c>
      <c r="B90" s="22" t="inlineStr">
        <is>
          <t>김홍규</t>
        </is>
      </c>
      <c r="C90" s="22" t="inlineStr">
        <is>
          <t>커뮤니케이션북스</t>
        </is>
      </c>
      <c r="D90" s="22" t="inlineStr">
        <is>
          <t>2026년 05월</t>
        </is>
      </c>
      <c r="E90" s="28" t="n">
        <v>12000</v>
      </c>
      <c r="F90" s="28" t="n">
        <v>12000</v>
      </c>
      <c r="G90" s="29" t="n">
        <v>0</v>
      </c>
      <c r="H90" s="29" t="n">
        <v>84</v>
      </c>
      <c r="I90" s="21" t="inlineStr">
        <is>
          <t>2026</t>
        </is>
      </c>
      <c r="J90" s="21" t="inlineStr">
        <is>
          <t xml:space="preserve"> 0</t>
        </is>
      </c>
      <c r="K90" s="30">
        <f>(E90-F90)/IF(E90&gt;0,E90,1)</f>
        <v/>
      </c>
    </row>
    <row r="91">
      <c r="A91" s="22" t="inlineStr">
        <is>
          <t>인공지능과 윤리적 맥락</t>
        </is>
      </c>
      <c r="B91" s="22" t="inlineStr">
        <is>
          <t>이희구</t>
        </is>
      </c>
      <c r="C91" s="22" t="inlineStr">
        <is>
          <t>커뮤니케이션북스</t>
        </is>
      </c>
      <c r="D91" s="22" t="inlineStr">
        <is>
          <t>2026년 05월</t>
        </is>
      </c>
      <c r="E91" s="28" t="n">
        <v>12000</v>
      </c>
      <c r="F91" s="28" t="n">
        <v>12000</v>
      </c>
      <c r="G91" s="29" t="n">
        <v>0</v>
      </c>
      <c r="H91" s="29" t="n">
        <v>105</v>
      </c>
      <c r="I91" s="21" t="inlineStr">
        <is>
          <t>2026</t>
        </is>
      </c>
      <c r="J91" s="21" t="inlineStr">
        <is>
          <t xml:space="preserve"> 0</t>
        </is>
      </c>
      <c r="K91" s="30">
        <f>(E91-F91)/IF(E91&gt;0,E91,1)</f>
        <v/>
      </c>
    </row>
    <row r="92">
      <c r="A92" s="22" t="inlineStr">
        <is>
          <t>AI와 유가 철학</t>
        </is>
      </c>
      <c r="B92" s="22" t="inlineStr">
        <is>
          <t>정두호</t>
        </is>
      </c>
      <c r="C92" s="22" t="inlineStr">
        <is>
          <t>커뮤니케이션북스</t>
        </is>
      </c>
      <c r="D92" s="22" t="inlineStr">
        <is>
          <t>2026년 05월</t>
        </is>
      </c>
      <c r="E92" s="28" t="n">
        <v>12000</v>
      </c>
      <c r="F92" s="28" t="n">
        <v>12000</v>
      </c>
      <c r="G92" s="29" t="n">
        <v>0</v>
      </c>
      <c r="H92" s="29" t="n">
        <v>333</v>
      </c>
      <c r="I92" s="21" t="inlineStr">
        <is>
          <t>2026</t>
        </is>
      </c>
      <c r="J92" s="21" t="inlineStr">
        <is>
          <t xml:space="preserve"> 0</t>
        </is>
      </c>
      <c r="K92" s="30">
        <f>(E92-F92)/IF(E92&gt;0,E92,1)</f>
        <v/>
      </c>
    </row>
    <row r="93">
      <c r="A93" s="22" t="inlineStr">
        <is>
          <t>다크 AI</t>
        </is>
      </c>
      <c r="B93" s="22" t="inlineStr">
        <is>
          <t>박찬선</t>
        </is>
      </c>
      <c r="C93" s="22" t="inlineStr">
        <is>
          <t>커뮤니케이션북스</t>
        </is>
      </c>
      <c r="D93" s="22" t="inlineStr">
        <is>
          <t>2026년 05월</t>
        </is>
      </c>
      <c r="E93" s="28" t="n">
        <v>12000</v>
      </c>
      <c r="F93" s="28" t="n">
        <v>12000</v>
      </c>
      <c r="G93" s="29" t="n">
        <v>0</v>
      </c>
      <c r="H93" s="29" t="n">
        <v>144</v>
      </c>
      <c r="I93" s="21" t="inlineStr">
        <is>
          <t>2026</t>
        </is>
      </c>
      <c r="J93" s="21" t="inlineStr">
        <is>
          <t xml:space="preserve"> 0</t>
        </is>
      </c>
      <c r="K93" s="30">
        <f>(E93-F93)/IF(E93&gt;0,E93,1)</f>
        <v/>
      </c>
    </row>
    <row r="94">
      <c r="A94" s="22" t="inlineStr">
        <is>
          <t>인공지능과 인간의 위기</t>
        </is>
      </c>
      <c r="B94" s="22" t="inlineStr">
        <is>
          <t>손영창</t>
        </is>
      </c>
      <c r="C94" s="22" t="inlineStr">
        <is>
          <t>커뮤니케이션북스</t>
        </is>
      </c>
      <c r="D94" s="22" t="inlineStr">
        <is>
          <t>2026년 05월</t>
        </is>
      </c>
      <c r="E94" s="28" t="n">
        <v>12000</v>
      </c>
      <c r="F94" s="28" t="n">
        <v>12000</v>
      </c>
      <c r="G94" s="29" t="n">
        <v>0</v>
      </c>
      <c r="H94" s="29" t="n">
        <v>126</v>
      </c>
      <c r="I94" s="21" t="inlineStr">
        <is>
          <t>2026</t>
        </is>
      </c>
      <c r="J94" s="21" t="inlineStr">
        <is>
          <t xml:space="preserve"> 0</t>
        </is>
      </c>
      <c r="K94" s="30">
        <f>(E94-F94)/IF(E94&gt;0,E94,1)</f>
        <v/>
      </c>
    </row>
    <row r="95">
      <c r="A95" s="22" t="inlineStr">
        <is>
          <t>AI 프롬프트 의미 설계</t>
        </is>
      </c>
      <c r="B95" s="22" t="inlineStr">
        <is>
          <t>김한성</t>
        </is>
      </c>
      <c r="C95" s="22" t="inlineStr">
        <is>
          <t>커뮤니케이션북스</t>
        </is>
      </c>
      <c r="D95" s="22" t="inlineStr">
        <is>
          <t>2025년 08월</t>
        </is>
      </c>
      <c r="E95" s="28" t="n">
        <v>12000</v>
      </c>
      <c r="F95" s="28" t="n">
        <v>12000</v>
      </c>
      <c r="G95" s="29" t="n">
        <v>4</v>
      </c>
      <c r="H95" s="29" t="n">
        <v>1224</v>
      </c>
      <c r="I95" s="21" t="inlineStr">
        <is>
          <t>2025</t>
        </is>
      </c>
      <c r="J95" s="21" t="inlineStr">
        <is>
          <t xml:space="preserve"> 0</t>
        </is>
      </c>
      <c r="K95" s="30">
        <f>(E95-F95)/IF(E95&gt;0,E95,1)</f>
        <v/>
      </c>
    </row>
    <row r="96">
      <c r="A96" s="22" t="inlineStr">
        <is>
          <t>AI 시대의 글쓰기</t>
        </is>
      </c>
      <c r="B96" s="22" t="inlineStr">
        <is>
          <t>장성민</t>
        </is>
      </c>
      <c r="C96" s="22" t="inlineStr">
        <is>
          <t>커뮤니케이션북스</t>
        </is>
      </c>
      <c r="D96" s="22" t="inlineStr">
        <is>
          <t>2024년 10월</t>
        </is>
      </c>
      <c r="E96" s="28" t="n">
        <v>12000</v>
      </c>
      <c r="F96" s="28" t="n">
        <v>12000</v>
      </c>
      <c r="G96" s="29" t="n">
        <v>0</v>
      </c>
      <c r="H96" s="29" t="n">
        <v>807</v>
      </c>
      <c r="I96" s="21" t="inlineStr">
        <is>
          <t>2024</t>
        </is>
      </c>
      <c r="J96" s="21" t="inlineStr">
        <is>
          <t xml:space="preserve"> 1</t>
        </is>
      </c>
      <c r="K96" s="30">
        <f>(E96-F96)/IF(E96&gt;0,E96,1)</f>
        <v/>
      </c>
    </row>
    <row r="97">
      <c r="A97" s="22" t="inlineStr">
        <is>
          <t>AI와 전문직의 미래</t>
        </is>
      </c>
      <c r="B97" s="22" t="inlineStr">
        <is>
          <t>김예성</t>
        </is>
      </c>
      <c r="C97" s="22" t="inlineStr">
        <is>
          <t>커뮤니케이션북스</t>
        </is>
      </c>
      <c r="D97" s="22" t="inlineStr">
        <is>
          <t>2025년 10월</t>
        </is>
      </c>
      <c r="E97" s="28" t="n">
        <v>12000</v>
      </c>
      <c r="F97" s="28" t="n">
        <v>12000</v>
      </c>
      <c r="G97" s="29" t="n">
        <v>0</v>
      </c>
      <c r="H97" s="29" t="n">
        <v>549</v>
      </c>
      <c r="I97" s="21" t="inlineStr">
        <is>
          <t>2025</t>
        </is>
      </c>
      <c r="J97" s="21" t="inlineStr">
        <is>
          <t xml:space="preserve"> 1</t>
        </is>
      </c>
      <c r="K97" s="30">
        <f>(E97-F97)/IF(E97&gt;0,E97,1)</f>
        <v/>
      </c>
    </row>
    <row r="98">
      <c r="A98" s="22" t="inlineStr">
        <is>
          <t>AI와 직장인 글쓰기</t>
        </is>
      </c>
      <c r="B98" s="22" t="inlineStr">
        <is>
          <t>전안나</t>
        </is>
      </c>
      <c r="C98" s="22" t="inlineStr">
        <is>
          <t>커뮤니케이션북스</t>
        </is>
      </c>
      <c r="D98" s="22" t="inlineStr">
        <is>
          <t>2025년 10월</t>
        </is>
      </c>
      <c r="E98" s="28" t="n">
        <v>12000</v>
      </c>
      <c r="F98" s="28" t="n">
        <v>12000</v>
      </c>
      <c r="G98" s="29" t="n">
        <v>7</v>
      </c>
      <c r="H98" s="29" t="n">
        <v>348</v>
      </c>
      <c r="I98" s="21" t="inlineStr">
        <is>
          <t>2025</t>
        </is>
      </c>
      <c r="J98" s="21" t="inlineStr">
        <is>
          <t xml:space="preserve"> 1</t>
        </is>
      </c>
      <c r="K98" s="30">
        <f>(E98-F98)/IF(E98&gt;0,E98,1)</f>
        <v/>
      </c>
    </row>
    <row r="99">
      <c r="A99" s="22" t="inlineStr">
        <is>
          <t>AI 휴머노이드 로봇</t>
        </is>
      </c>
      <c r="B99" s="22" t="inlineStr">
        <is>
          <t>손영성</t>
        </is>
      </c>
      <c r="C99" s="22" t="inlineStr">
        <is>
          <t>커뮤니케이션북스</t>
        </is>
      </c>
      <c r="D99" s="22" t="inlineStr">
        <is>
          <t>2025년 10월</t>
        </is>
      </c>
      <c r="E99" s="28" t="n">
        <v>12000</v>
      </c>
      <c r="F99" s="28" t="n">
        <v>12000</v>
      </c>
      <c r="G99" s="29" t="n">
        <v>0</v>
      </c>
      <c r="H99" s="29" t="n">
        <v>282</v>
      </c>
      <c r="I99" s="21" t="inlineStr">
        <is>
          <t>2025</t>
        </is>
      </c>
      <c r="J99" s="21" t="inlineStr">
        <is>
          <t xml:space="preserve"> 1</t>
        </is>
      </c>
      <c r="K99" s="30">
        <f>(E99-F99)/IF(E99&gt;0,E99,1)</f>
        <v/>
      </c>
    </row>
    <row r="100">
      <c r="A100" s="22" t="inlineStr">
        <is>
          <t>AI와 사회복지</t>
        </is>
      </c>
      <c r="B100" s="22" t="inlineStr">
        <is>
          <t>김현진</t>
        </is>
      </c>
      <c r="C100" s="22" t="inlineStr">
        <is>
          <t>커뮤니케이션북스</t>
        </is>
      </c>
      <c r="D100" s="22" t="inlineStr">
        <is>
          <t>2024년 06월</t>
        </is>
      </c>
      <c r="E100" s="28" t="n">
        <v>12000</v>
      </c>
      <c r="F100" s="28" t="n">
        <v>12000</v>
      </c>
      <c r="G100" s="29" t="n">
        <v>0</v>
      </c>
      <c r="H100" s="29" t="n">
        <v>306</v>
      </c>
      <c r="I100" s="21" t="inlineStr">
        <is>
          <t>2024</t>
        </is>
      </c>
      <c r="J100" s="21" t="inlineStr">
        <is>
          <t xml:space="preserve"> 0</t>
        </is>
      </c>
      <c r="K100" s="30">
        <f>(E100-F100)/IF(E100&gt;0,E100,1)</f>
        <v/>
      </c>
    </row>
    <row r="101">
      <c r="A101" s="22" t="inlineStr">
        <is>
          <t>AI와 의료 임상</t>
        </is>
      </c>
      <c r="B101" s="22" t="inlineStr">
        <is>
          <t>고범석</t>
        </is>
      </c>
      <c r="C101" s="22" t="inlineStr">
        <is>
          <t>커뮤니케이션북스</t>
        </is>
      </c>
      <c r="D101" s="22" t="inlineStr">
        <is>
          <t>2024년 08월</t>
        </is>
      </c>
      <c r="E101" s="28" t="n">
        <v>12000</v>
      </c>
      <c r="F101" s="28" t="n">
        <v>12000</v>
      </c>
      <c r="G101" s="29" t="n">
        <v>1</v>
      </c>
      <c r="H101" s="29" t="n">
        <v>240</v>
      </c>
      <c r="I101" s="21" t="inlineStr">
        <is>
          <t>2024</t>
        </is>
      </c>
      <c r="J101" s="21" t="inlineStr">
        <is>
          <t xml:space="preserve"> 0</t>
        </is>
      </c>
      <c r="K101" s="30">
        <f>(E101-F101)/IF(E101&gt;0,E101,1)</f>
        <v/>
      </c>
    </row>
    <row r="102">
      <c r="A102" s="22" t="inlineStr">
        <is>
          <t>AI와 패션 산업</t>
        </is>
      </c>
      <c r="B102" s="22" t="inlineStr">
        <is>
          <t>류현석</t>
        </is>
      </c>
      <c r="C102" s="22" t="inlineStr">
        <is>
          <t>커뮤니케이션북스</t>
        </is>
      </c>
      <c r="D102" s="22" t="inlineStr">
        <is>
          <t>2025년 09월</t>
        </is>
      </c>
      <c r="E102" s="28" t="n">
        <v>12000</v>
      </c>
      <c r="F102" s="28" t="n">
        <v>10920</v>
      </c>
      <c r="G102" s="29" t="n">
        <v>0</v>
      </c>
      <c r="H102" s="29" t="n">
        <v>240</v>
      </c>
      <c r="I102" s="21" t="inlineStr">
        <is>
          <t>2025</t>
        </is>
      </c>
      <c r="J102" s="21" t="inlineStr">
        <is>
          <t xml:space="preserve"> 0</t>
        </is>
      </c>
      <c r="K102" s="30">
        <f>(E102-F102)/IF(E102&gt;0,E102,1)</f>
        <v/>
      </c>
    </row>
    <row r="103">
      <c r="A103" s="22" t="inlineStr">
        <is>
          <t>인공지능과 저작권</t>
        </is>
      </c>
      <c r="B103" s="22" t="inlineStr">
        <is>
          <t>최승재</t>
        </is>
      </c>
      <c r="C103" s="22" t="inlineStr">
        <is>
          <t>커뮤니케이션북스</t>
        </is>
      </c>
      <c r="D103" s="22" t="inlineStr">
        <is>
          <t>2024년 06월</t>
        </is>
      </c>
      <c r="E103" s="28" t="n">
        <v>12000</v>
      </c>
      <c r="F103" s="28" t="n">
        <v>12000</v>
      </c>
      <c r="G103" s="29" t="n">
        <v>0</v>
      </c>
      <c r="H103" s="29" t="n">
        <v>174</v>
      </c>
      <c r="I103" s="21" t="inlineStr">
        <is>
          <t>2024</t>
        </is>
      </c>
      <c r="J103" s="21" t="inlineStr">
        <is>
          <t xml:space="preserve"> 0</t>
        </is>
      </c>
      <c r="K103" s="30">
        <f>(E103-F103)/IF(E103&gt;0,E103,1)</f>
        <v/>
      </c>
    </row>
    <row r="104">
      <c r="A104" s="22" t="inlineStr">
        <is>
          <t>AI와 미술 교육</t>
        </is>
      </c>
      <c r="B104" s="22" t="inlineStr">
        <is>
          <t>손지현</t>
        </is>
      </c>
      <c r="C104" s="22" t="inlineStr">
        <is>
          <t>커뮤니케이션북스</t>
        </is>
      </c>
      <c r="D104" s="22" t="inlineStr">
        <is>
          <t>2025년 09월</t>
        </is>
      </c>
      <c r="E104" s="28" t="n">
        <v>12000</v>
      </c>
      <c r="F104" s="28" t="n">
        <v>12000</v>
      </c>
      <c r="G104" s="29" t="n">
        <v>0</v>
      </c>
      <c r="H104" s="29" t="n">
        <v>216</v>
      </c>
      <c r="I104" s="21" t="inlineStr">
        <is>
          <t>2025</t>
        </is>
      </c>
      <c r="J104" s="21" t="inlineStr">
        <is>
          <t xml:space="preserve"> 0</t>
        </is>
      </c>
      <c r="K104" s="30">
        <f>(E104-F104)/IF(E104&gt;0,E104,1)</f>
        <v/>
      </c>
    </row>
    <row r="105">
      <c r="A105" s="22" t="inlineStr">
        <is>
          <t>교사를 위한 AI 툴</t>
        </is>
      </c>
      <c r="B105" s="22" t="inlineStr">
        <is>
          <t>임태형</t>
        </is>
      </c>
      <c r="C105" s="22" t="inlineStr">
        <is>
          <t>커뮤니케이션북스</t>
        </is>
      </c>
      <c r="D105" s="22" t="inlineStr">
        <is>
          <t>2025년 05월</t>
        </is>
      </c>
      <c r="E105" s="28" t="n">
        <v>12000</v>
      </c>
      <c r="F105" s="28" t="n">
        <v>12000</v>
      </c>
      <c r="G105" s="29" t="n">
        <v>1</v>
      </c>
      <c r="H105" s="29" t="n">
        <v>186</v>
      </c>
      <c r="I105" s="21" t="inlineStr">
        <is>
          <t>2025</t>
        </is>
      </c>
      <c r="J105" s="21" t="inlineStr">
        <is>
          <t xml:space="preserve"> 0</t>
        </is>
      </c>
      <c r="K105" s="30">
        <f>(E105-F105)/IF(E105&gt;0,E105,1)</f>
        <v/>
      </c>
    </row>
    <row r="106">
      <c r="A106" s="22" t="inlineStr">
        <is>
          <t>생성형 AI 영상 제작</t>
        </is>
      </c>
      <c r="B106" s="22" t="inlineStr">
        <is>
          <t>김광집, 윤권수</t>
        </is>
      </c>
      <c r="C106" s="22" t="inlineStr">
        <is>
          <t>커뮤니케이션북스</t>
        </is>
      </c>
      <c r="D106" s="22" t="inlineStr">
        <is>
          <t>2025년 03월</t>
        </is>
      </c>
      <c r="E106" s="28" t="n">
        <v>12000</v>
      </c>
      <c r="F106" s="28" t="n">
        <v>12000</v>
      </c>
      <c r="G106" s="29" t="n">
        <v>0</v>
      </c>
      <c r="H106" s="29" t="n">
        <v>186</v>
      </c>
      <c r="I106" s="21" t="inlineStr">
        <is>
          <t>2025</t>
        </is>
      </c>
      <c r="J106" s="21" t="inlineStr">
        <is>
          <t xml:space="preserve"> 0</t>
        </is>
      </c>
      <c r="K106" s="30">
        <f>(E106-F106)/IF(E106&gt;0,E106,1)</f>
        <v/>
      </c>
    </row>
    <row r="107">
      <c r="A107" s="22" t="inlineStr">
        <is>
          <t>AI와 사이버 보안</t>
        </is>
      </c>
      <c r="B107" s="22" t="inlineStr">
        <is>
          <t>이승은</t>
        </is>
      </c>
      <c r="C107" s="22" t="inlineStr">
        <is>
          <t>커뮤니케이션북스</t>
        </is>
      </c>
      <c r="D107" s="22" t="inlineStr">
        <is>
          <t>2025년 06월</t>
        </is>
      </c>
      <c r="E107" s="28" t="n">
        <v>12000</v>
      </c>
      <c r="F107" s="28" t="n">
        <v>12000</v>
      </c>
      <c r="G107" s="29" t="n">
        <v>0</v>
      </c>
      <c r="H107" s="29" t="n">
        <v>168</v>
      </c>
      <c r="I107" s="21" t="inlineStr">
        <is>
          <t>2025</t>
        </is>
      </c>
      <c r="J107" s="21" t="inlineStr">
        <is>
          <t xml:space="preserve"> 0</t>
        </is>
      </c>
      <c r="K107" s="30">
        <f>(E107-F107)/IF(E107&gt;0,E107,1)</f>
        <v/>
      </c>
    </row>
    <row r="108">
      <c r="A108" s="22" t="inlineStr">
        <is>
          <t>학교에서 바라본 사고하는 AI 리터러시 교육</t>
        </is>
      </c>
      <c r="B108" s="22" t="inlineStr">
        <is>
          <t>신하은</t>
        </is>
      </c>
      <c r="C108" s="22" t="inlineStr">
        <is>
          <t>커뮤니케이션북스</t>
        </is>
      </c>
      <c r="D108" s="22" t="inlineStr">
        <is>
          <t>2026년 01월</t>
        </is>
      </c>
      <c r="E108" s="28" t="n">
        <v>12000</v>
      </c>
      <c r="F108" s="28" t="n">
        <v>12000</v>
      </c>
      <c r="G108" s="29" t="n">
        <v>0</v>
      </c>
      <c r="H108" s="29" t="n">
        <v>126</v>
      </c>
      <c r="I108" s="21" t="inlineStr">
        <is>
          <t>2026</t>
        </is>
      </c>
      <c r="J108" s="21" t="inlineStr">
        <is>
          <t xml:space="preserve"> 0</t>
        </is>
      </c>
      <c r="K108" s="30">
        <f>(E108-F108)/IF(E108&gt;0,E108,1)</f>
        <v/>
      </c>
    </row>
    <row r="109">
      <c r="A109" s="22" t="inlineStr">
        <is>
          <t>AI와 도시 계획</t>
        </is>
      </c>
      <c r="B109" s="22" t="inlineStr">
        <is>
          <t>이희정</t>
        </is>
      </c>
      <c r="C109" s="22" t="inlineStr">
        <is>
          <t>커뮤니케이션북스</t>
        </is>
      </c>
      <c r="D109" s="22" t="inlineStr">
        <is>
          <t>2026년 01월</t>
        </is>
      </c>
      <c r="E109" s="28" t="n">
        <v>12000</v>
      </c>
      <c r="F109" s="28" t="n">
        <v>12000</v>
      </c>
      <c r="G109" s="29" t="n">
        <v>2</v>
      </c>
      <c r="H109" s="29" t="n">
        <v>132</v>
      </c>
      <c r="I109" s="21" t="inlineStr">
        <is>
          <t>2026</t>
        </is>
      </c>
      <c r="J109" s="21" t="inlineStr">
        <is>
          <t xml:space="preserve"> 0</t>
        </is>
      </c>
      <c r="K109" s="30">
        <f>(E109-F109)/IF(E109&gt;0,E109,1)</f>
        <v/>
      </c>
    </row>
    <row r="110">
      <c r="A110" s="22" t="inlineStr">
        <is>
          <t>AI 부동산 경매</t>
        </is>
      </c>
      <c r="B110" s="22" t="inlineStr">
        <is>
          <t>이주왕, 오연재</t>
        </is>
      </c>
      <c r="C110" s="22" t="inlineStr">
        <is>
          <t>커뮤니케이션북스</t>
        </is>
      </c>
      <c r="D110" s="22" t="inlineStr">
        <is>
          <t>2026년 03월</t>
        </is>
      </c>
      <c r="E110" s="28" t="n">
        <v>12000</v>
      </c>
      <c r="F110" s="28" t="n">
        <v>12000</v>
      </c>
      <c r="G110" s="29" t="n">
        <v>0</v>
      </c>
      <c r="H110" s="29" t="n">
        <v>126</v>
      </c>
      <c r="I110" s="21" t="inlineStr">
        <is>
          <t>2026</t>
        </is>
      </c>
      <c r="J110" s="21" t="inlineStr">
        <is>
          <t xml:space="preserve"> 0</t>
        </is>
      </c>
      <c r="K110" s="30">
        <f>(E110-F110)/IF(E110&gt;0,E110,1)</f>
        <v/>
      </c>
    </row>
    <row r="111">
      <c r="A111" s="22" t="inlineStr">
        <is>
          <t>AI 위험사회와 정치</t>
        </is>
      </c>
      <c r="B111" s="22" t="inlineStr">
        <is>
          <t>최윤재</t>
        </is>
      </c>
      <c r="C111" s="22" t="inlineStr">
        <is>
          <t>커뮤니케이션북스</t>
        </is>
      </c>
      <c r="D111" s="22" t="inlineStr">
        <is>
          <t>2025년 11월</t>
        </is>
      </c>
      <c r="E111" s="28" t="n">
        <v>12000</v>
      </c>
      <c r="F111" s="28" t="n">
        <v>12000</v>
      </c>
      <c r="G111" s="29" t="n">
        <v>0</v>
      </c>
      <c r="H111" s="29" t="n">
        <v>144</v>
      </c>
      <c r="I111" s="21" t="inlineStr">
        <is>
          <t>2025</t>
        </is>
      </c>
      <c r="J111" s="21" t="inlineStr">
        <is>
          <t xml:space="preserve"> 1</t>
        </is>
      </c>
      <c r="K111" s="30">
        <f>(E111-F111)/IF(E111&gt;0,E111,1)</f>
        <v/>
      </c>
    </row>
    <row r="112">
      <c r="A112" s="22" t="inlineStr">
        <is>
          <t>AI 음악 생성기, 수노</t>
        </is>
      </c>
      <c r="B112" s="22" t="inlineStr">
        <is>
          <t>박은비, 양종모</t>
        </is>
      </c>
      <c r="C112" s="22" t="inlineStr">
        <is>
          <t>커뮤니케이션북스</t>
        </is>
      </c>
      <c r="D112" s="22" t="inlineStr">
        <is>
          <t>2025년 10월</t>
        </is>
      </c>
      <c r="E112" s="28" t="n">
        <v>12000</v>
      </c>
      <c r="F112" s="28" t="n">
        <v>12000</v>
      </c>
      <c r="G112" s="29" t="n">
        <v>0</v>
      </c>
      <c r="H112" s="29" t="n">
        <v>171</v>
      </c>
      <c r="I112" s="21" t="inlineStr">
        <is>
          <t>2025</t>
        </is>
      </c>
      <c r="J112" s="21" t="inlineStr">
        <is>
          <t xml:space="preserve"> 1</t>
        </is>
      </c>
      <c r="K112" s="30">
        <f>(E112-F112)/IF(E112&gt;0,E112,1)</f>
        <v/>
      </c>
    </row>
    <row r="113">
      <c r="A113" s="22" t="inlineStr">
        <is>
          <t>AI 도서관 트렌드</t>
        </is>
      </c>
      <c r="B113" s="22" t="inlineStr">
        <is>
          <t>김지영</t>
        </is>
      </c>
      <c r="C113" s="22" t="inlineStr">
        <is>
          <t>커뮤니케이션북스</t>
        </is>
      </c>
      <c r="D113" s="22" t="inlineStr">
        <is>
          <t>2025년 10월</t>
        </is>
      </c>
      <c r="E113" s="28" t="n">
        <v>12000</v>
      </c>
      <c r="F113" s="28" t="n">
        <v>11400</v>
      </c>
      <c r="G113" s="29" t="n">
        <v>0</v>
      </c>
      <c r="H113" s="29" t="n">
        <v>162</v>
      </c>
      <c r="I113" s="21" t="inlineStr">
        <is>
          <t>2025</t>
        </is>
      </c>
      <c r="J113" s="21" t="inlineStr">
        <is>
          <t xml:space="preserve"> 1</t>
        </is>
      </c>
      <c r="K113" s="30">
        <f>(E113-F113)/IF(E113&gt;0,E113,1)</f>
        <v/>
      </c>
    </row>
    <row r="114">
      <c r="A114" s="22" t="inlineStr">
        <is>
          <t>AI와 전쟁</t>
        </is>
      </c>
      <c r="B114" s="22" t="inlineStr">
        <is>
          <t>양우진</t>
        </is>
      </c>
      <c r="C114" s="22" t="inlineStr">
        <is>
          <t>커뮤니케이션북스</t>
        </is>
      </c>
      <c r="D114" s="22" t="inlineStr">
        <is>
          <t>2025년 05월</t>
        </is>
      </c>
      <c r="E114" s="28" t="n">
        <v>12000</v>
      </c>
      <c r="F114" s="28" t="n">
        <v>12000</v>
      </c>
      <c r="G114" s="29" t="n">
        <v>0</v>
      </c>
      <c r="H114" s="29" t="n">
        <v>132</v>
      </c>
      <c r="I114" s="21" t="inlineStr">
        <is>
          <t>2025</t>
        </is>
      </c>
      <c r="J114" s="21" t="inlineStr">
        <is>
          <t xml:space="preserve"> 0</t>
        </is>
      </c>
      <c r="K114" s="30">
        <f>(E114-F114)/IF(E114&gt;0,E114,1)</f>
        <v/>
      </c>
    </row>
    <row r="115">
      <c r="A115" s="22" t="inlineStr">
        <is>
          <t>AI와 윤리 이슈</t>
        </is>
      </c>
      <c r="B115" s="22" t="inlineStr">
        <is>
          <t>김용환, 임희정</t>
        </is>
      </c>
      <c r="C115" s="22" t="inlineStr">
        <is>
          <t>커뮤니케이션북스</t>
        </is>
      </c>
      <c r="D115" s="22" t="inlineStr">
        <is>
          <t>2025년 05월</t>
        </is>
      </c>
      <c r="E115" s="28" t="n">
        <v>12000</v>
      </c>
      <c r="F115" s="28" t="n">
        <v>12000</v>
      </c>
      <c r="G115" s="29" t="n">
        <v>0</v>
      </c>
      <c r="H115" s="29" t="n">
        <v>150</v>
      </c>
      <c r="I115" s="21" t="inlineStr">
        <is>
          <t>2025</t>
        </is>
      </c>
      <c r="J115" s="21" t="inlineStr">
        <is>
          <t xml:space="preserve"> 0</t>
        </is>
      </c>
      <c r="K115" s="30">
        <f>(E115-F115)/IF(E115&gt;0,E115,1)</f>
        <v/>
      </c>
    </row>
    <row r="116">
      <c r="A116" s="22" t="inlineStr">
        <is>
          <t>AI와 인문학의 주제들</t>
        </is>
      </c>
      <c r="B116" s="22" t="inlineStr">
        <is>
          <t>정서현, 우동현, 김동우</t>
        </is>
      </c>
      <c r="C116" s="22" t="inlineStr">
        <is>
          <t>커뮤니케이션북스</t>
        </is>
      </c>
      <c r="D116" s="22" t="inlineStr">
        <is>
          <t>2025년 02월</t>
        </is>
      </c>
      <c r="E116" s="28" t="n">
        <v>12000</v>
      </c>
      <c r="F116" s="28" t="n">
        <v>12000</v>
      </c>
      <c r="G116" s="29" t="n">
        <v>0</v>
      </c>
      <c r="H116" s="29" t="n">
        <v>159</v>
      </c>
      <c r="I116" s="21" t="inlineStr">
        <is>
          <t>2025</t>
        </is>
      </c>
      <c r="J116" s="21" t="inlineStr">
        <is>
          <t xml:space="preserve"> 0</t>
        </is>
      </c>
      <c r="K116" s="30">
        <f>(E116-F116)/IF(E116&gt;0,E116,1)</f>
        <v/>
      </c>
    </row>
    <row r="117">
      <c r="A117" s="22" t="inlineStr">
        <is>
          <t>AI와 대학 글쓰기</t>
        </is>
      </c>
      <c r="B117" s="22" t="inlineStr">
        <is>
          <t>주민재</t>
        </is>
      </c>
      <c r="C117" s="22" t="inlineStr">
        <is>
          <t>커뮤니케이션북스</t>
        </is>
      </c>
      <c r="D117" s="22" t="inlineStr">
        <is>
          <t>2026년 01월</t>
        </is>
      </c>
      <c r="E117" s="28" t="n">
        <v>12000</v>
      </c>
      <c r="F117" s="28" t="n">
        <v>12000</v>
      </c>
      <c r="G117" s="29" t="n">
        <v>0</v>
      </c>
      <c r="H117" s="29" t="n">
        <v>168</v>
      </c>
      <c r="I117" s="21" t="inlineStr">
        <is>
          <t>2026</t>
        </is>
      </c>
      <c r="J117" s="21" t="inlineStr">
        <is>
          <t xml:space="preserve"> 0</t>
        </is>
      </c>
      <c r="K117" s="30">
        <f>(E117-F117)/IF(E117&gt;0,E117,1)</f>
        <v/>
      </c>
    </row>
    <row r="118">
      <c r="A118" s="22" t="inlineStr">
        <is>
          <t>AI와 디자인 언어</t>
        </is>
      </c>
      <c r="B118" s="22" t="inlineStr">
        <is>
          <t>조택연</t>
        </is>
      </c>
      <c r="C118" s="22" t="inlineStr">
        <is>
          <t>커뮤니케이션북스</t>
        </is>
      </c>
      <c r="D118" s="22" t="inlineStr">
        <is>
          <t>2025년 06월</t>
        </is>
      </c>
      <c r="E118" s="28" t="n">
        <v>12000</v>
      </c>
      <c r="F118" s="28" t="n">
        <v>12000</v>
      </c>
      <c r="G118" s="29" t="n">
        <v>0</v>
      </c>
      <c r="H118" s="29" t="n">
        <v>138</v>
      </c>
      <c r="I118" s="21" t="inlineStr">
        <is>
          <t>2025</t>
        </is>
      </c>
      <c r="J118" s="21" t="inlineStr">
        <is>
          <t xml:space="preserve"> 0</t>
        </is>
      </c>
      <c r="K118" s="30">
        <f>(E118-F118)/IF(E118&gt;0,E118,1)</f>
        <v/>
      </c>
    </row>
    <row r="119">
      <c r="A119" s="22" t="inlineStr">
        <is>
          <t>AI와 UX 디자인</t>
        </is>
      </c>
      <c r="B119" s="22" t="inlineStr">
        <is>
          <t>김향아</t>
        </is>
      </c>
      <c r="C119" s="22" t="inlineStr">
        <is>
          <t>커뮤니케이션북스</t>
        </is>
      </c>
      <c r="D119" s="22" t="inlineStr">
        <is>
          <t>2025년 06월</t>
        </is>
      </c>
      <c r="E119" s="28" t="n">
        <v>12000</v>
      </c>
      <c r="F119" s="28" t="n">
        <v>12000</v>
      </c>
      <c r="G119" s="29" t="n">
        <v>2</v>
      </c>
      <c r="H119" s="29" t="n">
        <v>132</v>
      </c>
      <c r="I119" s="21" t="inlineStr">
        <is>
          <t>2025</t>
        </is>
      </c>
      <c r="J119" s="21" t="inlineStr">
        <is>
          <t xml:space="preserve"> 0</t>
        </is>
      </c>
      <c r="K119" s="30">
        <f>(E119-F119)/IF(E119&gt;0,E119,1)</f>
        <v/>
      </c>
    </row>
    <row r="120">
      <c r="A120" s="22" t="inlineStr">
        <is>
          <t>AI와 무용 교육</t>
        </is>
      </c>
      <c r="B120" s="22" t="inlineStr">
        <is>
          <t>김경미</t>
        </is>
      </c>
      <c r="C120" s="22" t="inlineStr">
        <is>
          <t>커뮤니케이션북스</t>
        </is>
      </c>
      <c r="D120" s="22" t="inlineStr">
        <is>
          <t>2025년 11월</t>
        </is>
      </c>
      <c r="E120" s="28" t="n">
        <v>12000</v>
      </c>
      <c r="F120" s="28" t="n">
        <v>12000</v>
      </c>
      <c r="G120" s="29" t="n">
        <v>0</v>
      </c>
      <c r="H120" s="29" t="n">
        <v>96</v>
      </c>
      <c r="I120" s="21" t="inlineStr">
        <is>
          <t>2025</t>
        </is>
      </c>
      <c r="J120" s="21" t="inlineStr">
        <is>
          <t xml:space="preserve"> 1</t>
        </is>
      </c>
      <c r="K120" s="30">
        <f>(E120-F120)/IF(E120&gt;0,E120,1)</f>
        <v/>
      </c>
    </row>
    <row r="121">
      <c r="A121" s="22" t="inlineStr">
        <is>
          <t>AI와 한의학</t>
        </is>
      </c>
      <c r="B121" s="22" t="inlineStr">
        <is>
          <t>김경묵</t>
        </is>
      </c>
      <c r="C121" s="22" t="inlineStr">
        <is>
          <t>커뮤니케이션북스</t>
        </is>
      </c>
      <c r="D121" s="22" t="inlineStr">
        <is>
          <t>2025년 03월</t>
        </is>
      </c>
      <c r="E121" s="28" t="n">
        <v>12000</v>
      </c>
      <c r="F121" s="28" t="n">
        <v>12000</v>
      </c>
      <c r="G121" s="29" t="n">
        <v>1</v>
      </c>
      <c r="H121" s="29" t="n">
        <v>78</v>
      </c>
      <c r="I121" s="21" t="inlineStr">
        <is>
          <t>2025</t>
        </is>
      </c>
      <c r="J121" s="21" t="inlineStr">
        <is>
          <t xml:space="preserve"> 0</t>
        </is>
      </c>
      <c r="K121" s="30">
        <f>(E121-F121)/IF(E121&gt;0,E121,1)</f>
        <v/>
      </c>
    </row>
    <row r="122">
      <c r="A122" s="22" t="inlineStr">
        <is>
          <t>AI를 이용한 사회과학 연구 방법</t>
        </is>
      </c>
      <c r="B122" s="22" t="inlineStr">
        <is>
          <t>이상엽</t>
        </is>
      </c>
      <c r="C122" s="22" t="inlineStr">
        <is>
          <t>커뮤니케이션북스</t>
        </is>
      </c>
      <c r="D122" s="22" t="inlineStr">
        <is>
          <t>2024년 12월</t>
        </is>
      </c>
      <c r="E122" s="28" t="n">
        <v>12000</v>
      </c>
      <c r="F122" s="28" t="n">
        <v>12000</v>
      </c>
      <c r="G122" s="29" t="n">
        <v>0</v>
      </c>
      <c r="H122" s="29" t="n">
        <v>138</v>
      </c>
      <c r="I122" s="21" t="inlineStr">
        <is>
          <t>2024</t>
        </is>
      </c>
      <c r="J122" s="21" t="inlineStr">
        <is>
          <t xml:space="preserve"> 1</t>
        </is>
      </c>
      <c r="K122" s="30">
        <f>(E122-F122)/IF(E122&gt;0,E122,1)</f>
        <v/>
      </c>
    </row>
    <row r="123">
      <c r="A123" s="22" t="inlineStr">
        <is>
          <t>농업과 AI</t>
        </is>
      </c>
      <c r="B123" s="22" t="inlineStr">
        <is>
          <t>김동원</t>
        </is>
      </c>
      <c r="C123" s="22" t="inlineStr">
        <is>
          <t>커뮤니케이션북스</t>
        </is>
      </c>
      <c r="D123" s="22" t="inlineStr">
        <is>
          <t>2024년 08월</t>
        </is>
      </c>
      <c r="E123" s="28" t="n">
        <v>12000</v>
      </c>
      <c r="F123" s="28" t="n">
        <v>12000</v>
      </c>
      <c r="G123" s="29" t="n">
        <v>1</v>
      </c>
      <c r="H123" s="29" t="n">
        <v>102</v>
      </c>
      <c r="I123" s="21" t="inlineStr">
        <is>
          <t>2024</t>
        </is>
      </c>
      <c r="J123" s="21" t="inlineStr">
        <is>
          <t xml:space="preserve"> 0</t>
        </is>
      </c>
      <c r="K123" s="30">
        <f>(E123-F123)/IF(E123&gt;0,E123,1)</f>
        <v/>
      </c>
    </row>
    <row r="124">
      <c r="A124" s="22" t="inlineStr">
        <is>
          <t>AI와 직업 빅뱅</t>
        </is>
      </c>
      <c r="B124" s="22" t="inlineStr">
        <is>
          <t>한기석</t>
        </is>
      </c>
      <c r="C124" s="22" t="inlineStr">
        <is>
          <t>커뮤니케이션북스</t>
        </is>
      </c>
      <c r="D124" s="22" t="inlineStr">
        <is>
          <t>2024년 07월</t>
        </is>
      </c>
      <c r="E124" s="28" t="n">
        <v>12000</v>
      </c>
      <c r="F124" s="28" t="n">
        <v>12000</v>
      </c>
      <c r="G124" s="29" t="n">
        <v>0</v>
      </c>
      <c r="H124" s="29" t="n">
        <v>90</v>
      </c>
      <c r="I124" s="21" t="inlineStr">
        <is>
          <t>2024</t>
        </is>
      </c>
      <c r="J124" s="21" t="inlineStr">
        <is>
          <t xml:space="preserve"> 0</t>
        </is>
      </c>
      <c r="K124" s="30">
        <f>(E124-F124)/IF(E124&gt;0,E124,1)</f>
        <v/>
      </c>
    </row>
    <row r="125">
      <c r="A125" s="22" t="inlineStr">
        <is>
          <t>AI와 개인정보</t>
        </is>
      </c>
      <c r="B125" s="22" t="inlineStr">
        <is>
          <t>최경진</t>
        </is>
      </c>
      <c r="C125" s="22" t="inlineStr">
        <is>
          <t>커뮤니케이션북스</t>
        </is>
      </c>
      <c r="D125" s="22" t="inlineStr">
        <is>
          <t>2026년 03월</t>
        </is>
      </c>
      <c r="E125" s="28" t="n">
        <v>12000</v>
      </c>
      <c r="F125" s="28" t="n">
        <v>12000</v>
      </c>
      <c r="G125" s="29" t="n">
        <v>0</v>
      </c>
      <c r="H125" s="29" t="n">
        <v>258</v>
      </c>
      <c r="I125" s="21" t="inlineStr">
        <is>
          <t>2026</t>
        </is>
      </c>
      <c r="J125" s="21" t="inlineStr">
        <is>
          <t xml:space="preserve"> 0</t>
        </is>
      </c>
      <c r="K125" s="30">
        <f>(E125-F125)/IF(E125&gt;0,E125,1)</f>
        <v/>
      </c>
    </row>
    <row r="126">
      <c r="A126" s="22" t="inlineStr">
        <is>
          <t>AI로 기획서 쓰기</t>
        </is>
      </c>
      <c r="B126" s="22" t="inlineStr">
        <is>
          <t>윤영돈</t>
        </is>
      </c>
      <c r="C126" s="22" t="inlineStr">
        <is>
          <t>커뮤니케이션북스</t>
        </is>
      </c>
      <c r="D126" s="22" t="inlineStr">
        <is>
          <t>2026년 03월</t>
        </is>
      </c>
      <c r="E126" s="28" t="n">
        <v>12000</v>
      </c>
      <c r="F126" s="28" t="n">
        <v>12000</v>
      </c>
      <c r="G126" s="29" t="n">
        <v>0</v>
      </c>
      <c r="H126" s="29" t="n">
        <v>102</v>
      </c>
      <c r="I126" s="21" t="inlineStr">
        <is>
          <t>2026</t>
        </is>
      </c>
      <c r="J126" s="21" t="inlineStr">
        <is>
          <t xml:space="preserve"> 0</t>
        </is>
      </c>
      <c r="K126" s="30">
        <f>(E126-F126)/IF(E126&gt;0,E126,1)</f>
        <v/>
      </c>
    </row>
    <row r="127">
      <c r="A127" s="22" t="inlineStr">
        <is>
          <t>도서관과 AI</t>
        </is>
      </c>
      <c r="B127" s="22" t="inlineStr">
        <is>
          <t>송현경</t>
        </is>
      </c>
      <c r="C127" s="22" t="inlineStr">
        <is>
          <t>커뮤니케이션북스</t>
        </is>
      </c>
      <c r="D127" s="22" t="inlineStr">
        <is>
          <t>2025년 12월</t>
        </is>
      </c>
      <c r="E127" s="28" t="n">
        <v>12000</v>
      </c>
      <c r="F127" s="28" t="n">
        <v>12000</v>
      </c>
      <c r="G127" s="29" t="n">
        <v>0</v>
      </c>
      <c r="H127" s="29" t="n">
        <v>114</v>
      </c>
      <c r="I127" s="21" t="inlineStr">
        <is>
          <t>2025</t>
        </is>
      </c>
      <c r="J127" s="21" t="inlineStr">
        <is>
          <t xml:space="preserve"> 1</t>
        </is>
      </c>
      <c r="K127" s="30">
        <f>(E127-F127)/IF(E127&gt;0,E127,1)</f>
        <v/>
      </c>
    </row>
    <row r="128">
      <c r="A128" s="22" t="inlineStr">
        <is>
          <t>AI와 직원 경험</t>
        </is>
      </c>
      <c r="B128" s="22" t="inlineStr">
        <is>
          <t>윤명훈</t>
        </is>
      </c>
      <c r="C128" s="22" t="inlineStr">
        <is>
          <t>커뮤니케이션북스</t>
        </is>
      </c>
      <c r="D128" s="22" t="inlineStr">
        <is>
          <t>2025년 11월</t>
        </is>
      </c>
      <c r="E128" s="28" t="n">
        <v>12000</v>
      </c>
      <c r="F128" s="28" t="n">
        <v>12000</v>
      </c>
      <c r="G128" s="29" t="n">
        <v>0</v>
      </c>
      <c r="H128" s="29" t="n">
        <v>102</v>
      </c>
      <c r="I128" s="21" t="inlineStr">
        <is>
          <t>2025</t>
        </is>
      </c>
      <c r="J128" s="21" t="inlineStr">
        <is>
          <t xml:space="preserve"> 1</t>
        </is>
      </c>
      <c r="K128" s="30">
        <f>(E128-F128)/IF(E128&gt;0,E128,1)</f>
        <v/>
      </c>
    </row>
    <row r="129">
      <c r="A129" s="22" t="inlineStr">
        <is>
          <t>인공지능과 언어 윤리</t>
        </is>
      </c>
      <c r="B129" s="22" t="inlineStr">
        <is>
          <t>남길임, 송현주</t>
        </is>
      </c>
      <c r="C129" s="22" t="inlineStr">
        <is>
          <t>커뮤니케이션북스</t>
        </is>
      </c>
      <c r="D129" s="22" t="inlineStr">
        <is>
          <t>2025년 11월</t>
        </is>
      </c>
      <c r="E129" s="28" t="n">
        <v>12000</v>
      </c>
      <c r="F129" s="28" t="n">
        <v>12000</v>
      </c>
      <c r="G129" s="29" t="n">
        <v>0</v>
      </c>
      <c r="H129" s="29" t="n">
        <v>78</v>
      </c>
      <c r="I129" s="21" t="inlineStr">
        <is>
          <t>2025</t>
        </is>
      </c>
      <c r="J129" s="21" t="inlineStr">
        <is>
          <t xml:space="preserve"> 1</t>
        </is>
      </c>
      <c r="K129" s="30">
        <f>(E129-F129)/IF(E129&gt;0,E129,1)</f>
        <v/>
      </c>
    </row>
    <row r="130">
      <c r="A130" s="22" t="inlineStr">
        <is>
          <t>AI 영상 편집 마스터</t>
        </is>
      </c>
      <c r="B130" s="22" t="inlineStr">
        <is>
          <t>박인수</t>
        </is>
      </c>
      <c r="C130" s="22" t="inlineStr">
        <is>
          <t>커뮤니케이션북스</t>
        </is>
      </c>
      <c r="D130" s="22" t="inlineStr">
        <is>
          <t>2025년 10월</t>
        </is>
      </c>
      <c r="E130" s="28" t="n">
        <v>12000</v>
      </c>
      <c r="F130" s="28" t="n">
        <v>12000</v>
      </c>
      <c r="G130" s="29" t="n">
        <v>0</v>
      </c>
      <c r="H130" s="29" t="n">
        <v>102</v>
      </c>
      <c r="I130" s="21" t="inlineStr">
        <is>
          <t>2025</t>
        </is>
      </c>
      <c r="J130" s="21" t="inlineStr">
        <is>
          <t xml:space="preserve"> 1</t>
        </is>
      </c>
      <c r="K130" s="30">
        <f>(E130-F130)/IF(E130&gt;0,E130,1)</f>
        <v/>
      </c>
    </row>
    <row r="131">
      <c r="A131" s="22" t="inlineStr">
        <is>
          <t>AI 법과 아이피 이슈</t>
        </is>
      </c>
      <c r="B131" s="22" t="inlineStr">
        <is>
          <t>정윤경</t>
        </is>
      </c>
      <c r="C131" s="22" t="inlineStr">
        <is>
          <t>커뮤니케이션북스</t>
        </is>
      </c>
      <c r="D131" s="22" t="inlineStr">
        <is>
          <t>2025년 10월</t>
        </is>
      </c>
      <c r="E131" s="28" t="n">
        <v>12000</v>
      </c>
      <c r="F131" s="28" t="n">
        <v>12000</v>
      </c>
      <c r="G131" s="29" t="n">
        <v>0</v>
      </c>
      <c r="H131" s="29" t="n">
        <v>90</v>
      </c>
      <c r="I131" s="21" t="inlineStr">
        <is>
          <t>2025</t>
        </is>
      </c>
      <c r="J131" s="21" t="inlineStr">
        <is>
          <t xml:space="preserve"> 1</t>
        </is>
      </c>
      <c r="K131" s="30">
        <f>(E131-F131)/IF(E131&gt;0,E131,1)</f>
        <v/>
      </c>
    </row>
    <row r="132">
      <c r="A132" s="22" t="inlineStr">
        <is>
          <t>AI 주권과 지속 가능한 공공 파운데이션 모델</t>
        </is>
      </c>
      <c r="B132" s="22" t="inlineStr">
        <is>
          <t>윤창희</t>
        </is>
      </c>
      <c r="C132" s="22" t="inlineStr">
        <is>
          <t>커뮤니케이션북스</t>
        </is>
      </c>
      <c r="D132" s="22" t="inlineStr">
        <is>
          <t>2025년 09월</t>
        </is>
      </c>
      <c r="E132" s="28" t="n">
        <v>12000</v>
      </c>
      <c r="F132" s="28" t="n">
        <v>12000</v>
      </c>
      <c r="G132" s="29" t="n">
        <v>1</v>
      </c>
      <c r="H132" s="29" t="n">
        <v>114</v>
      </c>
      <c r="I132" s="21" t="inlineStr">
        <is>
          <t>2025</t>
        </is>
      </c>
      <c r="J132" s="21" t="inlineStr">
        <is>
          <t xml:space="preserve"> 0</t>
        </is>
      </c>
      <c r="K132" s="30">
        <f>(E132-F132)/IF(E132&gt;0,E132,1)</f>
        <v/>
      </c>
    </row>
    <row r="133">
      <c r="A133" s="22" t="inlineStr">
        <is>
          <t>AI와 회계사</t>
        </is>
      </c>
      <c r="B133" s="22" t="inlineStr">
        <is>
          <t>윤양인</t>
        </is>
      </c>
      <c r="C133" s="22" t="inlineStr">
        <is>
          <t>커뮤니케이션북스</t>
        </is>
      </c>
      <c r="D133" s="22" t="inlineStr">
        <is>
          <t>2025년 05월</t>
        </is>
      </c>
      <c r="E133" s="28" t="n">
        <v>12000</v>
      </c>
      <c r="F133" s="28" t="n">
        <v>12000</v>
      </c>
      <c r="G133" s="29" t="n">
        <v>0</v>
      </c>
      <c r="H133" s="29" t="n">
        <v>114</v>
      </c>
      <c r="I133" s="21" t="inlineStr">
        <is>
          <t>2025</t>
        </is>
      </c>
      <c r="J133" s="21" t="inlineStr">
        <is>
          <t xml:space="preserve"> 0</t>
        </is>
      </c>
      <c r="K133" s="30">
        <f>(E133-F133)/IF(E133&gt;0,E133,1)</f>
        <v/>
      </c>
    </row>
    <row r="134">
      <c r="A134" s="22" t="inlineStr">
        <is>
          <t>AI와 인간관계의 변화</t>
        </is>
      </c>
      <c r="B134" s="22" t="inlineStr">
        <is>
          <t>나은영</t>
        </is>
      </c>
      <c r="C134" s="22" t="inlineStr">
        <is>
          <t>커뮤니케이션북스</t>
        </is>
      </c>
      <c r="D134" s="22" t="inlineStr">
        <is>
          <t>2025년 04월</t>
        </is>
      </c>
      <c r="E134" s="28" t="n">
        <v>12000</v>
      </c>
      <c r="F134" s="28" t="n">
        <v>12000</v>
      </c>
      <c r="G134" s="29" t="n">
        <v>0</v>
      </c>
      <c r="H134" s="29" t="n">
        <v>78</v>
      </c>
      <c r="I134" s="21" t="inlineStr">
        <is>
          <t>2025</t>
        </is>
      </c>
      <c r="J134" s="21" t="inlineStr">
        <is>
          <t xml:space="preserve"> 0</t>
        </is>
      </c>
      <c r="K134" s="30">
        <f>(E134-F134)/IF(E134&gt;0,E134,1)</f>
        <v/>
      </c>
    </row>
    <row r="135">
      <c r="A135" s="22" t="inlineStr">
        <is>
          <t>딥페이크 생성과 탐지</t>
        </is>
      </c>
      <c r="B135" s="22" t="inlineStr">
        <is>
          <t>유하진</t>
        </is>
      </c>
      <c r="C135" s="22" t="inlineStr">
        <is>
          <t>커뮤니케이션북스</t>
        </is>
      </c>
      <c r="D135" s="22" t="inlineStr">
        <is>
          <t>2025년 04월</t>
        </is>
      </c>
      <c r="E135" s="28" t="n">
        <v>12000</v>
      </c>
      <c r="F135" s="28" t="n">
        <v>12000</v>
      </c>
      <c r="G135" s="29" t="n">
        <v>0</v>
      </c>
      <c r="H135" s="29" t="n">
        <v>78</v>
      </c>
      <c r="I135" s="21" t="inlineStr">
        <is>
          <t>2025</t>
        </is>
      </c>
      <c r="J135" s="21" t="inlineStr">
        <is>
          <t xml:space="preserve"> 0</t>
        </is>
      </c>
      <c r="K135" s="30">
        <f>(E135-F135)/IF(E135&gt;0,E135,1)</f>
        <v/>
      </c>
    </row>
    <row r="136">
      <c r="A136" s="22" t="inlineStr">
        <is>
          <t>생성형 AI와 도시·부동산</t>
        </is>
      </c>
      <c r="B136" s="22" t="inlineStr">
        <is>
          <t>서정렬</t>
        </is>
      </c>
      <c r="C136" s="22" t="inlineStr">
        <is>
          <t>커뮤니케이션북스</t>
        </is>
      </c>
      <c r="D136" s="22" t="inlineStr">
        <is>
          <t>2025년 03월</t>
        </is>
      </c>
      <c r="E136" s="28" t="n">
        <v>12000</v>
      </c>
      <c r="F136" s="28" t="n">
        <v>12000</v>
      </c>
      <c r="G136" s="29" t="n">
        <v>2</v>
      </c>
      <c r="H136" s="29" t="n">
        <v>90</v>
      </c>
      <c r="I136" s="21" t="inlineStr">
        <is>
          <t>2025</t>
        </is>
      </c>
      <c r="J136" s="21" t="inlineStr">
        <is>
          <t xml:space="preserve"> 0</t>
        </is>
      </c>
      <c r="K136" s="30">
        <f>(E136-F136)/IF(E136&gt;0,E136,1)</f>
        <v/>
      </c>
    </row>
    <row r="137">
      <c r="A137" s="22" t="inlineStr">
        <is>
          <t>식품 산업과 인공지능</t>
        </is>
      </c>
      <c r="B137" s="22" t="inlineStr">
        <is>
          <t>김상오</t>
        </is>
      </c>
      <c r="C137" s="22" t="inlineStr">
        <is>
          <t>커뮤니케이션북스</t>
        </is>
      </c>
      <c r="D137" s="22" t="inlineStr">
        <is>
          <t>2025년 03월</t>
        </is>
      </c>
      <c r="E137" s="28" t="n">
        <v>12000</v>
      </c>
      <c r="F137" s="28" t="n">
        <v>12000</v>
      </c>
      <c r="G137" s="29" t="n">
        <v>0</v>
      </c>
      <c r="H137" s="29" t="n">
        <v>102</v>
      </c>
      <c r="I137" s="21" t="inlineStr">
        <is>
          <t>2025</t>
        </is>
      </c>
      <c r="J137" s="21" t="inlineStr">
        <is>
          <t xml:space="preserve"> 0</t>
        </is>
      </c>
      <c r="K137" s="30">
        <f>(E137-F137)/IF(E137&gt;0,E137,1)</f>
        <v/>
      </c>
    </row>
    <row r="138">
      <c r="A138" s="22" t="inlineStr">
        <is>
          <t>AI와 중국</t>
        </is>
      </c>
      <c r="B138" s="22" t="inlineStr">
        <is>
          <t>안창현</t>
        </is>
      </c>
      <c r="C138" s="22" t="inlineStr">
        <is>
          <t>커뮤니케이션북스</t>
        </is>
      </c>
      <c r="D138" s="22" t="inlineStr">
        <is>
          <t>2026년 02월</t>
        </is>
      </c>
      <c r="E138" s="28" t="n">
        <v>12000</v>
      </c>
      <c r="F138" s="28" t="n">
        <v>12000</v>
      </c>
      <c r="G138" s="29" t="n">
        <v>0</v>
      </c>
      <c r="H138" s="29" t="n">
        <v>78</v>
      </c>
      <c r="I138" s="21" t="inlineStr">
        <is>
          <t>2026</t>
        </is>
      </c>
      <c r="J138" s="21" t="inlineStr">
        <is>
          <t xml:space="preserve"> 0</t>
        </is>
      </c>
      <c r="K138" s="30">
        <f>(E138-F138)/IF(E138&gt;0,E138,1)</f>
        <v/>
      </c>
    </row>
    <row r="139">
      <c r="A139" s="22" t="inlineStr">
        <is>
          <t>AI와 음악 교육</t>
        </is>
      </c>
      <c r="B139" s="22" t="inlineStr">
        <is>
          <t>윤관기</t>
        </is>
      </c>
      <c r="C139" s="22" t="inlineStr">
        <is>
          <t>커뮤니케이션북스</t>
        </is>
      </c>
      <c r="D139" s="22" t="inlineStr">
        <is>
          <t>2025년 12월</t>
        </is>
      </c>
      <c r="E139" s="28" t="n">
        <v>12000</v>
      </c>
      <c r="F139" s="28" t="n">
        <v>12000</v>
      </c>
      <c r="G139" s="29" t="n">
        <v>0</v>
      </c>
      <c r="H139" s="29" t="n">
        <v>90</v>
      </c>
      <c r="I139" s="21" t="inlineStr">
        <is>
          <t>2025</t>
        </is>
      </c>
      <c r="J139" s="21" t="inlineStr">
        <is>
          <t xml:space="preserve"> 1</t>
        </is>
      </c>
      <c r="K139" s="30">
        <f>(E139-F139)/IF(E139&gt;0,E139,1)</f>
        <v/>
      </c>
    </row>
    <row r="140">
      <c r="A140" s="22" t="inlineStr">
        <is>
          <t>AI 시대의 평등</t>
        </is>
      </c>
      <c r="B140" s="22" t="inlineStr">
        <is>
          <t>유지연</t>
        </is>
      </c>
      <c r="C140" s="22" t="inlineStr">
        <is>
          <t>커뮤니케이션북스</t>
        </is>
      </c>
      <c r="D140" s="22" t="inlineStr">
        <is>
          <t>2025년 07월</t>
        </is>
      </c>
      <c r="E140" s="28" t="n">
        <v>12000</v>
      </c>
      <c r="F140" s="28" t="n">
        <v>12000</v>
      </c>
      <c r="G140" s="29" t="n">
        <v>0</v>
      </c>
      <c r="H140" s="29" t="n">
        <v>78</v>
      </c>
      <c r="I140" s="21" t="inlineStr">
        <is>
          <t>2025</t>
        </is>
      </c>
      <c r="J140" s="21" t="inlineStr">
        <is>
          <t xml:space="preserve"> 0</t>
        </is>
      </c>
      <c r="K140" s="30">
        <f>(E140-F140)/IF(E140&gt;0,E140,1)</f>
        <v/>
      </c>
    </row>
    <row r="141">
      <c r="A141" s="22" t="inlineStr">
        <is>
          <t>AI와 엔터테인먼트 산업</t>
        </is>
      </c>
      <c r="B141" s="22" t="inlineStr">
        <is>
          <t>황준민</t>
        </is>
      </c>
      <c r="C141" s="22" t="inlineStr">
        <is>
          <t>커뮤니케이션북스</t>
        </is>
      </c>
      <c r="D141" s="22" t="inlineStr">
        <is>
          <t>2025년 06월</t>
        </is>
      </c>
      <c r="E141" s="28" t="n">
        <v>12000</v>
      </c>
      <c r="F141" s="28" t="n">
        <v>12000</v>
      </c>
      <c r="G141" s="29" t="n">
        <v>0</v>
      </c>
      <c r="H141" s="29" t="n">
        <v>78</v>
      </c>
      <c r="I141" s="21" t="inlineStr">
        <is>
          <t>2025</t>
        </is>
      </c>
      <c r="J141" s="21" t="inlineStr">
        <is>
          <t xml:space="preserve"> 0</t>
        </is>
      </c>
      <c r="K141" s="30">
        <f>(E141-F141)/IF(E141&gt;0,E141,1)</f>
        <v/>
      </c>
    </row>
    <row r="142">
      <c r="A142" s="22" t="inlineStr">
        <is>
          <t>특허와 인공지능</t>
        </is>
      </c>
      <c r="B142" s="22" t="inlineStr">
        <is>
          <t>조성광</t>
        </is>
      </c>
      <c r="C142" s="22" t="inlineStr">
        <is>
          <t>커뮤니케이션북스</t>
        </is>
      </c>
      <c r="D142" s="22" t="inlineStr">
        <is>
          <t>2025년 06월</t>
        </is>
      </c>
      <c r="E142" s="28" t="n">
        <v>12000</v>
      </c>
      <c r="F142" s="28" t="n">
        <v>12000</v>
      </c>
      <c r="G142" s="29" t="n">
        <v>0</v>
      </c>
      <c r="H142" s="29" t="n">
        <v>114</v>
      </c>
      <c r="I142" s="21" t="inlineStr">
        <is>
          <t>2025</t>
        </is>
      </c>
      <c r="J142" s="21" t="inlineStr">
        <is>
          <t xml:space="preserve"> 0</t>
        </is>
      </c>
      <c r="K142" s="30">
        <f>(E142-F142)/IF(E142&gt;0,E142,1)</f>
        <v/>
      </c>
    </row>
    <row r="143">
      <c r="A143" s="22" t="inlineStr">
        <is>
          <t>AI 리터러시 역량과 미래 대학 교육</t>
        </is>
      </c>
      <c r="B143" s="22" t="inlineStr">
        <is>
          <t>김홍규</t>
        </is>
      </c>
      <c r="C143" s="22" t="inlineStr">
        <is>
          <t>커뮤니케이션북스</t>
        </is>
      </c>
      <c r="D143" s="22" t="inlineStr">
        <is>
          <t>2025년 05월</t>
        </is>
      </c>
      <c r="E143" s="28" t="n">
        <v>12000</v>
      </c>
      <c r="F143" s="28" t="n">
        <v>12000</v>
      </c>
      <c r="G143" s="29" t="n">
        <v>0</v>
      </c>
      <c r="H143" s="29" t="n">
        <v>120</v>
      </c>
      <c r="I143" s="21" t="inlineStr">
        <is>
          <t>2025</t>
        </is>
      </c>
      <c r="J143" s="21" t="inlineStr">
        <is>
          <t xml:space="preserve"> 0</t>
        </is>
      </c>
      <c r="K143" s="30">
        <f>(E143-F143)/IF(E143&gt;0,E143,1)</f>
        <v/>
      </c>
    </row>
    <row r="144">
      <c r="A144" s="22" t="inlineStr">
        <is>
          <t>생성형 AI와 춤</t>
        </is>
      </c>
      <c r="B144" s="22" t="inlineStr">
        <is>
          <t>유주연</t>
        </is>
      </c>
      <c r="C144" s="22" t="inlineStr">
        <is>
          <t>커뮤니케이션북스</t>
        </is>
      </c>
      <c r="D144" s="22" t="inlineStr">
        <is>
          <t>2025년 12월</t>
        </is>
      </c>
      <c r="E144" s="28" t="n">
        <v>12000</v>
      </c>
      <c r="F144" s="28" t="n">
        <v>12000</v>
      </c>
      <c r="G144" s="29" t="n">
        <v>0</v>
      </c>
      <c r="H144" s="29" t="n">
        <v>54</v>
      </c>
      <c r="I144" s="21" t="inlineStr">
        <is>
          <t>2025</t>
        </is>
      </c>
      <c r="J144" s="21" t="inlineStr">
        <is>
          <t xml:space="preserve"> 1</t>
        </is>
      </c>
      <c r="K144" s="30">
        <f>(E144-F144)/IF(E144&gt;0,E144,1)</f>
        <v/>
      </c>
    </row>
    <row r="145">
      <c r="A145" s="22" t="inlineStr">
        <is>
          <t>게임과 인공지능</t>
        </is>
      </c>
      <c r="B145" s="22" t="inlineStr">
        <is>
          <t>이진</t>
        </is>
      </c>
      <c r="C145" s="22" t="inlineStr">
        <is>
          <t>커뮤니케이션북스</t>
        </is>
      </c>
      <c r="D145" s="22" t="inlineStr">
        <is>
          <t>2025년 02월</t>
        </is>
      </c>
      <c r="E145" s="28" t="n">
        <v>12000</v>
      </c>
      <c r="F145" s="28" t="n">
        <v>12000</v>
      </c>
      <c r="G145" s="29" t="n">
        <v>0</v>
      </c>
      <c r="H145" s="29" t="n">
        <v>72</v>
      </c>
      <c r="I145" s="21" t="inlineStr">
        <is>
          <t>2025</t>
        </is>
      </c>
      <c r="J145" s="21" t="inlineStr">
        <is>
          <t xml:space="preserve"> 0</t>
        </is>
      </c>
      <c r="K145" s="30">
        <f>(E145-F145)/IF(E145&gt;0,E145,1)</f>
        <v/>
      </c>
    </row>
    <row r="146">
      <c r="A146" s="22" t="inlineStr">
        <is>
          <t>AI와 패션</t>
        </is>
      </c>
      <c r="B146" s="22" t="inlineStr">
        <is>
          <t>양윤정</t>
        </is>
      </c>
      <c r="C146" s="22" t="inlineStr">
        <is>
          <t>커뮤니케이션북스</t>
        </is>
      </c>
      <c r="D146" s="22" t="inlineStr">
        <is>
          <t>2024년 08월</t>
        </is>
      </c>
      <c r="E146" s="28" t="n">
        <v>12000</v>
      </c>
      <c r="F146" s="28" t="n">
        <v>12000</v>
      </c>
      <c r="G146" s="29" t="n">
        <v>0</v>
      </c>
      <c r="H146" s="29" t="n">
        <v>66</v>
      </c>
      <c r="I146" s="21" t="inlineStr">
        <is>
          <t>2024</t>
        </is>
      </c>
      <c r="J146" s="21" t="inlineStr">
        <is>
          <t xml:space="preserve"> 0</t>
        </is>
      </c>
      <c r="K146" s="30">
        <f>(E146-F146)/IF(E146&gt;0,E146,1)</f>
        <v/>
      </c>
    </row>
    <row r="147">
      <c r="A147" s="22" t="inlineStr">
        <is>
          <t>AI와 스마트홈</t>
        </is>
      </c>
      <c r="B147" s="22" t="inlineStr">
        <is>
          <t>윤명섭</t>
        </is>
      </c>
      <c r="C147" s="22" t="inlineStr">
        <is>
          <t>커뮤니케이션북스</t>
        </is>
      </c>
      <c r="D147" s="22" t="inlineStr">
        <is>
          <t>2024년 07월</t>
        </is>
      </c>
      <c r="E147" s="28" t="n">
        <v>12000</v>
      </c>
      <c r="F147" s="28" t="n">
        <v>12000</v>
      </c>
      <c r="G147" s="29" t="n">
        <v>1</v>
      </c>
      <c r="H147" s="29" t="n">
        <v>54</v>
      </c>
      <c r="I147" s="21" t="inlineStr">
        <is>
          <t>2024</t>
        </is>
      </c>
      <c r="J147" s="21" t="inlineStr">
        <is>
          <t xml:space="preserve"> 0</t>
        </is>
      </c>
      <c r="K147" s="30">
        <f>(E147-F147)/IF(E147&gt;0,E147,1)</f>
        <v/>
      </c>
    </row>
    <row r="148">
      <c r="A148" s="22" t="inlineStr">
        <is>
          <t>AI와 방첩 체계</t>
        </is>
      </c>
      <c r="B148" s="22" t="inlineStr">
        <is>
          <t>권오국</t>
        </is>
      </c>
      <c r="C148" s="22" t="inlineStr">
        <is>
          <t>커뮤니케이션북스</t>
        </is>
      </c>
      <c r="D148" s="22" t="inlineStr">
        <is>
          <t>2026년 05월</t>
        </is>
      </c>
      <c r="E148" s="28" t="n">
        <v>12000</v>
      </c>
      <c r="F148" s="28" t="n">
        <v>12000</v>
      </c>
      <c r="G148" s="29" t="n">
        <v>0</v>
      </c>
      <c r="H148" s="29" t="n">
        <v>102</v>
      </c>
      <c r="I148" s="21" t="inlineStr">
        <is>
          <t>2026</t>
        </is>
      </c>
      <c r="J148" s="21" t="inlineStr">
        <is>
          <t xml:space="preserve"> 0</t>
        </is>
      </c>
      <c r="K148" s="30">
        <f>(E148-F148)/IF(E148&gt;0,E148,1)</f>
        <v/>
      </c>
    </row>
    <row r="149">
      <c r="A149" s="22" t="inlineStr">
        <is>
          <t>AI와 청색기술</t>
        </is>
      </c>
      <c r="B149" s="22" t="inlineStr">
        <is>
          <t>문형남</t>
        </is>
      </c>
      <c r="C149" s="22" t="inlineStr">
        <is>
          <t>커뮤니케이션북스</t>
        </is>
      </c>
      <c r="D149" s="22" t="inlineStr">
        <is>
          <t>2026년 05월</t>
        </is>
      </c>
      <c r="E149" s="28" t="n">
        <v>12000</v>
      </c>
      <c r="F149" s="28" t="n">
        <v>12000</v>
      </c>
      <c r="G149" s="29" t="n">
        <v>0</v>
      </c>
      <c r="H149" s="29" t="n">
        <v>102</v>
      </c>
      <c r="I149" s="21" t="inlineStr">
        <is>
          <t>2026</t>
        </is>
      </c>
      <c r="J149" s="21" t="inlineStr">
        <is>
          <t xml:space="preserve"> 0</t>
        </is>
      </c>
      <c r="K149" s="30">
        <f>(E149-F149)/IF(E149&gt;0,E149,1)</f>
        <v/>
      </c>
    </row>
    <row r="150">
      <c r="A150" s="22" t="inlineStr">
        <is>
          <t>AI 시대 기술 전략</t>
        </is>
      </c>
      <c r="B150" s="22" t="inlineStr">
        <is>
          <t>우지환</t>
        </is>
      </c>
      <c r="C150" s="22" t="inlineStr">
        <is>
          <t>커뮤니케이션북스</t>
        </is>
      </c>
      <c r="D150" s="22" t="inlineStr">
        <is>
          <t>2026년 05월</t>
        </is>
      </c>
      <c r="E150" s="28" t="n">
        <v>12000</v>
      </c>
      <c r="F150" s="28" t="n">
        <v>12000</v>
      </c>
      <c r="G150" s="29" t="n">
        <v>0</v>
      </c>
      <c r="H150" s="29" t="n">
        <v>102</v>
      </c>
      <c r="I150" s="21" t="inlineStr">
        <is>
          <t>2026</t>
        </is>
      </c>
      <c r="J150" s="21" t="inlineStr">
        <is>
          <t xml:space="preserve"> 0</t>
        </is>
      </c>
      <c r="K150" s="30">
        <f>(E150-F150)/IF(E150&gt;0,E150,1)</f>
        <v/>
      </c>
    </row>
    <row r="151">
      <c r="A151" s="22" t="inlineStr">
        <is>
          <t>AI와 뮤지컬 교육</t>
        </is>
      </c>
      <c r="B151" s="22" t="inlineStr">
        <is>
          <t>손민혜</t>
        </is>
      </c>
      <c r="C151" s="22" t="inlineStr">
        <is>
          <t>커뮤니케이션북스</t>
        </is>
      </c>
      <c r="D151" s="22" t="inlineStr">
        <is>
          <t>2026년 05월</t>
        </is>
      </c>
      <c r="E151" s="28" t="n">
        <v>12000</v>
      </c>
      <c r="F151" s="28" t="n">
        <v>12000</v>
      </c>
      <c r="G151" s="29" t="n">
        <v>0</v>
      </c>
      <c r="H151" s="29" t="n">
        <v>102</v>
      </c>
      <c r="I151" s="21" t="inlineStr">
        <is>
          <t>2026</t>
        </is>
      </c>
      <c r="J151" s="21" t="inlineStr">
        <is>
          <t xml:space="preserve"> 0</t>
        </is>
      </c>
      <c r="K151" s="30">
        <f>(E151-F151)/IF(E151&gt;0,E151,1)</f>
        <v/>
      </c>
    </row>
    <row r="152">
      <c r="A152" s="22" t="inlineStr">
        <is>
          <t>AI와 특수교육 (큰글자책)</t>
        </is>
      </c>
      <c r="B152" s="22" t="inlineStr">
        <is>
          <t>김호연</t>
        </is>
      </c>
      <c r="C152" s="22" t="inlineStr">
        <is>
          <t>커뮤니케이션북스</t>
        </is>
      </c>
      <c r="D152" s="22" t="inlineStr">
        <is>
          <t>2026년 04월</t>
        </is>
      </c>
      <c r="E152" s="28" t="n">
        <v>25000</v>
      </c>
      <c r="F152" s="28" t="n">
        <v>25000</v>
      </c>
      <c r="G152" s="29" t="n">
        <v>0</v>
      </c>
      <c r="H152" s="29" t="n">
        <v>12</v>
      </c>
      <c r="I152" s="21" t="inlineStr">
        <is>
          <t>2026</t>
        </is>
      </c>
      <c r="J152" s="21" t="inlineStr">
        <is>
          <t xml:space="preserve"> 0</t>
        </is>
      </c>
      <c r="K152" s="30">
        <f>(E152-F152)/IF(E152&gt;0,E152,1)</f>
        <v/>
      </c>
    </row>
    <row r="153">
      <c r="A153" s="22" t="inlineStr">
        <is>
          <t>AI와 특수교육</t>
        </is>
      </c>
      <c r="B153" s="22" t="inlineStr">
        <is>
          <t>김호연</t>
        </is>
      </c>
      <c r="C153" s="22" t="inlineStr">
        <is>
          <t>커뮤니케이션북스</t>
        </is>
      </c>
      <c r="D153" s="22" t="inlineStr">
        <is>
          <t>2026년 04월</t>
        </is>
      </c>
      <c r="E153" s="28" t="n">
        <v>12000</v>
      </c>
      <c r="F153" s="28" t="n">
        <v>12000</v>
      </c>
      <c r="G153" s="29" t="n">
        <v>0</v>
      </c>
      <c r="H153" s="29" t="n">
        <v>102</v>
      </c>
      <c r="I153" s="21" t="inlineStr">
        <is>
          <t>2026</t>
        </is>
      </c>
      <c r="J153" s="21" t="inlineStr">
        <is>
          <t xml:space="preserve"> 0</t>
        </is>
      </c>
      <c r="K153" s="30">
        <f>(E153-F153)/IF(E153&gt;0,E153,1)</f>
        <v/>
      </c>
    </row>
    <row r="154">
      <c r="A154" s="22" t="inlineStr">
        <is>
          <t>AI 시대의 디지털 자산과 신뢰의 운영체제</t>
        </is>
      </c>
      <c r="B154" s="22" t="inlineStr">
        <is>
          <t>박한우</t>
        </is>
      </c>
      <c r="C154" s="22" t="inlineStr">
        <is>
          <t>커뮤니케이션북스</t>
        </is>
      </c>
      <c r="D154" s="22" t="inlineStr">
        <is>
          <t>2026년 04월</t>
        </is>
      </c>
      <c r="E154" s="28" t="n">
        <v>12000</v>
      </c>
      <c r="F154" s="28" t="n">
        <v>12000</v>
      </c>
      <c r="G154" s="29" t="n">
        <v>0</v>
      </c>
      <c r="H154" s="29" t="n">
        <v>36</v>
      </c>
      <c r="I154" s="21" t="inlineStr">
        <is>
          <t>2026</t>
        </is>
      </c>
      <c r="J154" s="21" t="inlineStr">
        <is>
          <t xml:space="preserve"> 0</t>
        </is>
      </c>
      <c r="K154" s="30">
        <f>(E154-F154)/IF(E154&gt;0,E154,1)</f>
        <v/>
      </c>
    </row>
    <row r="155">
      <c r="A155" s="22" t="inlineStr">
        <is>
          <t>AI 기반 탐구학습</t>
        </is>
      </c>
      <c r="B155" s="22" t="inlineStr">
        <is>
          <t>안서현</t>
        </is>
      </c>
      <c r="C155" s="22" t="inlineStr">
        <is>
          <t>커뮤니케이션북스</t>
        </is>
      </c>
      <c r="D155" s="22" t="inlineStr">
        <is>
          <t>2026년 04월</t>
        </is>
      </c>
      <c r="E155" s="28" t="n">
        <v>12000</v>
      </c>
      <c r="F155" s="28" t="n">
        <v>12000</v>
      </c>
      <c r="G155" s="29" t="n">
        <v>0</v>
      </c>
      <c r="H155" s="29" t="n">
        <v>42</v>
      </c>
      <c r="I155" s="21" t="inlineStr">
        <is>
          <t>2026</t>
        </is>
      </c>
      <c r="J155" s="21" t="inlineStr">
        <is>
          <t xml:space="preserve"> 0</t>
        </is>
      </c>
      <c r="K155" s="30">
        <f>(E155-F155)/IF(E155&gt;0,E155,1)</f>
        <v/>
      </c>
    </row>
    <row r="156">
      <c r="A156" s="22" t="inlineStr">
        <is>
          <t>AI와 철도 산업</t>
        </is>
      </c>
      <c r="B156" s="22" t="inlineStr">
        <is>
          <t>우지환</t>
        </is>
      </c>
      <c r="C156" s="22" t="inlineStr">
        <is>
          <t>커뮤니케이션북스</t>
        </is>
      </c>
      <c r="D156" s="22" t="inlineStr">
        <is>
          <t>2026년 04월</t>
        </is>
      </c>
      <c r="E156" s="28" t="n">
        <v>12000</v>
      </c>
      <c r="F156" s="28" t="n">
        <v>12000</v>
      </c>
      <c r="G156" s="29" t="n">
        <v>0</v>
      </c>
      <c r="H156" s="29" t="n">
        <v>54</v>
      </c>
      <c r="I156" s="21" t="inlineStr">
        <is>
          <t>2026</t>
        </is>
      </c>
      <c r="J156" s="21" t="inlineStr">
        <is>
          <t xml:space="preserve"> 0</t>
        </is>
      </c>
      <c r="K156" s="30">
        <f>(E156-F156)/IF(E156&gt;0,E156,1)</f>
        <v/>
      </c>
    </row>
    <row r="157">
      <c r="A157" s="22" t="inlineStr">
        <is>
          <t>AI와 청년 취업</t>
        </is>
      </c>
      <c r="B157" s="22" t="inlineStr">
        <is>
          <t>심양섭</t>
        </is>
      </c>
      <c r="C157" s="22" t="inlineStr">
        <is>
          <t>커뮤니케이션북스</t>
        </is>
      </c>
      <c r="D157" s="22" t="inlineStr">
        <is>
          <t>2026년 03월</t>
        </is>
      </c>
      <c r="E157" s="28" t="n">
        <v>12000</v>
      </c>
      <c r="F157" s="28" t="n">
        <v>12000</v>
      </c>
      <c r="G157" s="29" t="n">
        <v>0</v>
      </c>
      <c r="H157" s="29" t="n">
        <v>54</v>
      </c>
      <c r="I157" s="21" t="inlineStr">
        <is>
          <t>2026</t>
        </is>
      </c>
      <c r="J157" s="21" t="inlineStr">
        <is>
          <t xml:space="preserve"> 0</t>
        </is>
      </c>
      <c r="K157" s="30">
        <f>(E157-F157)/IF(E157&gt;0,E157,1)</f>
        <v/>
      </c>
    </row>
    <row r="158">
      <c r="A158" s="22" t="inlineStr">
        <is>
          <t>AI와 치유 음식</t>
        </is>
      </c>
      <c r="B158" s="22" t="inlineStr">
        <is>
          <t>이웅규</t>
        </is>
      </c>
      <c r="C158" s="22" t="inlineStr">
        <is>
          <t>커뮤니케이션북스</t>
        </is>
      </c>
      <c r="D158" s="22" t="inlineStr">
        <is>
          <t>2026년 03월</t>
        </is>
      </c>
      <c r="E158" s="28" t="n">
        <v>12000</v>
      </c>
      <c r="F158" s="28" t="n">
        <v>12000</v>
      </c>
      <c r="G158" s="29" t="n">
        <v>0</v>
      </c>
      <c r="H158" s="29" t="n">
        <v>66</v>
      </c>
      <c r="I158" s="21" t="inlineStr">
        <is>
          <t>2026</t>
        </is>
      </c>
      <c r="J158" s="21" t="inlineStr">
        <is>
          <t xml:space="preserve"> 0</t>
        </is>
      </c>
      <c r="K158" s="30">
        <f>(E158-F158)/IF(E158&gt;0,E158,1)</f>
        <v/>
      </c>
    </row>
    <row r="159">
      <c r="A159" s="22" t="inlineStr">
        <is>
          <t>한국과 일본의 AI 전략</t>
        </is>
      </c>
      <c r="B159" s="22" t="inlineStr">
        <is>
          <t>황세웅, 우에다 마사토, 무라야마 히데토시, 아베 다카노부, 콘도 코이치</t>
        </is>
      </c>
      <c r="C159" s="22" t="inlineStr">
        <is>
          <t>커뮤니케이션북스</t>
        </is>
      </c>
      <c r="D159" s="22" t="inlineStr">
        <is>
          <t>2026년 03월</t>
        </is>
      </c>
      <c r="E159" s="28" t="n">
        <v>12000</v>
      </c>
      <c r="F159" s="28" t="n">
        <v>12000</v>
      </c>
      <c r="G159" s="29" t="n">
        <v>0</v>
      </c>
      <c r="H159" s="29" t="n">
        <v>54</v>
      </c>
      <c r="I159" s="21" t="inlineStr">
        <is>
          <t>2026</t>
        </is>
      </c>
      <c r="J159" s="21" t="inlineStr">
        <is>
          <t xml:space="preserve"> 0</t>
        </is>
      </c>
      <c r="K159" s="30">
        <f>(E159-F159)/IF(E159&gt;0,E159,1)</f>
        <v/>
      </c>
    </row>
    <row r="160">
      <c r="A160" s="22" t="inlineStr">
        <is>
          <t>AI로 읽는 한국 사회</t>
        </is>
      </c>
      <c r="B160" s="22" t="inlineStr">
        <is>
          <t>김태종</t>
        </is>
      </c>
      <c r="C160" s="22" t="inlineStr">
        <is>
          <t>커뮤니케이션북스</t>
        </is>
      </c>
      <c r="D160" s="22" t="inlineStr">
        <is>
          <t>2026년 03월</t>
        </is>
      </c>
      <c r="E160" s="28" t="n">
        <v>12000</v>
      </c>
      <c r="F160" s="28" t="n">
        <v>12000</v>
      </c>
      <c r="G160" s="29" t="n">
        <v>2</v>
      </c>
      <c r="H160" s="29" t="n">
        <v>54</v>
      </c>
      <c r="I160" s="21" t="inlineStr">
        <is>
          <t>2026</t>
        </is>
      </c>
      <c r="J160" s="21" t="inlineStr">
        <is>
          <t xml:space="preserve"> 0</t>
        </is>
      </c>
      <c r="K160" s="30">
        <f>(E160-F160)/IF(E160&gt;0,E160,1)</f>
        <v/>
      </c>
    </row>
    <row r="161">
      <c r="A161" s="22" t="inlineStr">
        <is>
          <t>AI 이후의 예술철학 (큰글자책)</t>
        </is>
      </c>
      <c r="B161" s="22" t="inlineStr">
        <is>
          <t>맹혜영</t>
        </is>
      </c>
      <c r="C161" s="22" t="inlineStr">
        <is>
          <t>커뮤니케이션북스</t>
        </is>
      </c>
      <c r="D161" s="22" t="inlineStr">
        <is>
          <t>2025년 11월</t>
        </is>
      </c>
      <c r="E161" s="28" t="n">
        <v>25000</v>
      </c>
      <c r="F161" s="28" t="n">
        <v>25000</v>
      </c>
      <c r="G161" s="29" t="n">
        <v>0</v>
      </c>
      <c r="H161" s="29" t="n">
        <v>18</v>
      </c>
      <c r="I161" s="21" t="inlineStr">
        <is>
          <t>2025</t>
        </is>
      </c>
      <c r="J161" s="21" t="inlineStr">
        <is>
          <t xml:space="preserve"> 1</t>
        </is>
      </c>
      <c r="K161" s="30">
        <f>(E161-F161)/IF(E161&gt;0,E161,1)</f>
        <v/>
      </c>
    </row>
    <row r="162">
      <c r="A162" s="22" t="inlineStr">
        <is>
          <t>EU AI 법과 사업자 의무</t>
        </is>
      </c>
      <c r="B162" s="22" t="inlineStr">
        <is>
          <t>김윤명</t>
        </is>
      </c>
      <c r="C162" s="22" t="inlineStr">
        <is>
          <t>커뮤니케이션북스</t>
        </is>
      </c>
      <c r="D162" s="22" t="inlineStr">
        <is>
          <t>2025년 11월</t>
        </is>
      </c>
      <c r="E162" s="28" t="n">
        <v>12000</v>
      </c>
      <c r="F162" s="28" t="n">
        <v>12000</v>
      </c>
      <c r="G162" s="29" t="n">
        <v>0</v>
      </c>
      <c r="H162" s="29" t="n">
        <v>66</v>
      </c>
      <c r="I162" s="21" t="inlineStr">
        <is>
          <t>2025</t>
        </is>
      </c>
      <c r="J162" s="21" t="inlineStr">
        <is>
          <t xml:space="preserve"> 1</t>
        </is>
      </c>
      <c r="K162" s="30">
        <f>(E162-F162)/IF(E162&gt;0,E162,1)</f>
        <v/>
      </c>
    </row>
    <row r="163">
      <c r="A163" s="22" t="inlineStr">
        <is>
          <t>AI와 가상현실의 철학 (큰글자책)</t>
        </is>
      </c>
      <c r="B163" s="22" t="inlineStr">
        <is>
          <t>김현주, 윤성련, 이강원</t>
        </is>
      </c>
      <c r="C163" s="22" t="inlineStr">
        <is>
          <t>커뮤니케이션북스</t>
        </is>
      </c>
      <c r="D163" s="22" t="inlineStr">
        <is>
          <t>2025년 11월</t>
        </is>
      </c>
      <c r="E163" s="28" t="n">
        <v>25000</v>
      </c>
      <c r="F163" s="28" t="n">
        <v>25000</v>
      </c>
      <c r="G163" s="29" t="n">
        <v>0</v>
      </c>
      <c r="H163" s="29" t="n">
        <v>42</v>
      </c>
      <c r="I163" s="21" t="inlineStr">
        <is>
          <t>2025</t>
        </is>
      </c>
      <c r="J163" s="21" t="inlineStr">
        <is>
          <t xml:space="preserve"> 1</t>
        </is>
      </c>
      <c r="K163" s="30">
        <f>(E163-F163)/IF(E163&gt;0,E163,1)</f>
        <v/>
      </c>
    </row>
    <row r="164">
      <c r="A164" s="22" t="inlineStr">
        <is>
          <t>AI 커버 음악</t>
        </is>
      </c>
      <c r="B164" s="22" t="inlineStr">
        <is>
          <t>김기창, 김선영, 백지연</t>
        </is>
      </c>
      <c r="C164" s="22" t="inlineStr">
        <is>
          <t>커뮤니케이션북스</t>
        </is>
      </c>
      <c r="D164" s="22" t="inlineStr">
        <is>
          <t>2025년 09월</t>
        </is>
      </c>
      <c r="E164" s="28" t="n">
        <v>12000</v>
      </c>
      <c r="F164" s="28" t="n">
        <v>12000</v>
      </c>
      <c r="G164" s="29" t="n">
        <v>0</v>
      </c>
      <c r="H164" s="29" t="n">
        <v>42</v>
      </c>
      <c r="I164" s="21" t="inlineStr">
        <is>
          <t>2025</t>
        </is>
      </c>
      <c r="J164" s="21" t="inlineStr">
        <is>
          <t xml:space="preserve"> 0</t>
        </is>
      </c>
      <c r="K164" s="30">
        <f>(E164-F164)/IF(E164&gt;0,E164,1)</f>
        <v/>
      </c>
    </row>
    <row r="165">
      <c r="A165" s="22" t="inlineStr">
        <is>
          <t>AI와 TTS</t>
        </is>
      </c>
      <c r="B165" s="22" t="inlineStr">
        <is>
          <t>임현열</t>
        </is>
      </c>
      <c r="C165" s="22" t="inlineStr">
        <is>
          <t>커뮤니케이션북스</t>
        </is>
      </c>
      <c r="D165" s="22" t="inlineStr">
        <is>
          <t>2025년 09월</t>
        </is>
      </c>
      <c r="E165" s="28" t="n">
        <v>12000</v>
      </c>
      <c r="F165" s="28" t="n">
        <v>12000</v>
      </c>
      <c r="G165" s="29" t="n">
        <v>0</v>
      </c>
      <c r="H165" s="29" t="n">
        <v>66</v>
      </c>
      <c r="I165" s="21" t="inlineStr">
        <is>
          <t>2025</t>
        </is>
      </c>
      <c r="J165" s="21" t="inlineStr">
        <is>
          <t xml:space="preserve"> 0</t>
        </is>
      </c>
      <c r="K165" s="30">
        <f>(E165-F165)/IF(E165&gt;0,E165,1)</f>
        <v/>
      </c>
    </row>
    <row r="166">
      <c r="A166" s="22" t="inlineStr">
        <is>
          <t>AI와 자금 세탁 방지</t>
        </is>
      </c>
      <c r="B166" s="22" t="inlineStr">
        <is>
          <t>임명수</t>
        </is>
      </c>
      <c r="C166" s="22" t="inlineStr">
        <is>
          <t>커뮤니케이션북스</t>
        </is>
      </c>
      <c r="D166" s="22" t="inlineStr">
        <is>
          <t>2025년 09월</t>
        </is>
      </c>
      <c r="E166" s="28" t="n">
        <v>12000</v>
      </c>
      <c r="F166" s="28" t="n">
        <v>12000</v>
      </c>
      <c r="G166" s="29" t="n">
        <v>0</v>
      </c>
      <c r="H166" s="29" t="n">
        <v>66</v>
      </c>
      <c r="I166" s="21" t="inlineStr">
        <is>
          <t>2025</t>
        </is>
      </c>
      <c r="J166" s="21" t="inlineStr">
        <is>
          <t xml:space="preserve"> 0</t>
        </is>
      </c>
      <c r="K166" s="30">
        <f>(E166-F166)/IF(E166&gt;0,E166,1)</f>
        <v/>
      </c>
    </row>
    <row r="167">
      <c r="A167" s="22" t="inlineStr">
        <is>
          <t>노래하는 AI 보컬</t>
        </is>
      </c>
      <c r="B167" s="22" t="inlineStr">
        <is>
          <t>이기영</t>
        </is>
      </c>
      <c r="C167" s="22" t="inlineStr">
        <is>
          <t>커뮤니케이션북스</t>
        </is>
      </c>
      <c r="D167" s="22" t="inlineStr">
        <is>
          <t>2025년 05월</t>
        </is>
      </c>
      <c r="E167" s="28" t="n">
        <v>12000</v>
      </c>
      <c r="F167" s="28" t="n">
        <v>12000</v>
      </c>
      <c r="G167" s="29" t="n">
        <v>0</v>
      </c>
      <c r="H167" s="29" t="n">
        <v>54</v>
      </c>
      <c r="I167" s="21" t="inlineStr">
        <is>
          <t>2025</t>
        </is>
      </c>
      <c r="J167" s="21" t="inlineStr">
        <is>
          <t xml:space="preserve"> 0</t>
        </is>
      </c>
      <c r="K167" s="30">
        <f>(E167-F167)/IF(E167&gt;0,E167,1)</f>
        <v/>
      </c>
    </row>
    <row r="168">
      <c r="A168" s="22" t="inlineStr">
        <is>
          <t>ANT와 AI 영상 제작</t>
        </is>
      </c>
      <c r="B168" s="22" t="inlineStr">
        <is>
          <t>권승태</t>
        </is>
      </c>
      <c r="C168" s="22" t="inlineStr">
        <is>
          <t>커뮤니케이션북스</t>
        </is>
      </c>
      <c r="D168" s="22" t="inlineStr">
        <is>
          <t>2026년 02월</t>
        </is>
      </c>
      <c r="E168" s="28" t="n">
        <v>12000</v>
      </c>
      <c r="F168" s="28" t="n">
        <v>12000</v>
      </c>
      <c r="G168" s="29" t="n">
        <v>0</v>
      </c>
      <c r="H168" s="29" t="n">
        <v>42</v>
      </c>
      <c r="I168" s="21" t="inlineStr">
        <is>
          <t>2026</t>
        </is>
      </c>
      <c r="J168" s="21" t="inlineStr">
        <is>
          <t xml:space="preserve"> 0</t>
        </is>
      </c>
      <c r="K168" s="30">
        <f>(E168-F168)/IF(E168&gt;0,E168,1)</f>
        <v/>
      </c>
    </row>
    <row r="169">
      <c r="A169" s="22" t="inlineStr">
        <is>
          <t>AI와 건설 산업</t>
        </is>
      </c>
      <c r="B169" s="22" t="inlineStr">
        <is>
          <t>조성광</t>
        </is>
      </c>
      <c r="C169" s="22" t="inlineStr">
        <is>
          <t>커뮤니케이션북스</t>
        </is>
      </c>
      <c r="D169" s="22" t="inlineStr">
        <is>
          <t>2026년 01월</t>
        </is>
      </c>
      <c r="E169" s="28" t="n">
        <v>12000</v>
      </c>
      <c r="F169" s="28" t="n">
        <v>12000</v>
      </c>
      <c r="G169" s="29" t="n">
        <v>0</v>
      </c>
      <c r="H169" s="29" t="n">
        <v>66</v>
      </c>
      <c r="I169" s="21" t="inlineStr">
        <is>
          <t>2026</t>
        </is>
      </c>
      <c r="J169" s="21" t="inlineStr">
        <is>
          <t xml:space="preserve"> 0</t>
        </is>
      </c>
      <c r="K169" s="30">
        <f>(E169-F169)/IF(E169&gt;0,E169,1)</f>
        <v/>
      </c>
    </row>
    <row r="170">
      <c r="A170" s="22" t="inlineStr">
        <is>
          <t>AI 윤리와 초등 도덕 교육</t>
        </is>
      </c>
      <c r="B170" s="22" t="inlineStr">
        <is>
          <t>권누리</t>
        </is>
      </c>
      <c r="C170" s="22" t="inlineStr">
        <is>
          <t>커뮤니케이션북스</t>
        </is>
      </c>
      <c r="D170" s="22" t="inlineStr">
        <is>
          <t>2026년 01월</t>
        </is>
      </c>
      <c r="E170" s="28" t="n">
        <v>12000</v>
      </c>
      <c r="F170" s="28" t="n">
        <v>12000</v>
      </c>
      <c r="G170" s="29" t="n">
        <v>0</v>
      </c>
      <c r="H170" s="29" t="n">
        <v>54</v>
      </c>
      <c r="I170" s="21" t="inlineStr">
        <is>
          <t>2026</t>
        </is>
      </c>
      <c r="J170" s="21" t="inlineStr">
        <is>
          <t xml:space="preserve"> 0</t>
        </is>
      </c>
      <c r="K170" s="30">
        <f>(E170-F170)/IF(E170&gt;0,E170,1)</f>
        <v/>
      </c>
    </row>
    <row r="171">
      <c r="A171" s="22" t="inlineStr">
        <is>
          <t>지속 가능한 도시를 위한 AI</t>
        </is>
      </c>
      <c r="B171" s="22" t="inlineStr">
        <is>
          <t>박혜민</t>
        </is>
      </c>
      <c r="C171" s="22" t="inlineStr">
        <is>
          <t>커뮤니케이션북스</t>
        </is>
      </c>
      <c r="D171" s="22" t="inlineStr">
        <is>
          <t>2026년 01월</t>
        </is>
      </c>
      <c r="E171" s="28" t="n">
        <v>12000</v>
      </c>
      <c r="F171" s="28" t="n">
        <v>12000</v>
      </c>
      <c r="G171" s="29" t="n">
        <v>0</v>
      </c>
      <c r="H171" s="29" t="n">
        <v>54</v>
      </c>
      <c r="I171" s="21" t="inlineStr">
        <is>
          <t>2026</t>
        </is>
      </c>
      <c r="J171" s="21" t="inlineStr">
        <is>
          <t xml:space="preserve"> 0</t>
        </is>
      </c>
      <c r="K171" s="30">
        <f>(E171-F171)/IF(E171&gt;0,E171,1)</f>
        <v/>
      </c>
    </row>
    <row r="172">
      <c r="A172" s="22" t="inlineStr">
        <is>
          <t>AI와 신앙생활</t>
        </is>
      </c>
      <c r="B172" s="22" t="inlineStr">
        <is>
          <t>임명수</t>
        </is>
      </c>
      <c r="C172" s="22" t="inlineStr">
        <is>
          <t>커뮤니케이션북스</t>
        </is>
      </c>
      <c r="D172" s="22" t="inlineStr">
        <is>
          <t>2025년 07월</t>
        </is>
      </c>
      <c r="E172" s="28" t="n">
        <v>12000</v>
      </c>
      <c r="F172" s="28" t="n">
        <v>12000</v>
      </c>
      <c r="G172" s="29" t="n">
        <v>0</v>
      </c>
      <c r="H172" s="29" t="n">
        <v>72</v>
      </c>
      <c r="I172" s="21" t="inlineStr">
        <is>
          <t>2025</t>
        </is>
      </c>
      <c r="J172" s="21" t="inlineStr">
        <is>
          <t xml:space="preserve"> 0</t>
        </is>
      </c>
      <c r="K172" s="30">
        <f>(E172-F172)/IF(E172&gt;0,E172,1)</f>
        <v/>
      </c>
    </row>
    <row r="173">
      <c r="A173" s="22" t="inlineStr">
        <is>
          <t>AI 피트니스 서비스 디자인</t>
        </is>
      </c>
      <c r="B173" s="22" t="inlineStr">
        <is>
          <t>이여름</t>
        </is>
      </c>
      <c r="C173" s="22" t="inlineStr">
        <is>
          <t>커뮤니케이션북스</t>
        </is>
      </c>
      <c r="D173" s="22" t="inlineStr">
        <is>
          <t>2025년 06월</t>
        </is>
      </c>
      <c r="E173" s="28" t="n">
        <v>12000</v>
      </c>
      <c r="F173" s="28" t="n">
        <v>12000</v>
      </c>
      <c r="G173" s="29" t="n">
        <v>0</v>
      </c>
      <c r="H173" s="29" t="n">
        <v>54</v>
      </c>
      <c r="I173" s="21" t="inlineStr">
        <is>
          <t>2025</t>
        </is>
      </c>
      <c r="J173" s="21" t="inlineStr">
        <is>
          <t xml:space="preserve"> 0</t>
        </is>
      </c>
      <c r="K173" s="30">
        <f>(E173-F173)/IF(E173&gt;0,E173,1)</f>
        <v/>
      </c>
    </row>
    <row r="174">
      <c r="A174" s="22" t="inlineStr">
        <is>
          <t>AI와 엔터테인먼트 산업 (큰글자책)</t>
        </is>
      </c>
      <c r="B174" s="22" t="inlineStr">
        <is>
          <t>황준민</t>
        </is>
      </c>
      <c r="C174" s="22" t="inlineStr">
        <is>
          <t>커뮤니케이션북스</t>
        </is>
      </c>
      <c r="D174" s="22" t="inlineStr">
        <is>
          <t>2025년 06월</t>
        </is>
      </c>
      <c r="E174" s="28" t="n">
        <v>25000</v>
      </c>
      <c r="F174" s="28" t="n">
        <v>25000</v>
      </c>
      <c r="G174" s="29" t="n">
        <v>0</v>
      </c>
      <c r="H174" s="29" t="n">
        <v>42</v>
      </c>
      <c r="I174" s="21" t="inlineStr">
        <is>
          <t>2025</t>
        </is>
      </c>
      <c r="J174" s="21" t="inlineStr">
        <is>
          <t xml:space="preserve"> 0</t>
        </is>
      </c>
      <c r="K174" s="30">
        <f>(E174-F174)/IF(E174&gt;0,E174,1)</f>
        <v/>
      </c>
    </row>
    <row r="175">
      <c r="A175" s="22" t="inlineStr">
        <is>
          <t>생성 AI와 융합 교육</t>
        </is>
      </c>
      <c r="B175" s="22" t="inlineStr">
        <is>
          <t>원종윤</t>
        </is>
      </c>
      <c r="C175" s="22" t="inlineStr">
        <is>
          <t>커뮤니케이션북스</t>
        </is>
      </c>
      <c r="D175" s="22" t="inlineStr">
        <is>
          <t>2024년 10월</t>
        </is>
      </c>
      <c r="E175" s="28" t="n">
        <v>12000</v>
      </c>
      <c r="F175" s="28" t="n">
        <v>12000</v>
      </c>
      <c r="G175" s="29" t="n">
        <v>0</v>
      </c>
      <c r="H175" s="29" t="n">
        <v>54</v>
      </c>
      <c r="I175" s="21" t="inlineStr">
        <is>
          <t>2024</t>
        </is>
      </c>
      <c r="J175" s="21" t="inlineStr">
        <is>
          <t xml:space="preserve"> 1</t>
        </is>
      </c>
      <c r="K175" s="30">
        <f>(E175-F175)/IF(E175&gt;0,E175,1)</f>
        <v/>
      </c>
    </row>
    <row r="176">
      <c r="A176" s="22" t="inlineStr">
        <is>
          <t>AI와 예술</t>
        </is>
      </c>
      <c r="B176" s="22" t="inlineStr">
        <is>
          <t>강보현</t>
        </is>
      </c>
      <c r="C176" s="22" t="inlineStr">
        <is>
          <t>커뮤니케이션북스</t>
        </is>
      </c>
      <c r="D176" s="22" t="inlineStr">
        <is>
          <t>2024년 09월</t>
        </is>
      </c>
      <c r="E176" s="28" t="n">
        <v>12000</v>
      </c>
      <c r="F176" s="28" t="n">
        <v>12000</v>
      </c>
      <c r="G176" s="29" t="n">
        <v>0</v>
      </c>
      <c r="H176" s="29" t="n">
        <v>66</v>
      </c>
      <c r="I176" s="21" t="inlineStr">
        <is>
          <t>2024</t>
        </is>
      </c>
      <c r="J176" s="21" t="inlineStr">
        <is>
          <t xml:space="preserve"> 0</t>
        </is>
      </c>
      <c r="K176" s="30">
        <f>(E176-F176)/IF(E176&gt;0,E176,1)</f>
        <v/>
      </c>
    </row>
    <row r="177">
      <c r="A177" s="22" t="inlineStr">
        <is>
          <t>한국과 EU의 AI법</t>
        </is>
      </c>
      <c r="B177" s="22" t="inlineStr">
        <is>
          <t>안중민</t>
        </is>
      </c>
      <c r="C177" s="22" t="inlineStr">
        <is>
          <t>커뮤니케이션북스</t>
        </is>
      </c>
      <c r="D177" s="22" t="inlineStr">
        <is>
          <t>2025년 10월</t>
        </is>
      </c>
      <c r="E177" s="28" t="n">
        <v>12000</v>
      </c>
      <c r="F177" s="28" t="n">
        <v>12000</v>
      </c>
      <c r="G177" s="29" t="n">
        <v>108</v>
      </c>
      <c r="H177" s="29" t="n">
        <v>1086</v>
      </c>
      <c r="I177" s="21" t="inlineStr">
        <is>
          <t>2025</t>
        </is>
      </c>
      <c r="J177" s="21" t="inlineStr">
        <is>
          <t xml:space="preserve"> 1</t>
        </is>
      </c>
      <c r="K177" s="30">
        <f>(E177-F177)/IF(E177&gt;0,E177,1)</f>
        <v/>
      </c>
    </row>
    <row r="178">
      <c r="A178" s="22" t="inlineStr">
        <is>
          <t>AI와 스토리텔링 확장</t>
        </is>
      </c>
      <c r="B178" s="22" t="inlineStr">
        <is>
          <t>송창렬</t>
        </is>
      </c>
      <c r="C178" s="22" t="inlineStr">
        <is>
          <t>커뮤니케이션북스</t>
        </is>
      </c>
      <c r="D178" s="22" t="inlineStr">
        <is>
          <t>2025년 09월</t>
        </is>
      </c>
      <c r="E178" s="28" t="n">
        <v>12000</v>
      </c>
      <c r="F178" s="28" t="n">
        <v>10920</v>
      </c>
      <c r="G178" s="29" t="n">
        <v>0</v>
      </c>
      <c r="H178" s="29" t="n">
        <v>432</v>
      </c>
      <c r="I178" s="21" t="inlineStr">
        <is>
          <t>2025</t>
        </is>
      </c>
      <c r="J178" s="21" t="inlineStr">
        <is>
          <t xml:space="preserve"> 0</t>
        </is>
      </c>
      <c r="K178" s="30">
        <f>(E178-F178)/IF(E178&gt;0,E178,1)</f>
        <v/>
      </c>
    </row>
    <row r="179">
      <c r="A179" s="22" t="inlineStr">
        <is>
          <t>AGI 자기 보존권과 트롤리 딜레마</t>
        </is>
      </c>
      <c r="B179" s="22" t="inlineStr">
        <is>
          <t>이상덕</t>
        </is>
      </c>
      <c r="C179" s="22" t="inlineStr">
        <is>
          <t>커뮤니케이션북스</t>
        </is>
      </c>
      <c r="D179" s="22" t="inlineStr">
        <is>
          <t>2025년 12월</t>
        </is>
      </c>
      <c r="E179" s="28" t="n">
        <v>12000</v>
      </c>
      <c r="F179" s="28" t="n">
        <v>12000</v>
      </c>
      <c r="G179" s="29" t="n">
        <v>3</v>
      </c>
      <c r="H179" s="29" t="n">
        <v>240</v>
      </c>
      <c r="I179" s="21" t="inlineStr">
        <is>
          <t>2025</t>
        </is>
      </c>
      <c r="J179" s="21" t="inlineStr">
        <is>
          <t xml:space="preserve"> 1</t>
        </is>
      </c>
      <c r="K179" s="30">
        <f>(E179-F179)/IF(E179&gt;0,E179,1)</f>
        <v/>
      </c>
    </row>
    <row r="180">
      <c r="A180" s="22" t="inlineStr">
        <is>
          <t>비즈니스 모델과 AI</t>
        </is>
      </c>
      <c r="B180" s="22" t="inlineStr">
        <is>
          <t>이경전</t>
        </is>
      </c>
      <c r="C180" s="22" t="inlineStr">
        <is>
          <t>커뮤니케이션북스</t>
        </is>
      </c>
      <c r="D180" s="22" t="inlineStr">
        <is>
          <t>2025년 01월</t>
        </is>
      </c>
      <c r="E180" s="28" t="n">
        <v>12000</v>
      </c>
      <c r="F180" s="28" t="n">
        <v>12000</v>
      </c>
      <c r="G180" s="29" t="n">
        <v>0</v>
      </c>
      <c r="H180" s="29" t="n">
        <v>270</v>
      </c>
      <c r="I180" s="21" t="inlineStr">
        <is>
          <t>2025</t>
        </is>
      </c>
      <c r="J180" s="21" t="inlineStr">
        <is>
          <t xml:space="preserve"> 0</t>
        </is>
      </c>
      <c r="K180" s="30">
        <f>(E180-F180)/IF(E180&gt;0,E180,1)</f>
        <v/>
      </c>
    </row>
    <row r="181">
      <c r="A181" s="23" t="inlineStr">
        <is>
          <t>합계 및 평균 요약</t>
        </is>
      </c>
      <c r="B181" s="31" t="n"/>
      <c r="C181" s="31" t="n"/>
      <c r="D181" s="31" t="n"/>
      <c r="E181" s="25">
        <f>AVERAGE(E2:E180)</f>
        <v/>
      </c>
      <c r="F181" s="25">
        <f>AVERAGE(F2:F180)</f>
        <v/>
      </c>
      <c r="G181" s="24">
        <f>SUM(G2:G180)</f>
        <v/>
      </c>
      <c r="H181" s="24">
        <f>SUM(H2:H180)</f>
        <v/>
      </c>
      <c r="I181" s="31" t="n"/>
      <c r="J181" s="31" t="n"/>
      <c r="K181" s="26">
        <f>AVERAGE(K2:K180)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4" customWidth="1" min="4" max="4"/>
    <col width="20" customWidth="1" min="5" max="5"/>
    <col width="20" customWidth="1" min="6" max="6"/>
    <col width="16" customWidth="1" min="7" max="7"/>
    <col width="16" customWidth="1" min="8" max="8"/>
    <col width="11" customWidth="1" min="9" max="9"/>
    <col width="10" customWidth="1" min="10" max="10"/>
    <col width="33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조코딩의 바이브 코딩 1인 창업 with 클로드 코드, 수파베이스, 스트라이프</t>
        </is>
      </c>
      <c r="B2" s="22" t="inlineStr">
        <is>
          <t>조동근</t>
        </is>
      </c>
      <c r="C2" s="22" t="inlineStr">
        <is>
          <t>한빛미디어</t>
        </is>
      </c>
      <c r="D2" s="22" t="inlineStr">
        <is>
          <t>2026년 05월</t>
        </is>
      </c>
      <c r="E2" s="28" t="n">
        <v>30000</v>
      </c>
      <c r="F2" s="28" t="n">
        <v>27000</v>
      </c>
      <c r="G2" s="29" t="n">
        <v>2</v>
      </c>
      <c r="H2" s="29" t="n">
        <v>15939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하네스 엔지니어링 with 클로드 코드</t>
        </is>
      </c>
      <c r="B3" s="22" t="inlineStr">
        <is>
          <t>황민호</t>
        </is>
      </c>
      <c r="C3" s="22" t="inlineStr">
        <is>
          <t>한빛미디어</t>
        </is>
      </c>
      <c r="D3" s="22" t="inlineStr">
        <is>
          <t>2026년 06월</t>
        </is>
      </c>
      <c r="E3" s="28" t="n">
        <v>30000</v>
      </c>
      <c r="F3" s="28" t="n">
        <v>27000</v>
      </c>
      <c r="G3" s="29" t="n">
        <v>1</v>
      </c>
      <c r="H3" s="29" t="n">
        <v>10287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클로드 코드 마스터</t>
        </is>
      </c>
      <c r="B4" s="22" t="inlineStr">
        <is>
          <t>이남희, 백승현</t>
        </is>
      </c>
      <c r="C4" s="22" t="inlineStr">
        <is>
          <t>한빛미디어</t>
        </is>
      </c>
      <c r="D4" s="22" t="inlineStr">
        <is>
          <t>2026년 04월</t>
        </is>
      </c>
      <c r="E4" s="28" t="n">
        <v>36000</v>
      </c>
      <c r="F4" s="28" t="n">
        <v>32400</v>
      </c>
      <c r="G4" s="29" t="n">
        <v>23</v>
      </c>
      <c r="H4" s="29" t="n">
        <v>17244</v>
      </c>
      <c r="I4" s="21" t="inlineStr">
        <is>
          <t>2026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클로드 코워크 with 스킬, 플러그인</t>
        </is>
      </c>
      <c r="B5" s="22" t="inlineStr">
        <is>
          <t>클리커, 강민혁</t>
        </is>
      </c>
      <c r="C5" s="22" t="inlineStr">
        <is>
          <t>한빛미디어</t>
        </is>
      </c>
      <c r="D5" s="22" t="inlineStr">
        <is>
          <t>2026년 03월</t>
        </is>
      </c>
      <c r="E5" s="28" t="n">
        <v>26000</v>
      </c>
      <c r="F5" s="28" t="n">
        <v>23400</v>
      </c>
      <c r="G5" s="29" t="n">
        <v>23</v>
      </c>
      <c r="H5" s="29" t="n">
        <v>14913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요즘 교사를 위한 AI 수업 활용 가이드 with 2022 개정 교육과정</t>
        </is>
      </c>
      <c r="B6" s="22" t="inlineStr">
        <is>
          <t>박진환, 공지훈, 서원진</t>
        </is>
      </c>
      <c r="C6" s="22" t="inlineStr">
        <is>
          <t>한빛미디어</t>
        </is>
      </c>
      <c r="D6" s="22" t="inlineStr">
        <is>
          <t>2025년 05월</t>
        </is>
      </c>
      <c r="E6" s="28" t="n">
        <v>20000</v>
      </c>
      <c r="F6" s="28" t="n">
        <v>18000</v>
      </c>
      <c r="G6" s="29" t="n">
        <v>65</v>
      </c>
      <c r="H6" s="29" t="n">
        <v>87927</v>
      </c>
      <c r="I6" s="21" t="inlineStr">
        <is>
          <t>2025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요즘 교사를 위한 에듀테크 수업 활용 가이드 with 2022 개정 교육과정</t>
        </is>
      </c>
      <c r="B7" s="22" t="inlineStr">
        <is>
          <t>박진환, 서원진, 박권</t>
        </is>
      </c>
      <c r="C7" s="22" t="inlineStr">
        <is>
          <t>한빛미디어</t>
        </is>
      </c>
      <c r="D7" s="22" t="inlineStr">
        <is>
          <t>2026년 04월</t>
        </is>
      </c>
      <c r="E7" s="28" t="n">
        <v>24000</v>
      </c>
      <c r="F7" s="28" t="n">
        <v>21600</v>
      </c>
      <c r="G7" s="29" t="n">
        <v>123</v>
      </c>
      <c r="H7" s="29" t="n">
        <v>11856</v>
      </c>
      <c r="I7" s="21" t="inlineStr">
        <is>
          <t>2026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바이브 코더를 위한 최소한의 AI/IT 지식</t>
        </is>
      </c>
      <c r="B8" s="22" t="inlineStr">
        <is>
          <t>클리커, 이희영</t>
        </is>
      </c>
      <c r="C8" s="22" t="inlineStr">
        <is>
          <t>한빛미디어</t>
        </is>
      </c>
      <c r="D8" s="22" t="inlineStr">
        <is>
          <t>2026년 04월</t>
        </is>
      </c>
      <c r="E8" s="28" t="n">
        <v>22000</v>
      </c>
      <c r="F8" s="28" t="n">
        <v>19800</v>
      </c>
      <c r="G8" s="29" t="n">
        <v>52</v>
      </c>
      <c r="H8" s="29" t="n">
        <v>7251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오픈클로 with GPT, 제미나이, 클로드</t>
        </is>
      </c>
      <c r="B9" s="22" t="inlineStr">
        <is>
          <t>강민혁</t>
        </is>
      </c>
      <c r="C9" s="22" t="inlineStr">
        <is>
          <t>한빛미디어</t>
        </is>
      </c>
      <c r="D9" s="22" t="inlineStr">
        <is>
          <t>2026년 03월</t>
        </is>
      </c>
      <c r="E9" s="28" t="n">
        <v>22000</v>
      </c>
      <c r="F9" s="28" t="n">
        <v>19800</v>
      </c>
      <c r="G9" s="29" t="n">
        <v>25</v>
      </c>
      <c r="H9" s="29" t="n">
        <v>12063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AI 에이전트 엔지니어링</t>
        </is>
      </c>
      <c r="B10" s="22" t="inlineStr">
        <is>
          <t>마이클 알바다, 강민혁</t>
        </is>
      </c>
      <c r="C10" s="22" t="inlineStr">
        <is>
          <t>한빛미디어</t>
        </is>
      </c>
      <c r="D10" s="22" t="inlineStr">
        <is>
          <t>2026년 01월</t>
        </is>
      </c>
      <c r="E10" s="28" t="n">
        <v>32000</v>
      </c>
      <c r="F10" s="28" t="n">
        <v>28800</v>
      </c>
      <c r="G10" s="29" t="n">
        <v>17</v>
      </c>
      <c r="H10" s="29" t="n">
        <v>12336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요즘 교사를 위한 AI 바이브 코딩 활용 가이드 with 2022 개정 교육과정</t>
        </is>
      </c>
      <c r="B11" s="22" t="inlineStr">
        <is>
          <t>공지훈, 곽수창, 박준효</t>
        </is>
      </c>
      <c r="C11" s="22" t="inlineStr">
        <is>
          <t>한빛미디어</t>
        </is>
      </c>
      <c r="D11" s="22" t="inlineStr">
        <is>
          <t>2026년 05월</t>
        </is>
      </c>
      <c r="E11" s="28" t="n">
        <v>22000</v>
      </c>
      <c r="F11" s="28" t="n">
        <v>19800</v>
      </c>
      <c r="G11" s="29" t="n">
        <v>97</v>
      </c>
      <c r="H11" s="29" t="n">
        <v>5553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만들면서 배우는 AI 에이전트 개발 입문+실전</t>
        </is>
      </c>
      <c r="B12" s="22" t="inlineStr">
        <is>
          <t>박나연(공원나연)</t>
        </is>
      </c>
      <c r="C12" s="22" t="inlineStr">
        <is>
          <t>한빛미디어</t>
        </is>
      </c>
      <c r="D12" s="22" t="inlineStr">
        <is>
          <t>2026년 05월</t>
        </is>
      </c>
      <c r="E12" s="28" t="n">
        <v>37000</v>
      </c>
      <c r="F12" s="28" t="n">
        <v>33300</v>
      </c>
      <c r="G12" s="29" t="n">
        <v>42</v>
      </c>
      <c r="H12" s="29" t="n">
        <v>4923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누구나 아는 나만 모르는 제미나이</t>
        </is>
      </c>
      <c r="B13" s="22" t="inlineStr">
        <is>
          <t>이성원</t>
        </is>
      </c>
      <c r="C13" s="22" t="inlineStr">
        <is>
          <t>한빛미디어</t>
        </is>
      </c>
      <c r="D13" s="22" t="inlineStr">
        <is>
          <t>2026년 01월</t>
        </is>
      </c>
      <c r="E13" s="28" t="n">
        <v>19000</v>
      </c>
      <c r="F13" s="28" t="n">
        <v>17100</v>
      </c>
      <c r="G13" s="29" t="n">
        <v>43</v>
      </c>
      <c r="H13" s="29" t="n">
        <v>14067</v>
      </c>
      <c r="I13" s="21" t="inlineStr">
        <is>
          <t>2026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에이전트 시대의 AI 시스템 설계</t>
        </is>
      </c>
      <c r="B14" s="22" t="inlineStr">
        <is>
          <t>발리아파 락슈마난, 하네스 막스 하프케, 류광</t>
        </is>
      </c>
      <c r="C14" s="22" t="inlineStr">
        <is>
          <t>한빛미디어</t>
        </is>
      </c>
      <c r="D14" s="22" t="inlineStr">
        <is>
          <t>2026년 04월</t>
        </is>
      </c>
      <c r="E14" s="28" t="n">
        <v>42000</v>
      </c>
      <c r="F14" s="28" t="n">
        <v>37800</v>
      </c>
      <c r="G14" s="29" t="n">
        <v>12</v>
      </c>
      <c r="H14" s="29" t="n">
        <v>2829</v>
      </c>
      <c r="I14" s="21" t="inlineStr">
        <is>
          <t>2026</t>
        </is>
      </c>
      <c r="J14" s="21" t="inlineStr">
        <is>
          <t xml:space="preserve"> 0</t>
        </is>
      </c>
      <c r="K14" s="30">
        <f>(E14-F14)/IF(E14&gt;0,E14,1)</f>
        <v/>
      </c>
    </row>
    <row r="15">
      <c r="A15" s="22" t="inlineStr">
        <is>
          <t>혼자 공부하는 머신러닝+딥러닝</t>
        </is>
      </c>
      <c r="B15" s="22" t="inlineStr">
        <is>
          <t>박해선</t>
        </is>
      </c>
      <c r="C15" s="22" t="inlineStr">
        <is>
          <t>한빛미디어</t>
        </is>
      </c>
      <c r="D15" s="22" t="inlineStr">
        <is>
          <t>2025년 04월</t>
        </is>
      </c>
      <c r="E15" s="28" t="n">
        <v>32000</v>
      </c>
      <c r="F15" s="28" t="n">
        <v>28800</v>
      </c>
      <c r="G15" s="29" t="n">
        <v>147</v>
      </c>
      <c r="H15" s="29" t="n">
        <v>18369</v>
      </c>
      <c r="I15" s="21" t="inlineStr">
        <is>
          <t>2025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하이러닝으로 끝내는 AI 디지털 수업 50제</t>
        </is>
      </c>
      <c r="B16" s="22" t="inlineStr">
        <is>
          <t>유지현, 조윤호, 고윤경, 진연자, 곽지현, 정보 더 보기/감추기, 유지현, 조윤호, 고윤경, 진연자, 곽지현, 최혜진, 최정은, 조희정, 조연영, 이성찬, 허윤영, 정승연</t>
        </is>
      </c>
      <c r="C16" s="22" t="inlineStr">
        <is>
          <t>한빛미디어</t>
        </is>
      </c>
      <c r="D16" s="22" t="inlineStr">
        <is>
          <t>2026년 04월</t>
        </is>
      </c>
      <c r="E16" s="28" t="n">
        <v>24000</v>
      </c>
      <c r="F16" s="28" t="n">
        <v>21600</v>
      </c>
      <c r="G16" s="29" t="n">
        <v>102</v>
      </c>
      <c r="H16" s="29" t="n">
        <v>3906</v>
      </c>
      <c r="I16" s="21" t="inlineStr">
        <is>
          <t>2026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AI 엔지니어링</t>
        </is>
      </c>
      <c r="B17" s="22" t="inlineStr">
        <is>
          <t>칩 후옌, 변성윤</t>
        </is>
      </c>
      <c r="C17" s="22" t="inlineStr">
        <is>
          <t>한빛미디어</t>
        </is>
      </c>
      <c r="D17" s="22" t="inlineStr">
        <is>
          <t>2025년 09월</t>
        </is>
      </c>
      <c r="E17" s="28" t="n">
        <v>40000</v>
      </c>
      <c r="F17" s="28" t="n">
        <v>36000</v>
      </c>
      <c r="G17" s="29" t="n">
        <v>17</v>
      </c>
      <c r="H17" s="29" t="n">
        <v>14325</v>
      </c>
      <c r="I17" s="21" t="inlineStr">
        <is>
          <t>2025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누구나 아는 나만 모르는 챗GPT(개정판) : 세상에서 가장 쉬운 챗GPT &amp; AI 입문서</t>
        </is>
      </c>
      <c r="B18" s="22" t="inlineStr">
        <is>
          <t>이성원</t>
        </is>
      </c>
      <c r="C18" s="22" t="inlineStr">
        <is>
          <t>한빛미디어</t>
        </is>
      </c>
      <c r="D18" s="22" t="inlineStr">
        <is>
          <t>2026년 02월</t>
        </is>
      </c>
      <c r="E18" s="28" t="n">
        <v>19000</v>
      </c>
      <c r="F18" s="28" t="n">
        <v>17100</v>
      </c>
      <c r="G18" s="29" t="n">
        <v>33</v>
      </c>
      <c r="H18" s="29" t="n">
        <v>4476</v>
      </c>
      <c r="I18" s="21" t="inlineStr">
        <is>
          <t>2026</t>
        </is>
      </c>
      <c r="J18" s="21" t="inlineStr">
        <is>
          <t xml:space="preserve"> 0</t>
        </is>
      </c>
      <c r="K18" s="30">
        <f>(E18-F18)/IF(E18&gt;0,E18,1)</f>
        <v/>
      </c>
    </row>
    <row r="19">
      <c r="A19" s="22" t="inlineStr">
        <is>
          <t>트랜스포머 아키텍처로 배우는 AI 에이전트 with 랭체인 &amp; 랭그래프</t>
        </is>
      </c>
      <c r="B19" s="22" t="inlineStr">
        <is>
          <t>장철원</t>
        </is>
      </c>
      <c r="C19" s="22" t="inlineStr">
        <is>
          <t>한빛미디어</t>
        </is>
      </c>
      <c r="D19" s="22" t="inlineStr">
        <is>
          <t>2026년 05월</t>
        </is>
      </c>
      <c r="E19" s="28" t="n">
        <v>39000</v>
      </c>
      <c r="F19" s="28" t="n">
        <v>35100</v>
      </c>
      <c r="G19" s="29" t="n">
        <v>0</v>
      </c>
      <c r="H19" s="29" t="n">
        <v>957</v>
      </c>
      <c r="I19" s="21" t="inlineStr">
        <is>
          <t>2026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누구나 코딩하는 시대, 1일 10분 바이브 코딩</t>
        </is>
      </c>
      <c r="B20" s="22" t="inlineStr">
        <is>
          <t>김영욱</t>
        </is>
      </c>
      <c r="C20" s="22" t="inlineStr">
        <is>
          <t>한빛미디어</t>
        </is>
      </c>
      <c r="D20" s="22" t="inlineStr">
        <is>
          <t>2026년 04월</t>
        </is>
      </c>
      <c r="E20" s="28" t="n">
        <v>22000</v>
      </c>
      <c r="F20" s="28" t="n">
        <v>19800</v>
      </c>
      <c r="G20" s="29" t="n">
        <v>15</v>
      </c>
      <c r="H20" s="29" t="n">
        <v>2499</v>
      </c>
      <c r="I20" s="21" t="inlineStr">
        <is>
          <t>2026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하루 30분, 나는 제미나이로 돈을 번다</t>
        </is>
      </c>
      <c r="B21" s="22" t="inlineStr">
        <is>
          <t>김민규</t>
        </is>
      </c>
      <c r="C21" s="22" t="inlineStr">
        <is>
          <t>한빛미디어</t>
        </is>
      </c>
      <c r="D21" s="22" t="inlineStr">
        <is>
          <t>2026년 03월</t>
        </is>
      </c>
      <c r="E21" s="28" t="n">
        <v>19000</v>
      </c>
      <c r="F21" s="28" t="n">
        <v>17100</v>
      </c>
      <c r="G21" s="29" t="n">
        <v>33</v>
      </c>
      <c r="H21" s="29" t="n">
        <v>3030</v>
      </c>
      <c r="I21" s="21" t="inlineStr">
        <is>
          <t>2026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AI 게임 개발 with 코덱스</t>
        </is>
      </c>
      <c r="B22" s="22" t="inlineStr">
        <is>
          <t>정윤지(유리링)</t>
        </is>
      </c>
      <c r="C22" s="22" t="inlineStr">
        <is>
          <t>한빛미디어</t>
        </is>
      </c>
      <c r="D22" s="22" t="inlineStr">
        <is>
          <t>2026년 02월</t>
        </is>
      </c>
      <c r="E22" s="28" t="n">
        <v>32000</v>
      </c>
      <c r="F22" s="28" t="n">
        <v>28800</v>
      </c>
      <c r="G22" s="29" t="n">
        <v>25</v>
      </c>
      <c r="H22" s="29" t="n">
        <v>2820</v>
      </c>
      <c r="I22" s="21" t="inlineStr">
        <is>
          <t>2026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그림으로 배우는 생성형 AI</t>
        </is>
      </c>
      <c r="B23" s="22" t="inlineStr">
        <is>
          <t>프리양카 베르가디아, 발리아파 락슈마난, 류광</t>
        </is>
      </c>
      <c r="C23" s="22" t="inlineStr">
        <is>
          <t>한빛미디어</t>
        </is>
      </c>
      <c r="D23" s="22" t="inlineStr">
        <is>
          <t>2026년 04월</t>
        </is>
      </c>
      <c r="E23" s="28" t="n">
        <v>33000</v>
      </c>
      <c r="F23" s="28" t="n">
        <v>29700</v>
      </c>
      <c r="G23" s="29" t="n">
        <v>9</v>
      </c>
      <c r="H23" s="29" t="n">
        <v>1608</v>
      </c>
      <c r="I23" s="21" t="inlineStr">
        <is>
          <t>2026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요즘 교사를 위한 AI 디지털 수업 설계 가이드 with 2022 개정 교육과정</t>
        </is>
      </c>
      <c r="B24" s="22" t="inlineStr">
        <is>
          <t>김진관, 김상섭, 이대형, 이상선, 윤신영</t>
        </is>
      </c>
      <c r="C24" s="22" t="inlineStr">
        <is>
          <t>한빛미디어</t>
        </is>
      </c>
      <c r="D24" s="22" t="inlineStr">
        <is>
          <t>2025년 08월</t>
        </is>
      </c>
      <c r="E24" s="28" t="n">
        <v>22000</v>
      </c>
      <c r="F24" s="28" t="n">
        <v>19800</v>
      </c>
      <c r="G24" s="29" t="n">
        <v>34</v>
      </c>
      <c r="H24" s="29" t="n">
        <v>10404</v>
      </c>
      <c r="I24" s="21" t="inlineStr">
        <is>
          <t>2025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맛있는 디자인 피그마 with AI</t>
        </is>
      </c>
      <c r="B25" s="22" t="inlineStr">
        <is>
          <t>이영주</t>
        </is>
      </c>
      <c r="C25" s="22" t="inlineStr">
        <is>
          <t>한빛미디어</t>
        </is>
      </c>
      <c r="D25" s="22" t="inlineStr">
        <is>
          <t>2026년 02월</t>
        </is>
      </c>
      <c r="E25" s="28" t="n">
        <v>28000</v>
      </c>
      <c r="F25" s="28" t="n">
        <v>25200</v>
      </c>
      <c r="G25" s="29" t="n">
        <v>124</v>
      </c>
      <c r="H25" s="29" t="n">
        <v>2010</v>
      </c>
      <c r="I25" s="21" t="inlineStr">
        <is>
          <t>2026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밑바닥부터 시작하는 딥러닝 1</t>
        </is>
      </c>
      <c r="B26" s="22" t="inlineStr">
        <is>
          <t>사이토 고키, 개앞맵시</t>
        </is>
      </c>
      <c r="C26" s="22" t="inlineStr">
        <is>
          <t>한빛미디어</t>
        </is>
      </c>
      <c r="D26" s="22" t="inlineStr">
        <is>
          <t>2025년 01월</t>
        </is>
      </c>
      <c r="E26" s="28" t="n">
        <v>26000</v>
      </c>
      <c r="F26" s="28" t="n">
        <v>23400</v>
      </c>
      <c r="G26" s="29" t="n">
        <v>138</v>
      </c>
      <c r="H26" s="29" t="n">
        <v>9099</v>
      </c>
      <c r="I26" s="21" t="inlineStr">
        <is>
          <t>2025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일머리를 설계하는 AI 워크플로 with n8n</t>
        </is>
      </c>
      <c r="B27" s="22" t="inlineStr">
        <is>
          <t>이왕석</t>
        </is>
      </c>
      <c r="C27" s="22" t="inlineStr">
        <is>
          <t>한빛미디어</t>
        </is>
      </c>
      <c r="D27" s="22" t="inlineStr">
        <is>
          <t>2026년 03월</t>
        </is>
      </c>
      <c r="E27" s="28" t="n">
        <v>28000</v>
      </c>
      <c r="F27" s="28" t="n">
        <v>25200</v>
      </c>
      <c r="G27" s="29" t="n">
        <v>112</v>
      </c>
      <c r="H27" s="29" t="n">
        <v>1908</v>
      </c>
      <c r="I27" s="21" t="inlineStr">
        <is>
          <t>2026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생성형 AI를 위한 프롬프트 엔지니어링</t>
        </is>
      </c>
      <c r="B28" s="22" t="inlineStr">
        <is>
          <t>제임스 피닉스, 마이크 테일러, 정의형, 정한결</t>
        </is>
      </c>
      <c r="C28" s="22" t="inlineStr">
        <is>
          <t>한빛미디어</t>
        </is>
      </c>
      <c r="D28" s="22" t="inlineStr">
        <is>
          <t>2025년 06월</t>
        </is>
      </c>
      <c r="E28" s="28" t="n">
        <v>38000</v>
      </c>
      <c r="F28" s="28" t="n">
        <v>34200</v>
      </c>
      <c r="G28" s="29" t="n">
        <v>9</v>
      </c>
      <c r="H28" s="29" t="n">
        <v>5934</v>
      </c>
      <c r="I28" s="21" t="inlineStr">
        <is>
          <t>2025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LLMOps 완벽 가이드</t>
        </is>
      </c>
      <c r="B29" s="22" t="inlineStr">
        <is>
          <t>아비 아리안, 박조은, 박주환</t>
        </is>
      </c>
      <c r="C29" s="22" t="inlineStr">
        <is>
          <t>한빛미디어</t>
        </is>
      </c>
      <c r="D29" s="22" t="inlineStr">
        <is>
          <t>2026년 05월</t>
        </is>
      </c>
      <c r="E29" s="28" t="n">
        <v>32000</v>
      </c>
      <c r="F29" s="28" t="n">
        <v>28800</v>
      </c>
      <c r="G29" s="29" t="n">
        <v>2</v>
      </c>
      <c r="H29" s="29" t="n">
        <v>744</v>
      </c>
      <c r="I29" s="21" t="inlineStr">
        <is>
          <t>2026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AI 팀원이 다 해줌</t>
        </is>
      </c>
      <c r="B30" s="22" t="inlineStr">
        <is>
          <t>이나현</t>
        </is>
      </c>
      <c r="C30" s="22" t="inlineStr">
        <is>
          <t>한빛미디어</t>
        </is>
      </c>
      <c r="D30" s="22" t="inlineStr">
        <is>
          <t>2025년 12월</t>
        </is>
      </c>
      <c r="E30" s="28" t="n">
        <v>23000</v>
      </c>
      <c r="F30" s="28" t="n">
        <v>20700</v>
      </c>
      <c r="G30" s="29" t="n">
        <v>134</v>
      </c>
      <c r="H30" s="29" t="n">
        <v>5874</v>
      </c>
      <c r="I30" s="21" t="inlineStr">
        <is>
          <t>2025</t>
        </is>
      </c>
      <c r="J30" s="21" t="inlineStr">
        <is>
          <t xml:space="preserve"> 1</t>
        </is>
      </c>
      <c r="K30" s="30">
        <f>(E30-F30)/IF(E30&gt;0,E30,1)</f>
        <v/>
      </c>
    </row>
    <row r="31">
      <c r="A31" s="22" t="inlineStr">
        <is>
          <t>핸즈온 머신러닝</t>
        </is>
      </c>
      <c r="B31" s="22" t="inlineStr">
        <is>
          <t>오렐리앙 제롱, 박해선</t>
        </is>
      </c>
      <c r="C31" s="22" t="inlineStr">
        <is>
          <t>한빛미디어</t>
        </is>
      </c>
      <c r="D31" s="22" t="inlineStr">
        <is>
          <t>2023년 09월</t>
        </is>
      </c>
      <c r="E31" s="28" t="n">
        <v>60000</v>
      </c>
      <c r="F31" s="28" t="n">
        <v>54000</v>
      </c>
      <c r="G31" s="29" t="n">
        <v>39</v>
      </c>
      <c r="H31" s="29" t="n">
        <v>4482</v>
      </c>
      <c r="I31" s="21" t="inlineStr">
        <is>
          <t>2023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AI를 위한 필수 수학</t>
        </is>
      </c>
      <c r="B32" s="22" t="inlineStr">
        <is>
          <t>할라 넬슨, 안민재</t>
        </is>
      </c>
      <c r="C32" s="22" t="inlineStr">
        <is>
          <t>한빛미디어</t>
        </is>
      </c>
      <c r="D32" s="22" t="inlineStr">
        <is>
          <t>2024년 08월</t>
        </is>
      </c>
      <c r="E32" s="28" t="n">
        <v>45000</v>
      </c>
      <c r="F32" s="28" t="n">
        <v>40500</v>
      </c>
      <c r="G32" s="29" t="n">
        <v>12</v>
      </c>
      <c r="H32" s="29" t="n">
        <v>2688</v>
      </c>
      <c r="I32" s="21" t="inlineStr">
        <is>
          <t>2024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이것이 멀티 에이전트다</t>
        </is>
      </c>
      <c r="B33" s="22" t="inlineStr">
        <is>
          <t>서지영</t>
        </is>
      </c>
      <c r="C33" s="22" t="inlineStr">
        <is>
          <t>한빛미디어</t>
        </is>
      </c>
      <c r="D33" s="22" t="inlineStr">
        <is>
          <t>2026년 06월</t>
        </is>
      </c>
      <c r="E33" s="28" t="n">
        <v>35000</v>
      </c>
      <c r="F33" s="28" t="n">
        <v>31500</v>
      </c>
      <c r="G33" s="29" t="n">
        <v>0</v>
      </c>
      <c r="H33" s="29" t="n">
        <v>468</v>
      </c>
      <c r="I33" s="21" t="inlineStr">
        <is>
          <t>2026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AI 프로덕트는 어떻게 만들어지는가</t>
        </is>
      </c>
      <c r="B34" s="22" t="inlineStr">
        <is>
          <t>류인태, 김예림, 임나정</t>
        </is>
      </c>
      <c r="C34" s="22" t="inlineStr">
        <is>
          <t>한빛미디어</t>
        </is>
      </c>
      <c r="D34" s="22" t="inlineStr">
        <is>
          <t>2026년 04월</t>
        </is>
      </c>
      <c r="E34" s="28" t="n">
        <v>25000</v>
      </c>
      <c r="F34" s="28" t="n">
        <v>22500</v>
      </c>
      <c r="G34" s="29" t="n">
        <v>9</v>
      </c>
      <c r="H34" s="29" t="n">
        <v>1140</v>
      </c>
      <c r="I34" s="21" t="inlineStr">
        <is>
          <t>2026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밑바닥부터 시작하는 딥러닝 2</t>
        </is>
      </c>
      <c r="B35" s="22" t="inlineStr">
        <is>
          <t>사이토 고키, 개앞맵시</t>
        </is>
      </c>
      <c r="C35" s="22" t="inlineStr">
        <is>
          <t>한빛미디어</t>
        </is>
      </c>
      <c r="D35" s="22" t="inlineStr">
        <is>
          <t>2019년 05월</t>
        </is>
      </c>
      <c r="E35" s="28" t="n">
        <v>29000</v>
      </c>
      <c r="F35" s="28" t="n">
        <v>26100</v>
      </c>
      <c r="G35" s="29" t="n">
        <v>46</v>
      </c>
      <c r="H35" s="29" t="n">
        <v>3474</v>
      </c>
      <c r="I35" s="21" t="inlineStr">
        <is>
          <t>2019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엑셀 대신 챗GPT</t>
        </is>
      </c>
      <c r="B36" s="22" t="inlineStr">
        <is>
          <t>오종현</t>
        </is>
      </c>
      <c r="C36" s="22" t="inlineStr">
        <is>
          <t>한빛미디어</t>
        </is>
      </c>
      <c r="D36" s="22" t="inlineStr">
        <is>
          <t>2026년 03월</t>
        </is>
      </c>
      <c r="E36" s="28" t="n">
        <v>22000</v>
      </c>
      <c r="F36" s="28" t="n">
        <v>19800</v>
      </c>
      <c r="G36" s="29" t="n">
        <v>17</v>
      </c>
      <c r="H36" s="29" t="n">
        <v>1212</v>
      </c>
      <c r="I36" s="21" t="inlineStr">
        <is>
          <t>2026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열정민쌤의 챗GPT&amp;AI 수업 실전서</t>
        </is>
      </c>
      <c r="B37" s="22" t="inlineStr">
        <is>
          <t>원정민, 권혜영, 신명진, 이채연</t>
        </is>
      </c>
      <c r="C37" s="22" t="inlineStr">
        <is>
          <t>한빛미디어</t>
        </is>
      </c>
      <c r="D37" s="22" t="inlineStr">
        <is>
          <t>2025년 05월</t>
        </is>
      </c>
      <c r="E37" s="28" t="n">
        <v>20000</v>
      </c>
      <c r="F37" s="28" t="n">
        <v>18000</v>
      </c>
      <c r="G37" s="29" t="n">
        <v>39</v>
      </c>
      <c r="H37" s="29" t="n">
        <v>5784</v>
      </c>
      <c r="I37" s="21" t="inlineStr">
        <is>
          <t>2025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핸즈온 LLM</t>
        </is>
      </c>
      <c r="B38" s="22" t="inlineStr">
        <is>
          <t>제이 알아마르, 마르턴 흐루턴도르스트, 박해선</t>
        </is>
      </c>
      <c r="C38" s="22" t="inlineStr">
        <is>
          <t>한빛미디어</t>
        </is>
      </c>
      <c r="D38" s="22" t="inlineStr">
        <is>
          <t>2025년 06월</t>
        </is>
      </c>
      <c r="E38" s="28" t="n">
        <v>38000</v>
      </c>
      <c r="F38" s="28" t="n">
        <v>34200</v>
      </c>
      <c r="G38" s="29" t="n">
        <v>25</v>
      </c>
      <c r="H38" s="29" t="n">
        <v>6684</v>
      </c>
      <c r="I38" s="21" t="inlineStr">
        <is>
          <t>2025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2" t="inlineStr">
        <is>
          <t>린 분석</t>
        </is>
      </c>
      <c r="B39" s="22" t="inlineStr">
        <is>
          <t>앨리스테어 크롤, 벤저민 요스코비츠, 위선주</t>
        </is>
      </c>
      <c r="C39" s="22" t="inlineStr">
        <is>
          <t>한빛미디어</t>
        </is>
      </c>
      <c r="D39" s="22" t="inlineStr">
        <is>
          <t>2014년 01월</t>
        </is>
      </c>
      <c r="E39" s="28" t="n">
        <v>28000</v>
      </c>
      <c r="F39" s="28" t="n">
        <v>25200</v>
      </c>
      <c r="G39" s="29" t="n">
        <v>11</v>
      </c>
      <c r="H39" s="29" t="n">
        <v>1578</v>
      </c>
      <c r="I39" s="21" t="inlineStr">
        <is>
          <t>2014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2" t="inlineStr">
        <is>
          <t>파이토치로 배우는 LLM &amp; AI</t>
        </is>
      </c>
      <c r="B40" s="22" t="inlineStr">
        <is>
          <t>로런스 모로니, 박해선</t>
        </is>
      </c>
      <c r="C40" s="22" t="inlineStr">
        <is>
          <t>한빛미디어</t>
        </is>
      </c>
      <c r="D40" s="22" t="inlineStr">
        <is>
          <t>2026년 03월</t>
        </is>
      </c>
      <c r="E40" s="28" t="n">
        <v>36000</v>
      </c>
      <c r="F40" s="28" t="n">
        <v>32400</v>
      </c>
      <c r="G40" s="29" t="n">
        <v>3</v>
      </c>
      <c r="H40" s="29" t="n">
        <v>1218</v>
      </c>
      <c r="I40" s="21" t="inlineStr">
        <is>
          <t>2026</t>
        </is>
      </c>
      <c r="J40" s="21" t="inlineStr">
        <is>
          <t xml:space="preserve"> 0</t>
        </is>
      </c>
      <c r="K40" s="30">
        <f>(E40-F40)/IF(E40&gt;0,E40,1)</f>
        <v/>
      </c>
    </row>
    <row r="41">
      <c r="A41" s="22" t="inlineStr">
        <is>
          <t>모두를 위한 양자 컴퓨터</t>
        </is>
      </c>
      <c r="B41" s="22" t="inlineStr">
        <is>
          <t>윌리엄 헐리, 플로이드 스미스, 류정원</t>
        </is>
      </c>
      <c r="C41" s="22" t="inlineStr">
        <is>
          <t>한빛미디어</t>
        </is>
      </c>
      <c r="D41" s="22" t="inlineStr">
        <is>
          <t>2025년 01월</t>
        </is>
      </c>
      <c r="E41" s="28" t="n">
        <v>28000</v>
      </c>
      <c r="F41" s="28" t="n">
        <v>25200</v>
      </c>
      <c r="G41" s="29" t="n">
        <v>27</v>
      </c>
      <c r="H41" s="29" t="n">
        <v>1536</v>
      </c>
      <c r="I41" s="21" t="inlineStr">
        <is>
          <t>2025</t>
        </is>
      </c>
      <c r="J41" s="21" t="inlineStr">
        <is>
          <t xml:space="preserve"> 0</t>
        </is>
      </c>
      <c r="K41" s="30">
        <f>(E41-F41)/IF(E41&gt;0,E41,1)</f>
        <v/>
      </c>
    </row>
    <row r="42">
      <c r="A42" s="22" t="inlineStr">
        <is>
          <t>밑바닥부터 시작하는 딥러닝 5</t>
        </is>
      </c>
      <c r="B42" s="22" t="inlineStr">
        <is>
          <t>사이토 고키, 개앞맵시</t>
        </is>
      </c>
      <c r="C42" s="22" t="inlineStr">
        <is>
          <t>한빛미디어</t>
        </is>
      </c>
      <c r="D42" s="22" t="inlineStr">
        <is>
          <t>2024년 10월</t>
        </is>
      </c>
      <c r="E42" s="28" t="n">
        <v>33000</v>
      </c>
      <c r="F42" s="28" t="n">
        <v>29700</v>
      </c>
      <c r="G42" s="29" t="n">
        <v>20</v>
      </c>
      <c r="H42" s="29" t="n">
        <v>2274</v>
      </c>
      <c r="I42" s="21" t="inlineStr">
        <is>
          <t>2024</t>
        </is>
      </c>
      <c r="J42" s="21" t="inlineStr">
        <is>
          <t xml:space="preserve"> 1</t>
        </is>
      </c>
      <c r="K42" s="30">
        <f>(E42-F42)/IF(E42&gt;0,E42,1)</f>
        <v/>
      </c>
    </row>
    <row r="43">
      <c r="A43" s="22" t="inlineStr">
        <is>
          <t>밑바닥부터 시작하는 딥러닝 3</t>
        </is>
      </c>
      <c r="B43" s="22" t="inlineStr">
        <is>
          <t>사이토 고키, 개앞맵시</t>
        </is>
      </c>
      <c r="C43" s="22" t="inlineStr">
        <is>
          <t>한빛미디어</t>
        </is>
      </c>
      <c r="D43" s="22" t="inlineStr">
        <is>
          <t>2020년 11월</t>
        </is>
      </c>
      <c r="E43" s="28" t="n">
        <v>38000</v>
      </c>
      <c r="F43" s="28" t="n">
        <v>34200</v>
      </c>
      <c r="G43" s="29" t="n">
        <v>31</v>
      </c>
      <c r="H43" s="29" t="n">
        <v>1920</v>
      </c>
      <c r="I43" s="21" t="inlineStr">
        <is>
          <t>2020</t>
        </is>
      </c>
      <c r="J43" s="21" t="inlineStr">
        <is>
          <t xml:space="preserve"> 1</t>
        </is>
      </c>
      <c r="K43" s="30">
        <f>(E43-F43)/IF(E43&gt;0,E43,1)</f>
        <v/>
      </c>
    </row>
    <row r="44">
      <c r="A44" s="22" t="inlineStr">
        <is>
          <t>러닝 랭체인</t>
        </is>
      </c>
      <c r="B44" s="22" t="inlineStr">
        <is>
          <t>메이오 오신, 누노 캄포스, 강민혁</t>
        </is>
      </c>
      <c r="C44" s="22" t="inlineStr">
        <is>
          <t>한빛미디어</t>
        </is>
      </c>
      <c r="D44" s="22" t="inlineStr">
        <is>
          <t>2025년 05월</t>
        </is>
      </c>
      <c r="E44" s="28" t="n">
        <v>28000</v>
      </c>
      <c r="F44" s="28" t="n">
        <v>25200</v>
      </c>
      <c r="G44" s="29" t="n">
        <v>26</v>
      </c>
      <c r="H44" s="29" t="n">
        <v>3030</v>
      </c>
      <c r="I44" s="21" t="inlineStr">
        <is>
          <t>2025</t>
        </is>
      </c>
      <c r="J44" s="21" t="inlineStr">
        <is>
          <t xml:space="preserve"> 0</t>
        </is>
      </c>
      <c r="K44" s="30">
        <f>(E44-F44)/IF(E44&gt;0,E44,1)</f>
        <v/>
      </c>
    </row>
    <row r="45">
      <c r="A45" s="22" t="inlineStr">
        <is>
          <t>바이브 코딩 너머 개발자 생존법: 개발자는 사라지지 않는다, 진화한다</t>
        </is>
      </c>
      <c r="B45" s="22" t="inlineStr">
        <is>
          <t>애디 오스마니, 강민혁</t>
        </is>
      </c>
      <c r="C45" s="22" t="inlineStr">
        <is>
          <t>한빛미디어</t>
        </is>
      </c>
      <c r="D45" s="22" t="inlineStr">
        <is>
          <t>2025년 11월</t>
        </is>
      </c>
      <c r="E45" s="28" t="n">
        <v>23000</v>
      </c>
      <c r="F45" s="28" t="n">
        <v>20700</v>
      </c>
      <c r="G45" s="29" t="n">
        <v>26</v>
      </c>
      <c r="H45" s="29" t="n">
        <v>4863</v>
      </c>
      <c r="I45" s="21" t="inlineStr">
        <is>
          <t>2025</t>
        </is>
      </c>
      <c r="J45" s="21" t="inlineStr">
        <is>
          <t xml:space="preserve"> 1</t>
        </is>
      </c>
      <c r="K45" s="30">
        <f>(E45-F45)/IF(E45&gt;0,E45,1)</f>
        <v/>
      </c>
    </row>
    <row r="46">
      <c r="A46" s="22" t="inlineStr">
        <is>
          <t>파이썬 라이브러리를 활용한 데이터 분석</t>
        </is>
      </c>
      <c r="B46" s="22" t="inlineStr">
        <is>
          <t>웨스 맥키니, 김영근</t>
        </is>
      </c>
      <c r="C46" s="22" t="inlineStr">
        <is>
          <t>한빛미디어</t>
        </is>
      </c>
      <c r="D46" s="22" t="inlineStr">
        <is>
          <t>2023년 05월</t>
        </is>
      </c>
      <c r="E46" s="28" t="n">
        <v>39000</v>
      </c>
      <c r="F46" s="28" t="n">
        <v>35100</v>
      </c>
      <c r="G46" s="29" t="n">
        <v>31</v>
      </c>
      <c r="H46" s="29" t="n">
        <v>2079</v>
      </c>
      <c r="I46" s="21" t="inlineStr">
        <is>
          <t>2023</t>
        </is>
      </c>
      <c r="J46" s="21" t="inlineStr">
        <is>
          <t xml:space="preserve"> 0</t>
        </is>
      </c>
      <c r="K46" s="30">
        <f>(E46-F46)/IF(E46&gt;0,E46,1)</f>
        <v/>
      </c>
    </row>
    <row r="47">
      <c r="A47" s="22" t="inlineStr">
        <is>
          <t>혼자 해도 프로 선생님처럼 잘 만드는 학교 수업 자료 with 미리캔버스</t>
        </is>
      </c>
      <c r="B47" s="22" t="inlineStr">
        <is>
          <t>김태훈, 손민지, 유수근</t>
        </is>
      </c>
      <c r="C47" s="22" t="inlineStr">
        <is>
          <t>한빛미디어</t>
        </is>
      </c>
      <c r="D47" s="22" t="inlineStr">
        <is>
          <t>2026년 04월</t>
        </is>
      </c>
      <c r="E47" s="28" t="n">
        <v>23000</v>
      </c>
      <c r="F47" s="28" t="n">
        <v>20700</v>
      </c>
      <c r="G47" s="29" t="n">
        <v>69</v>
      </c>
      <c r="H47" s="29" t="n">
        <v>729</v>
      </c>
      <c r="I47" s="21" t="inlineStr">
        <is>
          <t>2026</t>
        </is>
      </c>
      <c r="J47" s="21" t="inlineStr">
        <is>
          <t xml:space="preserve"> 0</t>
        </is>
      </c>
      <c r="K47" s="30">
        <f>(E47-F47)/IF(E47&gt;0,E47,1)</f>
        <v/>
      </c>
    </row>
    <row r="48">
      <c r="A48" s="22" t="inlineStr">
        <is>
          <t>개발자를 위한 필수 수학</t>
        </is>
      </c>
      <c r="B48" s="22" t="inlineStr">
        <is>
          <t>토머스 닐드, 박해선</t>
        </is>
      </c>
      <c r="C48" s="22" t="inlineStr">
        <is>
          <t>한빛미디어</t>
        </is>
      </c>
      <c r="D48" s="22" t="inlineStr">
        <is>
          <t>2024년 06월</t>
        </is>
      </c>
      <c r="E48" s="28" t="n">
        <v>30000</v>
      </c>
      <c r="F48" s="28" t="n">
        <v>27000</v>
      </c>
      <c r="G48" s="29" t="n">
        <v>37</v>
      </c>
      <c r="H48" s="29" t="n">
        <v>3990</v>
      </c>
      <c r="I48" s="21" t="inlineStr">
        <is>
          <t>2024</t>
        </is>
      </c>
      <c r="J48" s="21" t="inlineStr">
        <is>
          <t xml:space="preserve"> 0</t>
        </is>
      </c>
      <c r="K48" s="30">
        <f>(E48-F48)/IF(E48&gt;0,E48,1)</f>
        <v/>
      </c>
    </row>
    <row r="49">
      <c r="A49" s="22" t="inlineStr">
        <is>
          <t>실무로 통하는 인과추론 with 파이썬</t>
        </is>
      </c>
      <c r="B49" s="22" t="inlineStr">
        <is>
          <t>마테우스 파쿠레, 신진수, 가짜연구소 인과추론팀, 박지용</t>
        </is>
      </c>
      <c r="C49" s="22" t="inlineStr">
        <is>
          <t>한빛미디어</t>
        </is>
      </c>
      <c r="D49" s="22" t="inlineStr">
        <is>
          <t>2024년 03월</t>
        </is>
      </c>
      <c r="E49" s="28" t="n">
        <v>38000</v>
      </c>
      <c r="F49" s="28" t="n">
        <v>34200</v>
      </c>
      <c r="G49" s="29" t="n">
        <v>31</v>
      </c>
      <c r="H49" s="29" t="n">
        <v>792</v>
      </c>
      <c r="I49" s="21" t="inlineStr">
        <is>
          <t>2024</t>
        </is>
      </c>
      <c r="J49" s="21" t="inlineStr">
        <is>
          <t xml:space="preserve"> 0</t>
        </is>
      </c>
      <c r="K49" s="30">
        <f>(E49-F49)/IF(E49&gt;0,E49,1)</f>
        <v/>
      </c>
    </row>
    <row r="50">
      <c r="A50" s="22" t="inlineStr">
        <is>
          <t>AI로 일하는 기술</t>
        </is>
      </c>
      <c r="B50" s="22" t="inlineStr">
        <is>
          <t>장동인</t>
        </is>
      </c>
      <c r="C50" s="22" t="inlineStr">
        <is>
          <t>한빛미디어</t>
        </is>
      </c>
      <c r="D50" s="22" t="inlineStr">
        <is>
          <t>2022년 01월</t>
        </is>
      </c>
      <c r="E50" s="28" t="n">
        <v>18000</v>
      </c>
      <c r="F50" s="28" t="n">
        <v>16200</v>
      </c>
      <c r="G50" s="29" t="n">
        <v>32</v>
      </c>
      <c r="H50" s="29" t="n">
        <v>1032</v>
      </c>
      <c r="I50" s="21" t="inlineStr">
        <is>
          <t>2022</t>
        </is>
      </c>
      <c r="J50" s="21" t="inlineStr">
        <is>
          <t xml:space="preserve"> 0</t>
        </is>
      </c>
      <c r="K50" s="30">
        <f>(E50-F50)/IF(E50&gt;0,E50,1)</f>
        <v/>
      </c>
    </row>
    <row r="51">
      <c r="A51" s="22" t="inlineStr">
        <is>
          <t>LLM 엔지니어링</t>
        </is>
      </c>
      <c r="B51" s="22" t="inlineStr">
        <is>
          <t>폴 이우수틴, 막심 라본, 조우철</t>
        </is>
      </c>
      <c r="C51" s="22" t="inlineStr">
        <is>
          <t>한빛미디어</t>
        </is>
      </c>
      <c r="D51" s="22" t="inlineStr">
        <is>
          <t>2025년 05월</t>
        </is>
      </c>
      <c r="E51" s="28" t="n">
        <v>38000</v>
      </c>
      <c r="F51" s="28" t="n">
        <v>34200</v>
      </c>
      <c r="G51" s="29" t="n">
        <v>18</v>
      </c>
      <c r="H51" s="29" t="n">
        <v>1998</v>
      </c>
      <c r="I51" s="21" t="inlineStr">
        <is>
          <t>2025</t>
        </is>
      </c>
      <c r="J51" s="21" t="inlineStr">
        <is>
          <t xml:space="preserve"> 0</t>
        </is>
      </c>
      <c r="K51" s="30">
        <f>(E51-F51)/IF(E51&gt;0,E51,1)</f>
        <v/>
      </c>
    </row>
    <row r="52">
      <c r="A52" s="22" t="inlineStr">
        <is>
          <t>월 20달러로 고용하는 AI 변호사 with 챗GPT</t>
        </is>
      </c>
      <c r="B52" s="22" t="inlineStr">
        <is>
          <t>김덕은</t>
        </is>
      </c>
      <c r="C52" s="22" t="inlineStr">
        <is>
          <t>한빛미디어</t>
        </is>
      </c>
      <c r="D52" s="22" t="inlineStr">
        <is>
          <t>2024년 07월</t>
        </is>
      </c>
      <c r="E52" s="28" t="n">
        <v>22000</v>
      </c>
      <c r="F52" s="28" t="n">
        <v>19800</v>
      </c>
      <c r="G52" s="29" t="n">
        <v>30</v>
      </c>
      <c r="H52" s="29" t="n">
        <v>816</v>
      </c>
      <c r="I52" s="21" t="inlineStr">
        <is>
          <t>2024</t>
        </is>
      </c>
      <c r="J52" s="21" t="inlineStr">
        <is>
          <t xml:space="preserve"> 0</t>
        </is>
      </c>
      <c r="K52" s="30">
        <f>(E52-F52)/IF(E52&gt;0,E52,1)</f>
        <v/>
      </c>
    </row>
    <row r="53">
      <c r="A53" s="22" t="inlineStr">
        <is>
          <t>견고한 데이터 엔지니어링</t>
        </is>
      </c>
      <c r="B53" s="22" t="inlineStr">
        <is>
          <t>조 라이스, 맷 하우슬리, 김인범</t>
        </is>
      </c>
      <c r="C53" s="22" t="inlineStr">
        <is>
          <t>한빛미디어</t>
        </is>
      </c>
      <c r="D53" s="22" t="inlineStr">
        <is>
          <t>2023년 06월</t>
        </is>
      </c>
      <c r="E53" s="28" t="n">
        <v>38000</v>
      </c>
      <c r="F53" s="28" t="n">
        <v>34200</v>
      </c>
      <c r="G53" s="29" t="n">
        <v>39</v>
      </c>
      <c r="H53" s="29" t="n">
        <v>1830</v>
      </c>
      <c r="I53" s="21" t="inlineStr">
        <is>
          <t>2023</t>
        </is>
      </c>
      <c r="J53" s="21" t="inlineStr">
        <is>
          <t xml:space="preserve"> 0</t>
        </is>
      </c>
      <c r="K53" s="30">
        <f>(E53-F53)/IF(E53&gt;0,E53,1)</f>
        <v/>
      </c>
    </row>
    <row r="54">
      <c r="A54" s="22" t="inlineStr">
        <is>
          <t>파인만의 컴퓨터 강의</t>
        </is>
      </c>
      <c r="B54" s="22" t="inlineStr">
        <is>
          <t>리처드 파인만, 토니 헤이, 서환수</t>
        </is>
      </c>
      <c r="C54" s="22" t="inlineStr">
        <is>
          <t>한빛미디어</t>
        </is>
      </c>
      <c r="D54" s="22" t="inlineStr">
        <is>
          <t>2025년 06월</t>
        </is>
      </c>
      <c r="E54" s="28" t="n">
        <v>29000</v>
      </c>
      <c r="F54" s="28" t="n">
        <v>26100</v>
      </c>
      <c r="G54" s="29" t="n">
        <v>9</v>
      </c>
      <c r="H54" s="29" t="n">
        <v>2634</v>
      </c>
      <c r="I54" s="21" t="inlineStr">
        <is>
          <t>2025</t>
        </is>
      </c>
      <c r="J54" s="21" t="inlineStr">
        <is>
          <t xml:space="preserve"> 0</t>
        </is>
      </c>
      <c r="K54" s="30">
        <f>(E54-F54)/IF(E54&gt;0,E54,1)</f>
        <v/>
      </c>
    </row>
    <row r="55">
      <c r="A55" s="22" t="inlineStr">
        <is>
          <t>밑바닥부터 시작하는 딥러닝 4</t>
        </is>
      </c>
      <c r="B55" s="22" t="inlineStr">
        <is>
          <t>사이토 고키, 개앞맵시</t>
        </is>
      </c>
      <c r="C55" s="22" t="inlineStr">
        <is>
          <t>한빛미디어</t>
        </is>
      </c>
      <c r="D55" s="22" t="inlineStr">
        <is>
          <t>2024년 01월</t>
        </is>
      </c>
      <c r="E55" s="28" t="n">
        <v>30000</v>
      </c>
      <c r="F55" s="28" t="n">
        <v>27000</v>
      </c>
      <c r="G55" s="29" t="n">
        <v>13</v>
      </c>
      <c r="H55" s="29" t="n">
        <v>2316</v>
      </c>
      <c r="I55" s="21" t="inlineStr">
        <is>
          <t>2024</t>
        </is>
      </c>
      <c r="J55" s="21" t="inlineStr">
        <is>
          <t xml:space="preserve"> 0</t>
        </is>
      </c>
      <c r="K55" s="30">
        <f>(E55-F55)/IF(E55&gt;0,E55,1)</f>
        <v/>
      </c>
    </row>
    <row r="56">
      <c r="A56" s="22" t="inlineStr">
        <is>
          <t>처음 배우는 딥러닝 수학</t>
        </is>
      </c>
      <c r="B56" s="22" t="inlineStr">
        <is>
          <t>와쿠이 사다미, 와쿠이 요시유키, 박광수</t>
        </is>
      </c>
      <c r="C56" s="22" t="inlineStr">
        <is>
          <t>한빛미디어</t>
        </is>
      </c>
      <c r="D56" s="22" t="inlineStr">
        <is>
          <t>2018년 02월</t>
        </is>
      </c>
      <c r="E56" s="28" t="n">
        <v>25000</v>
      </c>
      <c r="F56" s="28" t="n">
        <v>22500</v>
      </c>
      <c r="G56" s="29" t="n">
        <v>15</v>
      </c>
      <c r="H56" s="29" t="n">
        <v>522</v>
      </c>
      <c r="I56" s="21" t="inlineStr">
        <is>
          <t>2018</t>
        </is>
      </c>
      <c r="J56" s="21" t="inlineStr">
        <is>
          <t xml:space="preserve"> 0</t>
        </is>
      </c>
      <c r="K56" s="30">
        <f>(E56-F56)/IF(E56&gt;0,E56,1)</f>
        <v/>
      </c>
    </row>
    <row r="57">
      <c r="A57" s="22" t="inlineStr">
        <is>
          <t>팔리는 블로그 &amp; SNS 글쓰기 with 챗GPT</t>
        </is>
      </c>
      <c r="B57" s="22" t="inlineStr">
        <is>
          <t>홍순성</t>
        </is>
      </c>
      <c r="C57" s="22" t="inlineStr">
        <is>
          <t>한빛미디어</t>
        </is>
      </c>
      <c r="D57" s="22" t="inlineStr">
        <is>
          <t>2025년 12월</t>
        </is>
      </c>
      <c r="E57" s="28" t="n">
        <v>25000</v>
      </c>
      <c r="F57" s="28" t="n">
        <v>22500</v>
      </c>
      <c r="G57" s="29" t="n">
        <v>12</v>
      </c>
      <c r="H57" s="29" t="n">
        <v>1908</v>
      </c>
      <c r="I57" s="21" t="inlineStr">
        <is>
          <t>2025</t>
        </is>
      </c>
      <c r="J57" s="21" t="inlineStr">
        <is>
          <t xml:space="preserve"> 1</t>
        </is>
      </c>
      <c r="K57" s="30">
        <f>(E57-F57)/IF(E57&gt;0,E57,1)</f>
        <v/>
      </c>
    </row>
    <row r="58">
      <c r="A58" s="22" t="inlineStr">
        <is>
          <t>소프트웨어 아키텍처 The Basics</t>
        </is>
      </c>
      <c r="B58" s="22" t="inlineStr">
        <is>
          <t>마크 리처즈, 닐 포드, 류광, 307번역랩</t>
        </is>
      </c>
      <c r="C58" s="22" t="inlineStr">
        <is>
          <t>한빛미디어</t>
        </is>
      </c>
      <c r="D58" s="22" t="inlineStr">
        <is>
          <t>2025년 11월</t>
        </is>
      </c>
      <c r="E58" s="28" t="n">
        <v>43000</v>
      </c>
      <c r="F58" s="28" t="n">
        <v>38700</v>
      </c>
      <c r="G58" s="29" t="n">
        <v>15</v>
      </c>
      <c r="H58" s="29" t="n">
        <v>1695</v>
      </c>
      <c r="I58" s="21" t="inlineStr">
        <is>
          <t>2025</t>
        </is>
      </c>
      <c r="J58" s="21" t="inlineStr">
        <is>
          <t xml:space="preserve"> 1</t>
        </is>
      </c>
      <c r="K58" s="30">
        <f>(E58-F58)/IF(E58&gt;0,E58,1)</f>
        <v/>
      </c>
    </row>
    <row r="59">
      <c r="A59" s="22" t="inlineStr">
        <is>
          <t>AI 에이전트 마스터 클래스</t>
        </is>
      </c>
      <c r="B59" s="22" t="inlineStr">
        <is>
          <t>김구현</t>
        </is>
      </c>
      <c r="C59" s="22" t="inlineStr">
        <is>
          <t>한빛미디어</t>
        </is>
      </c>
      <c r="D59" s="22" t="inlineStr">
        <is>
          <t>2026년 01월</t>
        </is>
      </c>
      <c r="E59" s="28" t="n">
        <v>26000</v>
      </c>
      <c r="F59" s="28" t="n">
        <v>23400</v>
      </c>
      <c r="G59" s="29" t="n">
        <v>65</v>
      </c>
      <c r="H59" s="29" t="n">
        <v>2736</v>
      </c>
      <c r="I59" s="21" t="inlineStr">
        <is>
          <t>2026</t>
        </is>
      </c>
      <c r="J59" s="21" t="inlineStr">
        <is>
          <t xml:space="preserve"> 0</t>
        </is>
      </c>
      <c r="K59" s="30">
        <f>(E59-F59)/IF(E59&gt;0,E59,1)</f>
        <v/>
      </c>
    </row>
    <row r="60">
      <c r="A60" s="22" t="inlineStr">
        <is>
          <t>AI 시대의 생존 게임 주권인가 종속인가</t>
        </is>
      </c>
      <c r="B60" s="22" t="inlineStr">
        <is>
          <t>변형균</t>
        </is>
      </c>
      <c r="C60" s="22" t="inlineStr">
        <is>
          <t>한빛미디어</t>
        </is>
      </c>
      <c r="D60" s="22" t="inlineStr">
        <is>
          <t>2025년 12월</t>
        </is>
      </c>
      <c r="E60" s="28" t="n">
        <v>24000</v>
      </c>
      <c r="F60" s="28" t="n">
        <v>21600</v>
      </c>
      <c r="G60" s="29" t="n">
        <v>20</v>
      </c>
      <c r="H60" s="29" t="n">
        <v>537</v>
      </c>
      <c r="I60" s="21" t="inlineStr">
        <is>
          <t>2025</t>
        </is>
      </c>
      <c r="J60" s="21" t="inlineStr">
        <is>
          <t xml:space="preserve"> 1</t>
        </is>
      </c>
      <c r="K60" s="30">
        <f>(E60-F60)/IF(E60&gt;0,E60,1)</f>
        <v/>
      </c>
    </row>
    <row r="61">
      <c r="A61" s="22" t="inlineStr">
        <is>
          <t>조코딩의 랭체인으로 AI 에이전트 서비스 만들기</t>
        </is>
      </c>
      <c r="B61" s="22" t="inlineStr">
        <is>
          <t>조동근, 우성우</t>
        </is>
      </c>
      <c r="C61" s="22" t="inlineStr">
        <is>
          <t>한빛미디어</t>
        </is>
      </c>
      <c r="D61" s="22" t="inlineStr">
        <is>
          <t>2025년 07월</t>
        </is>
      </c>
      <c r="E61" s="28" t="n">
        <v>32000</v>
      </c>
      <c r="F61" s="28" t="n">
        <v>28800</v>
      </c>
      <c r="G61" s="29" t="n">
        <v>14</v>
      </c>
      <c r="H61" s="29" t="n">
        <v>3048</v>
      </c>
      <c r="I61" s="21" t="inlineStr">
        <is>
          <t>2025</t>
        </is>
      </c>
      <c r="J61" s="21" t="inlineStr">
        <is>
          <t xml:space="preserve"> 0</t>
        </is>
      </c>
      <c r="K61" s="30">
        <f>(E61-F61)/IF(E61&gt;0,E61,1)</f>
        <v/>
      </c>
    </row>
    <row r="62">
      <c r="A62" s="22" t="inlineStr">
        <is>
          <t>린 AI</t>
        </is>
      </c>
      <c r="B62" s="22" t="inlineStr">
        <is>
          <t>로밋 파텔, 박기석, 최은정</t>
        </is>
      </c>
      <c r="C62" s="22" t="inlineStr">
        <is>
          <t>한빛미디어</t>
        </is>
      </c>
      <c r="D62" s="22" t="inlineStr">
        <is>
          <t>2021년 06월</t>
        </is>
      </c>
      <c r="E62" s="28" t="n">
        <v>18000</v>
      </c>
      <c r="F62" s="28" t="n">
        <v>16200</v>
      </c>
      <c r="G62" s="29" t="n">
        <v>8</v>
      </c>
      <c r="H62" s="29" t="n">
        <v>186</v>
      </c>
      <c r="I62" s="21" t="inlineStr">
        <is>
          <t>2021</t>
        </is>
      </c>
      <c r="J62" s="21" t="inlineStr">
        <is>
          <t xml:space="preserve"> 0</t>
        </is>
      </c>
      <c r="K62" s="30">
        <f>(E62-F62)/IF(E62&gt;0,E62,1)</f>
        <v/>
      </c>
    </row>
    <row r="63">
      <c r="A63" s="22" t="inlineStr">
        <is>
          <t>누구나 아는 나만 모르는 챗GPT : 세상에서 가장 쉬운 챗GPT &amp; AI 입문서</t>
        </is>
      </c>
      <c r="B63" s="22" t="inlineStr">
        <is>
          <t>이성원</t>
        </is>
      </c>
      <c r="C63" s="22" t="inlineStr">
        <is>
          <t>한빛미디어</t>
        </is>
      </c>
      <c r="D63" s="22" t="inlineStr">
        <is>
          <t>2025년 10월</t>
        </is>
      </c>
      <c r="E63" s="28" t="n">
        <v>19000</v>
      </c>
      <c r="F63" s="28" t="n">
        <v>17100</v>
      </c>
      <c r="G63" s="29" t="n">
        <v>41</v>
      </c>
      <c r="H63" s="29" t="n">
        <v>10086</v>
      </c>
      <c r="I63" s="21" t="inlineStr">
        <is>
          <t>2025</t>
        </is>
      </c>
      <c r="J63" s="21" t="inlineStr">
        <is>
          <t xml:space="preserve"> 1</t>
        </is>
      </c>
      <c r="K63" s="30">
        <f>(E63-F63)/IF(E63&gt;0,E63,1)</f>
        <v/>
      </c>
    </row>
    <row r="64">
      <c r="A64" s="22" t="inlineStr">
        <is>
          <t>머신러닝 시스템 설계</t>
        </is>
      </c>
      <c r="B64" s="22" t="inlineStr">
        <is>
          <t>칩 후옌, 김대근, 김영민</t>
        </is>
      </c>
      <c r="C64" s="22" t="inlineStr">
        <is>
          <t>한빛미디어</t>
        </is>
      </c>
      <c r="D64" s="22" t="inlineStr">
        <is>
          <t>2023년 03월</t>
        </is>
      </c>
      <c r="E64" s="28" t="n">
        <v>38000</v>
      </c>
      <c r="F64" s="28" t="n">
        <v>34200</v>
      </c>
      <c r="G64" s="29" t="n">
        <v>32</v>
      </c>
      <c r="H64" s="29" t="n">
        <v>1536</v>
      </c>
      <c r="I64" s="21" t="inlineStr">
        <is>
          <t>2023</t>
        </is>
      </c>
      <c r="J64" s="21" t="inlineStr">
        <is>
          <t xml:space="preserve"> 0</t>
        </is>
      </c>
      <c r="K64" s="30">
        <f>(E64-F64)/IF(E64&gt;0,E64,1)</f>
        <v/>
      </c>
    </row>
    <row r="65">
      <c r="A65" s="22" t="inlineStr">
        <is>
          <t>신경망 첫걸음</t>
        </is>
      </c>
      <c r="B65" s="22" t="inlineStr">
        <is>
          <t>타리크 라시드, 송교석</t>
        </is>
      </c>
      <c r="C65" s="22" t="inlineStr">
        <is>
          <t>한빛미디어</t>
        </is>
      </c>
      <c r="D65" s="22" t="inlineStr">
        <is>
          <t>2017년 04월</t>
        </is>
      </c>
      <c r="E65" s="28" t="n">
        <v>25000</v>
      </c>
      <c r="F65" s="28" t="n">
        <v>22500</v>
      </c>
      <c r="G65" s="29" t="n">
        <v>42</v>
      </c>
      <c r="H65" s="29" t="n">
        <v>885</v>
      </c>
      <c r="I65" s="21" t="inlineStr">
        <is>
          <t>2017</t>
        </is>
      </c>
      <c r="J65" s="21" t="inlineStr">
        <is>
          <t xml:space="preserve"> 0</t>
        </is>
      </c>
      <c r="K65" s="30">
        <f>(E65-F65)/IF(E65&gt;0,E65,1)</f>
        <v/>
      </c>
    </row>
    <row r="66">
      <c r="A66" s="22" t="inlineStr">
        <is>
          <t>AI 프로덕트 기획과 운영</t>
        </is>
      </c>
      <c r="B66" s="22" t="inlineStr">
        <is>
          <t>마릴리 니카, 오성근, 오용철</t>
        </is>
      </c>
      <c r="C66" s="22" t="inlineStr">
        <is>
          <t>한빛미디어</t>
        </is>
      </c>
      <c r="D66" s="22" t="inlineStr">
        <is>
          <t>2025년 09월</t>
        </is>
      </c>
      <c r="E66" s="28" t="n">
        <v>22000</v>
      </c>
      <c r="F66" s="28" t="n">
        <v>19800</v>
      </c>
      <c r="G66" s="29" t="n">
        <v>8</v>
      </c>
      <c r="H66" s="29" t="n">
        <v>1794</v>
      </c>
      <c r="I66" s="21" t="inlineStr">
        <is>
          <t>2025</t>
        </is>
      </c>
      <c r="J66" s="21" t="inlineStr">
        <is>
          <t xml:space="preserve"> 0</t>
        </is>
      </c>
      <c r="K66" s="30">
        <f>(E66-F66)/IF(E66&gt;0,E66,1)</f>
        <v/>
      </c>
    </row>
    <row r="67">
      <c r="A67" s="22" t="inlineStr">
        <is>
          <t>챗GPT 일타강사의 직장인 업무 만렙 공략집</t>
        </is>
      </c>
      <c r="B67" s="22" t="inlineStr">
        <is>
          <t>이승필</t>
        </is>
      </c>
      <c r="C67" s="22" t="inlineStr">
        <is>
          <t>한빛미디어</t>
        </is>
      </c>
      <c r="D67" s="22" t="inlineStr">
        <is>
          <t>2025년 03월</t>
        </is>
      </c>
      <c r="E67" s="28" t="n">
        <v>24000</v>
      </c>
      <c r="F67" s="28" t="n">
        <v>21600</v>
      </c>
      <c r="G67" s="29" t="n">
        <v>31</v>
      </c>
      <c r="H67" s="29" t="n">
        <v>3228</v>
      </c>
      <c r="I67" s="21" t="inlineStr">
        <is>
          <t>2025</t>
        </is>
      </c>
      <c r="J67" s="21" t="inlineStr">
        <is>
          <t xml:space="preserve"> 0</t>
        </is>
      </c>
      <c r="K67" s="30">
        <f>(E67-F67)/IF(E67&gt;0,E67,1)</f>
        <v/>
      </c>
    </row>
    <row r="68">
      <c r="A68" s="22" t="inlineStr">
        <is>
          <t>콘텐츠 디자인 with 나노 바나나</t>
        </is>
      </c>
      <c r="B68" s="22" t="inlineStr">
        <is>
          <t>홍순성</t>
        </is>
      </c>
      <c r="C68" s="22" t="inlineStr">
        <is>
          <t>한빛미디어</t>
        </is>
      </c>
      <c r="D68" s="22" t="inlineStr">
        <is>
          <t>2026년 04월</t>
        </is>
      </c>
      <c r="E68" s="28" t="n">
        <v>28000</v>
      </c>
      <c r="F68" s="28" t="n">
        <v>25200</v>
      </c>
      <c r="G68" s="29" t="n">
        <v>13</v>
      </c>
      <c r="H68" s="29" t="n">
        <v>486</v>
      </c>
      <c r="I68" s="21" t="inlineStr">
        <is>
          <t>2026</t>
        </is>
      </c>
      <c r="J68" s="21" t="inlineStr">
        <is>
          <t xml:space="preserve"> 0</t>
        </is>
      </c>
      <c r="K68" s="30">
        <f>(E68-F68)/IF(E68&gt;0,E68,1)</f>
        <v/>
      </c>
    </row>
    <row r="69">
      <c r="A69" s="22" t="inlineStr">
        <is>
          <t>직장인을 위한 챗GPT</t>
        </is>
      </c>
      <c r="B69" s="22" t="inlineStr">
        <is>
          <t>이안 클레이턴, 김상규</t>
        </is>
      </c>
      <c r="C69" s="22" t="inlineStr">
        <is>
          <t>한빛미디어</t>
        </is>
      </c>
      <c r="D69" s="22" t="inlineStr">
        <is>
          <t>2023년 05월</t>
        </is>
      </c>
      <c r="E69" s="28" t="n">
        <v>18000</v>
      </c>
      <c r="F69" s="28" t="n">
        <v>16200</v>
      </c>
      <c r="G69" s="29" t="n">
        <v>40</v>
      </c>
      <c r="H69" s="29" t="n">
        <v>354</v>
      </c>
      <c r="I69" s="21" t="inlineStr">
        <is>
          <t>2023</t>
        </is>
      </c>
      <c r="J69" s="21" t="inlineStr">
        <is>
          <t xml:space="preserve"> 0</t>
        </is>
      </c>
      <c r="K69" s="30">
        <f>(E69-F69)/IF(E69&gt;0,E69,1)</f>
        <v/>
      </c>
    </row>
    <row r="70">
      <c r="A70" s="22" t="inlineStr">
        <is>
          <t>데이터 과학을 위한 통계</t>
        </is>
      </c>
      <c r="B70" s="22" t="inlineStr">
        <is>
          <t>피터 브루스, 앤드루 브루스, 피터 게데크, 이준용</t>
        </is>
      </c>
      <c r="C70" s="22" t="inlineStr">
        <is>
          <t>한빛미디어</t>
        </is>
      </c>
      <c r="D70" s="22" t="inlineStr">
        <is>
          <t>2021년 05월</t>
        </is>
      </c>
      <c r="E70" s="28" t="n">
        <v>34000</v>
      </c>
      <c r="F70" s="28" t="n">
        <v>30600</v>
      </c>
      <c r="G70" s="29" t="n">
        <v>19</v>
      </c>
      <c r="H70" s="29" t="n">
        <v>1014</v>
      </c>
      <c r="I70" s="21" t="inlineStr">
        <is>
          <t>2021</t>
        </is>
      </c>
      <c r="J70" s="21" t="inlineStr">
        <is>
          <t xml:space="preserve"> 0</t>
        </is>
      </c>
      <c r="K70" s="30">
        <f>(E70-F70)/IF(E70&gt;0,E70,1)</f>
        <v/>
      </c>
    </row>
    <row r="71">
      <c r="A71" s="22" t="inlineStr">
        <is>
          <t>개발자를 위한 실전 선형대수학</t>
        </is>
      </c>
      <c r="B71" s="22" t="inlineStr">
        <is>
          <t>마이크 X 코헨, 장정호</t>
        </is>
      </c>
      <c r="C71" s="22" t="inlineStr">
        <is>
          <t>한빛미디어</t>
        </is>
      </c>
      <c r="D71" s="22" t="inlineStr">
        <is>
          <t>2023년 09월</t>
        </is>
      </c>
      <c r="E71" s="28" t="n">
        <v>28000</v>
      </c>
      <c r="F71" s="28" t="n">
        <v>25200</v>
      </c>
      <c r="G71" s="29" t="n">
        <v>36</v>
      </c>
      <c r="H71" s="29" t="n">
        <v>1938</v>
      </c>
      <c r="I71" s="21" t="inlineStr">
        <is>
          <t>2023</t>
        </is>
      </c>
      <c r="J71" s="21" t="inlineStr">
        <is>
          <t xml:space="preserve"> 0</t>
        </is>
      </c>
      <c r="K71" s="30">
        <f>(E71-F71)/IF(E71&gt;0,E71,1)</f>
        <v/>
      </c>
    </row>
    <row r="72">
      <c r="A72" s="22" t="inlineStr">
        <is>
          <t>26개 프로젝트로 끝내는 콘텐츠 디자인 with 챗GPT</t>
        </is>
      </c>
      <c r="B72" s="22" t="inlineStr">
        <is>
          <t>홍순성</t>
        </is>
      </c>
      <c r="C72" s="22" t="inlineStr">
        <is>
          <t>한빛미디어</t>
        </is>
      </c>
      <c r="D72" s="22" t="inlineStr">
        <is>
          <t>2025년 07월</t>
        </is>
      </c>
      <c r="E72" s="28" t="n">
        <v>28000</v>
      </c>
      <c r="F72" s="28" t="n">
        <v>25200</v>
      </c>
      <c r="G72" s="29" t="n">
        <v>17</v>
      </c>
      <c r="H72" s="29" t="n">
        <v>1686</v>
      </c>
      <c r="I72" s="21" t="inlineStr">
        <is>
          <t>2025</t>
        </is>
      </c>
      <c r="J72" s="21" t="inlineStr">
        <is>
          <t xml:space="preserve"> 0</t>
        </is>
      </c>
      <c r="K72" s="30">
        <f>(E72-F72)/IF(E72&gt;0,E72,1)</f>
        <v/>
      </c>
    </row>
    <row r="73">
      <c r="A73" s="22" t="inlineStr">
        <is>
          <t>7가지 생성 AI로 영상 제작 &amp; 편집하기 with 챗GPT &amp; 미드저니 &amp; 런웨이</t>
        </is>
      </c>
      <c r="B73" s="22" t="inlineStr">
        <is>
          <t>홍순성</t>
        </is>
      </c>
      <c r="C73" s="22" t="inlineStr">
        <is>
          <t>한빛미디어</t>
        </is>
      </c>
      <c r="D73" s="22" t="inlineStr">
        <is>
          <t>2024년 12월</t>
        </is>
      </c>
      <c r="E73" s="28" t="n">
        <v>25000</v>
      </c>
      <c r="F73" s="28" t="n">
        <v>22500</v>
      </c>
      <c r="G73" s="29" t="n">
        <v>18</v>
      </c>
      <c r="H73" s="29" t="n">
        <v>2670</v>
      </c>
      <c r="I73" s="21" t="inlineStr">
        <is>
          <t>2024</t>
        </is>
      </c>
      <c r="J73" s="21" t="inlineStr">
        <is>
          <t xml:space="preserve"> 1</t>
        </is>
      </c>
      <c r="K73" s="30">
        <f>(E73-F73)/IF(E73&gt;0,E73,1)</f>
        <v/>
      </c>
    </row>
    <row r="74">
      <c r="A74" s="22" t="inlineStr">
        <is>
          <t>일잘러의 비밀, 챗GPT와 GPTs로 나만의 AI 챗봇 만들기</t>
        </is>
      </c>
      <c r="B74" s="22" t="inlineStr">
        <is>
          <t>이경록, 김정욱</t>
        </is>
      </c>
      <c r="C74" s="22" t="inlineStr">
        <is>
          <t>한빛미디어</t>
        </is>
      </c>
      <c r="D74" s="22" t="inlineStr">
        <is>
          <t>2025년 02월</t>
        </is>
      </c>
      <c r="E74" s="28" t="n">
        <v>24000</v>
      </c>
      <c r="F74" s="28" t="n">
        <v>21600</v>
      </c>
      <c r="G74" s="29" t="n">
        <v>27</v>
      </c>
      <c r="H74" s="29" t="n">
        <v>1992</v>
      </c>
      <c r="I74" s="21" t="inlineStr">
        <is>
          <t>2025</t>
        </is>
      </c>
      <c r="J74" s="21" t="inlineStr">
        <is>
          <t xml:space="preserve"> 0</t>
        </is>
      </c>
      <c r="K74" s="30">
        <f>(E74-F74)/IF(E74&gt;0,E74,1)</f>
        <v/>
      </c>
    </row>
    <row r="75">
      <c r="A75" s="22" t="inlineStr">
        <is>
          <t>트랜스포머를 활용한 자연어 처리</t>
        </is>
      </c>
      <c r="B75" s="22" t="inlineStr">
        <is>
          <t>루이스 턴스톨, 레안드로 폰 베라, 토마스 울프, 박해선</t>
        </is>
      </c>
      <c r="C75" s="22" t="inlineStr">
        <is>
          <t>한빛미디어</t>
        </is>
      </c>
      <c r="D75" s="22" t="inlineStr">
        <is>
          <t>2022년 11월</t>
        </is>
      </c>
      <c r="E75" s="28" t="n">
        <v>39000</v>
      </c>
      <c r="F75" s="28" t="n">
        <v>35100</v>
      </c>
      <c r="G75" s="29" t="n">
        <v>44</v>
      </c>
      <c r="H75" s="29" t="n">
        <v>1182</v>
      </c>
      <c r="I75" s="21" t="inlineStr">
        <is>
          <t>2022</t>
        </is>
      </c>
      <c r="J75" s="21" t="inlineStr">
        <is>
          <t xml:space="preserve"> 1</t>
        </is>
      </c>
      <c r="K75" s="30">
        <f>(E75-F75)/IF(E75&gt;0,E75,1)</f>
        <v/>
      </c>
    </row>
    <row r="76">
      <c r="A76" s="22" t="inlineStr">
        <is>
          <t>할루시네이션을 줄여주는 프롬프트 엔지니어링</t>
        </is>
      </c>
      <c r="B76" s="22" t="inlineStr">
        <is>
          <t>한성민</t>
        </is>
      </c>
      <c r="C76" s="22" t="inlineStr">
        <is>
          <t>한빛미디어</t>
        </is>
      </c>
      <c r="D76" s="22" t="inlineStr">
        <is>
          <t>2025년 09월</t>
        </is>
      </c>
      <c r="E76" s="28" t="n">
        <v>32000</v>
      </c>
      <c r="F76" s="28" t="n">
        <v>28800</v>
      </c>
      <c r="G76" s="29" t="n">
        <v>6</v>
      </c>
      <c r="H76" s="29" t="n">
        <v>834</v>
      </c>
      <c r="I76" s="21" t="inlineStr">
        <is>
          <t>2025</t>
        </is>
      </c>
      <c r="J76" s="21" t="inlineStr">
        <is>
          <t xml:space="preserve"> 0</t>
        </is>
      </c>
      <c r="K76" s="30">
        <f>(E76-F76)/IF(E76&gt;0,E76,1)</f>
        <v/>
      </c>
    </row>
    <row r="77">
      <c r="A77" s="22" t="inlineStr">
        <is>
          <t>챗GPT API를 활용한 챗봇 만들기</t>
        </is>
      </c>
      <c r="B77" s="22" t="inlineStr">
        <is>
          <t>이승우</t>
        </is>
      </c>
      <c r="C77" s="22" t="inlineStr">
        <is>
          <t>한빛미디어</t>
        </is>
      </c>
      <c r="D77" s="22" t="inlineStr">
        <is>
          <t>2024년 08월</t>
        </is>
      </c>
      <c r="E77" s="28" t="n">
        <v>32000</v>
      </c>
      <c r="F77" s="28" t="n">
        <v>28800</v>
      </c>
      <c r="G77" s="29" t="n">
        <v>17</v>
      </c>
      <c r="H77" s="29" t="n">
        <v>870</v>
      </c>
      <c r="I77" s="21" t="inlineStr">
        <is>
          <t>2024</t>
        </is>
      </c>
      <c r="J77" s="21" t="inlineStr">
        <is>
          <t xml:space="preserve"> 0</t>
        </is>
      </c>
      <c r="K77" s="30">
        <f>(E77-F77)/IF(E77&gt;0,E77,1)</f>
        <v/>
      </c>
    </row>
    <row r="78">
      <c r="A78" s="22" t="inlineStr">
        <is>
          <t>파이썬 증권 데이터 분석</t>
        </is>
      </c>
      <c r="B78" s="22" t="inlineStr">
        <is>
          <t>김황후</t>
        </is>
      </c>
      <c r="C78" s="22" t="inlineStr">
        <is>
          <t>한빛미디어</t>
        </is>
      </c>
      <c r="D78" s="22" t="inlineStr">
        <is>
          <t>2020년 07월</t>
        </is>
      </c>
      <c r="E78" s="28" t="n">
        <v>32000</v>
      </c>
      <c r="F78" s="28" t="n">
        <v>28800</v>
      </c>
      <c r="G78" s="29" t="n">
        <v>40</v>
      </c>
      <c r="H78" s="29" t="n">
        <v>624</v>
      </c>
      <c r="I78" s="21" t="inlineStr">
        <is>
          <t>2020</t>
        </is>
      </c>
      <c r="J78" s="21" t="inlineStr">
        <is>
          <t xml:space="preserve"> 0</t>
        </is>
      </c>
      <c r="K78" s="30">
        <f>(E78-F78)/IF(E78&gt;0,E78,1)</f>
        <v/>
      </c>
    </row>
    <row r="79">
      <c r="A79" s="22" t="inlineStr">
        <is>
          <t>조코딩의 챗GPT API를 활용한 수익형 웹 서비스 만들기</t>
        </is>
      </c>
      <c r="B79" s="22" t="inlineStr">
        <is>
          <t>조동근</t>
        </is>
      </c>
      <c r="C79" s="22" t="inlineStr">
        <is>
          <t>한빛미디어</t>
        </is>
      </c>
      <c r="D79" s="22" t="inlineStr">
        <is>
          <t>2024년 01월</t>
        </is>
      </c>
      <c r="E79" s="28" t="n">
        <v>18000</v>
      </c>
      <c r="F79" s="28" t="n">
        <v>16200</v>
      </c>
      <c r="G79" s="29" t="n">
        <v>41</v>
      </c>
      <c r="H79" s="29" t="n">
        <v>456</v>
      </c>
      <c r="I79" s="21" t="inlineStr">
        <is>
          <t>2024</t>
        </is>
      </c>
      <c r="J79" s="21" t="inlineStr">
        <is>
          <t xml:space="preserve"> 0</t>
        </is>
      </c>
      <c r="K79" s="30">
        <f>(E79-F79)/IF(E79&gt;0,E79,1)</f>
        <v/>
      </c>
    </row>
    <row r="80">
      <c r="A80" s="22" t="inlineStr">
        <is>
          <t>온디바이스 AI</t>
        </is>
      </c>
      <c r="B80" s="22" t="inlineStr">
        <is>
          <t>로런스 모로니, 곽도영, 박찬성</t>
        </is>
      </c>
      <c r="C80" s="22" t="inlineStr">
        <is>
          <t>한빛미디어</t>
        </is>
      </c>
      <c r="D80" s="22" t="inlineStr">
        <is>
          <t>2022년 11월</t>
        </is>
      </c>
      <c r="E80" s="28" t="n">
        <v>30000</v>
      </c>
      <c r="F80" s="28" t="n">
        <v>27000</v>
      </c>
      <c r="G80" s="29" t="n">
        <v>19</v>
      </c>
      <c r="H80" s="29" t="n">
        <v>294</v>
      </c>
      <c r="I80" s="21" t="inlineStr">
        <is>
          <t>2022</t>
        </is>
      </c>
      <c r="J80" s="21" t="inlineStr">
        <is>
          <t xml:space="preserve"> 1</t>
        </is>
      </c>
      <c r="K80" s="30">
        <f>(E80-F80)/IF(E80&gt;0,E80,1)</f>
        <v/>
      </c>
    </row>
    <row r="81">
      <c r="A81" s="22" t="inlineStr">
        <is>
          <t>실무로 통하는 LLM 애플리케이션 설계</t>
        </is>
      </c>
      <c r="B81" s="22" t="inlineStr">
        <is>
          <t>수하스 파이, 박조은</t>
        </is>
      </c>
      <c r="C81" s="22" t="inlineStr">
        <is>
          <t>한빛미디어</t>
        </is>
      </c>
      <c r="D81" s="22" t="inlineStr">
        <is>
          <t>2025년 10월</t>
        </is>
      </c>
      <c r="E81" s="28" t="n">
        <v>33000</v>
      </c>
      <c r="F81" s="28" t="n">
        <v>29700</v>
      </c>
      <c r="G81" s="29" t="n">
        <v>7</v>
      </c>
      <c r="H81" s="29" t="n">
        <v>984</v>
      </c>
      <c r="I81" s="21" t="inlineStr">
        <is>
          <t>2025</t>
        </is>
      </c>
      <c r="J81" s="21" t="inlineStr">
        <is>
          <t xml:space="preserve"> 1</t>
        </is>
      </c>
      <c r="K81" s="30">
        <f>(E81-F81)/IF(E81&gt;0,E81,1)</f>
        <v/>
      </c>
    </row>
    <row r="82">
      <c r="A82" s="22" t="inlineStr">
        <is>
          <t>컨텍스트 엔지니어링으로 완성하는 AI 에이전트</t>
        </is>
      </c>
      <c r="B82" s="22" t="inlineStr">
        <is>
          <t>박경민</t>
        </is>
      </c>
      <c r="C82" s="22" t="inlineStr">
        <is>
          <t>한빛미디어</t>
        </is>
      </c>
      <c r="D82" s="22" t="inlineStr">
        <is>
          <t>2025년 12월</t>
        </is>
      </c>
      <c r="E82" s="28" t="n">
        <v>30000</v>
      </c>
      <c r="F82" s="28" t="n">
        <v>27000</v>
      </c>
      <c r="G82" s="29" t="n">
        <v>13</v>
      </c>
      <c r="H82" s="29" t="n">
        <v>888</v>
      </c>
      <c r="I82" s="21" t="inlineStr">
        <is>
          <t>2025</t>
        </is>
      </c>
      <c r="J82" s="21" t="inlineStr">
        <is>
          <t xml:space="preserve"> 1</t>
        </is>
      </c>
      <c r="K82" s="30">
        <f>(E82-F82)/IF(E82&gt;0,E82,1)</f>
        <v/>
      </c>
    </row>
    <row r="83">
      <c r="A83" s="22" t="inlineStr">
        <is>
          <t>LLM 서비스 설계와 최적화</t>
        </is>
      </c>
      <c r="B83" s="22" t="inlineStr">
        <is>
          <t>슈레야스 수브라마니암, 김현준, 박은주</t>
        </is>
      </c>
      <c r="C83" s="22" t="inlineStr">
        <is>
          <t>한빛미디어</t>
        </is>
      </c>
      <c r="D83" s="22" t="inlineStr">
        <is>
          <t>2025년 04월</t>
        </is>
      </c>
      <c r="E83" s="28" t="n">
        <v>32000</v>
      </c>
      <c r="F83" s="28" t="n">
        <v>28800</v>
      </c>
      <c r="G83" s="29" t="n">
        <v>11</v>
      </c>
      <c r="H83" s="29" t="n">
        <v>384</v>
      </c>
      <c r="I83" s="21" t="inlineStr">
        <is>
          <t>2025</t>
        </is>
      </c>
      <c r="J83" s="21" t="inlineStr">
        <is>
          <t xml:space="preserve"> 0</t>
        </is>
      </c>
      <c r="K83" s="30">
        <f>(E83-F83)/IF(E83&gt;0,E83,1)</f>
        <v/>
      </c>
    </row>
    <row r="84">
      <c r="A84" s="22" t="inlineStr">
        <is>
          <t>핸즈온 바이브 코딩</t>
        </is>
      </c>
      <c r="B84" s="22" t="inlineStr">
        <is>
          <t>정도현</t>
        </is>
      </c>
      <c r="C84" s="22" t="inlineStr">
        <is>
          <t>한빛미디어</t>
        </is>
      </c>
      <c r="D84" s="22" t="inlineStr">
        <is>
          <t>2025년 10월</t>
        </is>
      </c>
      <c r="E84" s="28" t="n">
        <v>22000</v>
      </c>
      <c r="F84" s="28" t="n">
        <v>19800</v>
      </c>
      <c r="G84" s="29" t="n">
        <v>32</v>
      </c>
      <c r="H84" s="29" t="n">
        <v>1680</v>
      </c>
      <c r="I84" s="21" t="inlineStr">
        <is>
          <t>2025</t>
        </is>
      </c>
      <c r="J84" s="21" t="inlineStr">
        <is>
          <t xml:space="preserve"> 1</t>
        </is>
      </c>
      <c r="K84" s="30">
        <f>(E84-F84)/IF(E84&gt;0,E84,1)</f>
        <v/>
      </c>
    </row>
    <row r="85">
      <c r="A85" s="22" t="inlineStr">
        <is>
          <t>파이썬 라이브러리를 활용한 텍스트 분석</t>
        </is>
      </c>
      <c r="B85" s="22" t="inlineStr">
        <is>
          <t>젠스 알브레히트, 싯다르트 라마찬드란, 크리스티안 윙클러, 심상진</t>
        </is>
      </c>
      <c r="C85" s="22" t="inlineStr">
        <is>
          <t>한빛미디어</t>
        </is>
      </c>
      <c r="D85" s="22" t="inlineStr">
        <is>
          <t>2022년 10월</t>
        </is>
      </c>
      <c r="E85" s="28" t="n">
        <v>35000</v>
      </c>
      <c r="F85" s="28" t="n">
        <v>31500</v>
      </c>
      <c r="G85" s="29" t="n">
        <v>37</v>
      </c>
      <c r="H85" s="29" t="n">
        <v>120</v>
      </c>
      <c r="I85" s="21" t="inlineStr">
        <is>
          <t>2022</t>
        </is>
      </c>
      <c r="J85" s="21" t="inlineStr">
        <is>
          <t xml:space="preserve"> 1</t>
        </is>
      </c>
      <c r="K85" s="30">
        <f>(E85-F85)/IF(E85&gt;0,E85,1)</f>
        <v/>
      </c>
    </row>
    <row r="86">
      <c r="A86" s="22" t="inlineStr">
        <is>
          <t>만들면서 배우는 생성 AI</t>
        </is>
      </c>
      <c r="B86" s="22" t="inlineStr">
        <is>
          <t>데이비드 포스터, 박해선</t>
        </is>
      </c>
      <c r="C86" s="22" t="inlineStr">
        <is>
          <t>한빛미디어</t>
        </is>
      </c>
      <c r="D86" s="22" t="inlineStr">
        <is>
          <t>2023년 09월</t>
        </is>
      </c>
      <c r="E86" s="28" t="n">
        <v>39000</v>
      </c>
      <c r="F86" s="28" t="n">
        <v>35100</v>
      </c>
      <c r="G86" s="29" t="n">
        <v>47</v>
      </c>
      <c r="H86" s="29" t="n">
        <v>864</v>
      </c>
      <c r="I86" s="21" t="inlineStr">
        <is>
          <t>2023</t>
        </is>
      </c>
      <c r="J86" s="21" t="inlineStr">
        <is>
          <t xml:space="preserve"> 0</t>
        </is>
      </c>
      <c r="K86" s="30">
        <f>(E86-F86)/IF(E86&gt;0,E86,1)</f>
        <v/>
      </c>
    </row>
    <row r="87">
      <c r="A87" s="22" t="inlineStr">
        <is>
          <t>혼자 만들면서 공부하는 딥러닝</t>
        </is>
      </c>
      <c r="B87" s="22" t="inlineStr">
        <is>
          <t>박해선</t>
        </is>
      </c>
      <c r="C87" s="22" t="inlineStr">
        <is>
          <t>한빛미디어</t>
        </is>
      </c>
      <c r="D87" s="22" t="inlineStr">
        <is>
          <t>2025년 05월</t>
        </is>
      </c>
      <c r="E87" s="28" t="n">
        <v>28000</v>
      </c>
      <c r="F87" s="28" t="n">
        <v>25200</v>
      </c>
      <c r="G87" s="29" t="n">
        <v>33</v>
      </c>
      <c r="H87" s="29" t="n">
        <v>2100</v>
      </c>
      <c r="I87" s="21" t="inlineStr">
        <is>
          <t>2025</t>
        </is>
      </c>
      <c r="J87" s="21" t="inlineStr">
        <is>
          <t xml:space="preserve"> 0</t>
        </is>
      </c>
      <c r="K87" s="30">
        <f>(E87-F87)/IF(E87&gt;0,E87,1)</f>
        <v/>
      </c>
    </row>
    <row r="88">
      <c r="A88" s="22" t="inlineStr">
        <is>
          <t>AGI의 시대</t>
        </is>
      </c>
      <c r="B88" s="22" t="inlineStr">
        <is>
          <t>한상기</t>
        </is>
      </c>
      <c r="C88" s="22" t="inlineStr">
        <is>
          <t>한빛미디어</t>
        </is>
      </c>
      <c r="D88" s="22" t="inlineStr">
        <is>
          <t>2024년 11월</t>
        </is>
      </c>
      <c r="E88" s="28" t="n">
        <v>22000</v>
      </c>
      <c r="F88" s="28" t="n">
        <v>19800</v>
      </c>
      <c r="G88" s="29" t="n">
        <v>20</v>
      </c>
      <c r="H88" s="29" t="n">
        <v>1788</v>
      </c>
      <c r="I88" s="21" t="inlineStr">
        <is>
          <t>2024</t>
        </is>
      </c>
      <c r="J88" s="21" t="inlineStr">
        <is>
          <t xml:space="preserve"> 1</t>
        </is>
      </c>
      <c r="K88" s="30">
        <f>(E88-F88)/IF(E88&gt;0,E88,1)</f>
        <v/>
      </c>
    </row>
    <row r="89">
      <c r="A89" s="22" t="inlineStr">
        <is>
          <t>처음 배우는 인공지능</t>
        </is>
      </c>
      <c r="B89" s="22" t="inlineStr">
        <is>
          <t>다다 사토시, 송교석</t>
        </is>
      </c>
      <c r="C89" s="22" t="inlineStr">
        <is>
          <t>한빛미디어</t>
        </is>
      </c>
      <c r="D89" s="22" t="inlineStr">
        <is>
          <t>2017년 06월</t>
        </is>
      </c>
      <c r="E89" s="28" t="n">
        <v>28000</v>
      </c>
      <c r="F89" s="28" t="n">
        <v>25200</v>
      </c>
      <c r="G89" s="29" t="n">
        <v>15</v>
      </c>
      <c r="H89" s="29" t="n">
        <v>288</v>
      </c>
      <c r="I89" s="21" t="inlineStr">
        <is>
          <t>2017</t>
        </is>
      </c>
      <c r="J89" s="21" t="inlineStr">
        <is>
          <t xml:space="preserve"> 0</t>
        </is>
      </c>
      <c r="K89" s="30">
        <f>(E89-F89)/IF(E89&gt;0,E89,1)</f>
        <v/>
      </c>
    </row>
    <row r="90">
      <c r="A90" s="22" t="inlineStr">
        <is>
          <t>MLOps 실전 가이드</t>
        </is>
      </c>
      <c r="B90" s="22" t="inlineStr">
        <is>
          <t>노아 기프트, 알프레도 데자, 이장후, 이일섭, 서기원, 정보 더 보기/감추기, 노아 기프트, 알프레도 데자, 이장후, 이일섭, 서기원, 맹윤호</t>
        </is>
      </c>
      <c r="C90" s="22" t="inlineStr">
        <is>
          <t>한빛미디어</t>
        </is>
      </c>
      <c r="D90" s="22" t="inlineStr">
        <is>
          <t>2023년 07월</t>
        </is>
      </c>
      <c r="E90" s="28" t="n">
        <v>40000</v>
      </c>
      <c r="F90" s="28" t="n">
        <v>36000</v>
      </c>
      <c r="G90" s="29" t="n">
        <v>22</v>
      </c>
      <c r="H90" s="29" t="n">
        <v>558</v>
      </c>
      <c r="I90" s="21" t="inlineStr">
        <is>
          <t>2023</t>
        </is>
      </c>
      <c r="J90" s="21" t="inlineStr">
        <is>
          <t xml:space="preserve"> 0</t>
        </is>
      </c>
      <c r="K90" s="30">
        <f>(E90-F90)/IF(E90&gt;0,E90,1)</f>
        <v/>
      </c>
    </row>
    <row r="91">
      <c r="A91" s="22" t="inlineStr">
        <is>
          <t>디자인 경험을 바꾸는 UX/UI 디자인 with AI</t>
        </is>
      </c>
      <c r="B91" s="22" t="inlineStr">
        <is>
          <t>유훈식</t>
        </is>
      </c>
      <c r="C91" s="22" t="inlineStr">
        <is>
          <t>한빛미디어</t>
        </is>
      </c>
      <c r="D91" s="22" t="inlineStr">
        <is>
          <t>2025년 06월</t>
        </is>
      </c>
      <c r="E91" s="28" t="n">
        <v>32000</v>
      </c>
      <c r="F91" s="28" t="n">
        <v>28800</v>
      </c>
      <c r="G91" s="29" t="n">
        <v>7</v>
      </c>
      <c r="H91" s="29" t="n">
        <v>1524</v>
      </c>
      <c r="I91" s="21" t="inlineStr">
        <is>
          <t>2025</t>
        </is>
      </c>
      <c r="J91" s="21" t="inlineStr">
        <is>
          <t xml:space="preserve"> 0</t>
        </is>
      </c>
      <c r="K91" s="30">
        <f>(E91-F91)/IF(E91&gt;0,E91,1)</f>
        <v/>
      </c>
    </row>
    <row r="92">
      <c r="A92" s="22" t="inlineStr">
        <is>
          <t>클라우드 애플리케이션 아키텍처 패턴</t>
        </is>
      </c>
      <c r="B92" s="22" t="inlineStr">
        <is>
          <t>카일 브라운, 바비 울프, 조셉 요더, 박수현</t>
        </is>
      </c>
      <c r="C92" s="22" t="inlineStr">
        <is>
          <t>한빛미디어</t>
        </is>
      </c>
      <c r="D92" s="22" t="inlineStr">
        <is>
          <t>2026년 03월</t>
        </is>
      </c>
      <c r="E92" s="28" t="n">
        <v>46000</v>
      </c>
      <c r="F92" s="28" t="n">
        <v>41400</v>
      </c>
      <c r="G92" s="29" t="n">
        <v>9</v>
      </c>
      <c r="H92" s="29" t="n">
        <v>294</v>
      </c>
      <c r="I92" s="21" t="inlineStr">
        <is>
          <t>2026</t>
        </is>
      </c>
      <c r="J92" s="21" t="inlineStr">
        <is>
          <t xml:space="preserve"> 0</t>
        </is>
      </c>
      <c r="K92" s="30">
        <f>(E92-F92)/IF(E92&gt;0,E92,1)</f>
        <v/>
      </c>
    </row>
    <row r="93">
      <c r="A93" s="22" t="inlineStr">
        <is>
          <t>핸즈온 생성형 AI</t>
        </is>
      </c>
      <c r="B93" s="22" t="inlineStr">
        <is>
          <t>오마르 산세비에로, 페드로 쿠엥카, 아폴리나리우 파소스, 조나단 휘태커, 장윤경</t>
        </is>
      </c>
      <c r="C93" s="22" t="inlineStr">
        <is>
          <t>한빛미디어</t>
        </is>
      </c>
      <c r="D93" s="22" t="inlineStr">
        <is>
          <t>2025년 06월</t>
        </is>
      </c>
      <c r="E93" s="28" t="n">
        <v>39000</v>
      </c>
      <c r="F93" s="28" t="n">
        <v>35100</v>
      </c>
      <c r="G93" s="29" t="n">
        <v>10</v>
      </c>
      <c r="H93" s="29" t="n">
        <v>1338</v>
      </c>
      <c r="I93" s="21" t="inlineStr">
        <is>
          <t>2025</t>
        </is>
      </c>
      <c r="J93" s="21" t="inlineStr">
        <is>
          <t xml:space="preserve"> 0</t>
        </is>
      </c>
      <c r="K93" s="30">
        <f>(E93-F93)/IF(E93&gt;0,E93,1)</f>
        <v/>
      </c>
    </row>
    <row r="94">
      <c r="A94" s="22" t="inlineStr">
        <is>
          <t>파이썬을 활용한 금융 분석</t>
        </is>
      </c>
      <c r="B94" s="22" t="inlineStr">
        <is>
          <t>이브 힐피시, 김도형</t>
        </is>
      </c>
      <c r="C94" s="22" t="inlineStr">
        <is>
          <t>한빛미디어</t>
        </is>
      </c>
      <c r="D94" s="22" t="inlineStr">
        <is>
          <t>2022년 03월</t>
        </is>
      </c>
      <c r="E94" s="28" t="n">
        <v>45000</v>
      </c>
      <c r="F94" s="28" t="n">
        <v>40500</v>
      </c>
      <c r="G94" s="29" t="n">
        <v>16</v>
      </c>
      <c r="H94" s="29" t="n">
        <v>582</v>
      </c>
      <c r="I94" s="21" t="inlineStr">
        <is>
          <t>2022</t>
        </is>
      </c>
      <c r="J94" s="21" t="inlineStr">
        <is>
          <t xml:space="preserve"> 0</t>
        </is>
      </c>
      <c r="K94" s="30">
        <f>(E94-F94)/IF(E94&gt;0,E94,1)</f>
        <v/>
      </c>
    </row>
    <row r="95">
      <c r="A95" s="22" t="inlineStr">
        <is>
          <t>월 20달러로 비즈니스 글쓰기 with 챗GPT</t>
        </is>
      </c>
      <c r="B95" s="22" t="inlineStr">
        <is>
          <t>홍순성</t>
        </is>
      </c>
      <c r="C95" s="22" t="inlineStr">
        <is>
          <t>한빛미디어</t>
        </is>
      </c>
      <c r="D95" s="22" t="inlineStr">
        <is>
          <t>2024년 08월</t>
        </is>
      </c>
      <c r="E95" s="28" t="n">
        <v>22000</v>
      </c>
      <c r="F95" s="28" t="n">
        <v>19800</v>
      </c>
      <c r="G95" s="29" t="n">
        <v>20</v>
      </c>
      <c r="H95" s="29" t="n">
        <v>474</v>
      </c>
      <c r="I95" s="21" t="inlineStr">
        <is>
          <t>2024</t>
        </is>
      </c>
      <c r="J95" s="21" t="inlineStr">
        <is>
          <t xml:space="preserve"> 0</t>
        </is>
      </c>
      <c r="K95" s="30">
        <f>(E95-F95)/IF(E95&gt;0,E95,1)</f>
        <v/>
      </c>
    </row>
    <row r="96">
      <c r="A96" s="22" t="inlineStr">
        <is>
          <t>퀵스타트 SQL with 챗GPT</t>
        </is>
      </c>
      <c r="B96" s="22" t="inlineStr">
        <is>
          <t>정미나</t>
        </is>
      </c>
      <c r="C96" s="22" t="inlineStr">
        <is>
          <t>한빛미디어</t>
        </is>
      </c>
      <c r="D96" s="22" t="inlineStr">
        <is>
          <t>2025년 12월</t>
        </is>
      </c>
      <c r="E96" s="28" t="n">
        <v>27000</v>
      </c>
      <c r="F96" s="28" t="n">
        <v>24300</v>
      </c>
      <c r="G96" s="29" t="n">
        <v>15</v>
      </c>
      <c r="H96" s="29" t="n">
        <v>360</v>
      </c>
      <c r="I96" s="21" t="inlineStr">
        <is>
          <t>2025</t>
        </is>
      </c>
      <c r="J96" s="21" t="inlineStr">
        <is>
          <t xml:space="preserve"> 1</t>
        </is>
      </c>
      <c r="K96" s="30">
        <f>(E96-F96)/IF(E96&gt;0,E96,1)</f>
        <v/>
      </c>
    </row>
    <row r="97">
      <c r="A97" s="22" t="inlineStr">
        <is>
          <t>개발자를 위한 머신러닝&amp;딥러닝</t>
        </is>
      </c>
      <c r="B97" s="22" t="inlineStr">
        <is>
          <t>로런스 모로니, 박해선</t>
        </is>
      </c>
      <c r="C97" s="22" t="inlineStr">
        <is>
          <t>한빛미디어</t>
        </is>
      </c>
      <c r="D97" s="22" t="inlineStr">
        <is>
          <t>2022년 08월</t>
        </is>
      </c>
      <c r="E97" s="28" t="n">
        <v>34000</v>
      </c>
      <c r="F97" s="28" t="n">
        <v>30600</v>
      </c>
      <c r="G97" s="29" t="n">
        <v>40</v>
      </c>
      <c r="H97" s="29" t="n">
        <v>342</v>
      </c>
      <c r="I97" s="21" t="inlineStr">
        <is>
          <t>2022</t>
        </is>
      </c>
      <c r="J97" s="21" t="inlineStr">
        <is>
          <t xml:space="preserve"> 0</t>
        </is>
      </c>
      <c r="K97" s="30">
        <f>(E97-F97)/IF(E97&gt;0,E97,1)</f>
        <v/>
      </c>
    </row>
    <row r="98">
      <c r="A98" s="22" t="inlineStr">
        <is>
          <t>린 고객 개발</t>
        </is>
      </c>
      <c r="B98" s="22" t="inlineStr">
        <is>
          <t>신디 앨버레즈, 박주훈, 이광호</t>
        </is>
      </c>
      <c r="C98" s="22" t="inlineStr">
        <is>
          <t>한빛미디어</t>
        </is>
      </c>
      <c r="D98" s="22" t="inlineStr">
        <is>
          <t>2015년 05월</t>
        </is>
      </c>
      <c r="E98" s="28" t="n">
        <v>20000</v>
      </c>
      <c r="F98" s="28" t="n">
        <v>18000</v>
      </c>
      <c r="G98" s="29" t="n">
        <v>15</v>
      </c>
      <c r="H98" s="29" t="n">
        <v>282</v>
      </c>
      <c r="I98" s="21" t="inlineStr">
        <is>
          <t>2015</t>
        </is>
      </c>
      <c r="J98" s="21" t="inlineStr">
        <is>
          <t xml:space="preserve"> 0</t>
        </is>
      </c>
      <c r="K98" s="30">
        <f>(E98-F98)/IF(E98&gt;0,E98,1)</f>
        <v/>
      </c>
    </row>
    <row r="99">
      <c r="A99" s="22" t="inlineStr">
        <is>
          <t>테라폼으로 시작하는 IaC</t>
        </is>
      </c>
      <c r="B99" s="22" t="inlineStr">
        <is>
          <t>김민수, 김재준, 이규석, 이유종</t>
        </is>
      </c>
      <c r="C99" s="22" t="inlineStr">
        <is>
          <t>한빛미디어</t>
        </is>
      </c>
      <c r="D99" s="22" t="inlineStr">
        <is>
          <t>2024년 09월</t>
        </is>
      </c>
      <c r="E99" s="28" t="n">
        <v>32000</v>
      </c>
      <c r="F99" s="28" t="n">
        <v>28800</v>
      </c>
      <c r="G99" s="29" t="n">
        <v>8</v>
      </c>
      <c r="H99" s="29" t="n">
        <v>270</v>
      </c>
      <c r="I99" s="21" t="inlineStr">
        <is>
          <t>2024</t>
        </is>
      </c>
      <c r="J99" s="21" t="inlineStr">
        <is>
          <t xml:space="preserve"> 0</t>
        </is>
      </c>
      <c r="K99" s="30">
        <f>(E99-F99)/IF(E99&gt;0,E99,1)</f>
        <v/>
      </c>
    </row>
    <row r="100">
      <c r="A100" s="22" t="inlineStr">
        <is>
          <t>스테이블 디퓨전으로 만드는 게임 그래픽</t>
        </is>
      </c>
      <c r="B100" s="22" t="inlineStr">
        <is>
          <t>크로노스 크라운 야나이 마사카즈, 박광수</t>
        </is>
      </c>
      <c r="C100" s="22" t="inlineStr">
        <is>
          <t>한빛미디어</t>
        </is>
      </c>
      <c r="D100" s="22" t="inlineStr">
        <is>
          <t>2024년 01월</t>
        </is>
      </c>
      <c r="E100" s="28" t="n">
        <v>28000</v>
      </c>
      <c r="F100" s="28" t="n">
        <v>25200</v>
      </c>
      <c r="G100" s="29" t="n">
        <v>6</v>
      </c>
      <c r="H100" s="29" t="n">
        <v>222</v>
      </c>
      <c r="I100" s="21" t="inlineStr">
        <is>
          <t>2024</t>
        </is>
      </c>
      <c r="J100" s="21" t="inlineStr">
        <is>
          <t xml:space="preserve"> 0</t>
        </is>
      </c>
      <c r="K100" s="30">
        <f>(E100-F100)/IF(E100&gt;0,E100,1)</f>
        <v/>
      </c>
    </row>
    <row r="101">
      <c r="A101" s="22" t="inlineStr">
        <is>
          <t>AI 트루스</t>
        </is>
      </c>
      <c r="B101" s="22" t="inlineStr">
        <is>
          <t>임백준</t>
        </is>
      </c>
      <c r="C101" s="22" t="inlineStr">
        <is>
          <t>한빛미디어</t>
        </is>
      </c>
      <c r="D101" s="22" t="inlineStr">
        <is>
          <t>2024년 08월</t>
        </is>
      </c>
      <c r="E101" s="28" t="n">
        <v>19800</v>
      </c>
      <c r="F101" s="28" t="n">
        <v>17820</v>
      </c>
      <c r="G101" s="29" t="n">
        <v>41</v>
      </c>
      <c r="H101" s="29" t="n">
        <v>204</v>
      </c>
      <c r="I101" s="21" t="inlineStr">
        <is>
          <t>2024</t>
        </is>
      </c>
      <c r="J101" s="21" t="inlineStr">
        <is>
          <t xml:space="preserve"> 0</t>
        </is>
      </c>
      <c r="K101" s="30">
        <f>(E101-F101)/IF(E101&gt;0,E101,1)</f>
        <v/>
      </c>
    </row>
    <row r="102">
      <c r="A102" s="22" t="inlineStr">
        <is>
          <t>쿠브플로 운영 가이드</t>
        </is>
      </c>
      <c r="B102" s="22" t="inlineStr">
        <is>
          <t>조시 패터슨, 마이클 카체넬렌보겐, 오스틴 해리스, 김소형</t>
        </is>
      </c>
      <c r="C102" s="22" t="inlineStr">
        <is>
          <t>한빛미디어</t>
        </is>
      </c>
      <c r="D102" s="22" t="inlineStr">
        <is>
          <t>2022년 01월</t>
        </is>
      </c>
      <c r="E102" s="28" t="n">
        <v>25000</v>
      </c>
      <c r="F102" s="28" t="n">
        <v>22500</v>
      </c>
      <c r="G102" s="29" t="n">
        <v>4</v>
      </c>
      <c r="H102" s="29" t="n">
        <v>138</v>
      </c>
      <c r="I102" s="21" t="inlineStr">
        <is>
          <t>2022</t>
        </is>
      </c>
      <c r="J102" s="21" t="inlineStr">
        <is>
          <t xml:space="preserve"> 0</t>
        </is>
      </c>
      <c r="K102" s="30">
        <f>(E102-F102)/IF(E102&gt;0,E102,1)</f>
        <v/>
      </c>
    </row>
    <row r="103">
      <c r="A103" s="22" t="inlineStr">
        <is>
          <t>기계의 반칙</t>
        </is>
      </c>
      <c r="B103" s="22" t="inlineStr">
        <is>
          <t>넬로 크리스티아니니, 김정민</t>
        </is>
      </c>
      <c r="C103" s="22" t="inlineStr">
        <is>
          <t>한빛미디어</t>
        </is>
      </c>
      <c r="D103" s="22" t="inlineStr">
        <is>
          <t>2023년 11월</t>
        </is>
      </c>
      <c r="E103" s="28" t="n">
        <v>17500</v>
      </c>
      <c r="F103" s="28" t="n">
        <v>15750</v>
      </c>
      <c r="G103" s="29" t="n">
        <v>26</v>
      </c>
      <c r="H103" s="29" t="n">
        <v>108</v>
      </c>
      <c r="I103" s="21" t="inlineStr">
        <is>
          <t>2023</t>
        </is>
      </c>
      <c r="J103" s="21" t="inlineStr">
        <is>
          <t xml:space="preserve"> 1</t>
        </is>
      </c>
      <c r="K103" s="30">
        <f>(E103-F103)/IF(E103&gt;0,E103,1)</f>
        <v/>
      </c>
    </row>
    <row r="104">
      <c r="A104" s="22" t="inlineStr">
        <is>
          <t>데이터 과학 레벨 업 with 로드맵</t>
        </is>
      </c>
      <c r="B104" s="22" t="inlineStr">
        <is>
          <t>콘라트 바나헤비치, 루카 마사론, 김형민</t>
        </is>
      </c>
      <c r="C104" s="22" t="inlineStr">
        <is>
          <t>한빛미디어</t>
        </is>
      </c>
      <c r="D104" s="22" t="inlineStr">
        <is>
          <t>2023년 04월</t>
        </is>
      </c>
      <c r="E104" s="28" t="n">
        <v>38000</v>
      </c>
      <c r="F104" s="28" t="n">
        <v>34200</v>
      </c>
      <c r="G104" s="29" t="n">
        <v>20</v>
      </c>
      <c r="H104" s="29" t="n">
        <v>102</v>
      </c>
      <c r="I104" s="21" t="inlineStr">
        <is>
          <t>2023</t>
        </is>
      </c>
      <c r="J104" s="21" t="inlineStr">
        <is>
          <t xml:space="preserve"> 0</t>
        </is>
      </c>
      <c r="K104" s="30">
        <f>(E104-F104)/IF(E104&gt;0,E104,1)</f>
        <v/>
      </c>
    </row>
    <row r="105">
      <c r="A105" s="22" t="inlineStr">
        <is>
          <t>살아 움직이는 머신러닝 파이프라인 설계</t>
        </is>
      </c>
      <c r="B105" s="22" t="inlineStr">
        <is>
          <t>하네스 하프케, 캐서린 넬슨, 송호연</t>
        </is>
      </c>
      <c r="C105" s="22" t="inlineStr">
        <is>
          <t>한빛미디어</t>
        </is>
      </c>
      <c r="D105" s="22" t="inlineStr">
        <is>
          <t>2021년 10월</t>
        </is>
      </c>
      <c r="E105" s="28" t="n">
        <v>32000</v>
      </c>
      <c r="F105" s="28" t="n">
        <v>28800</v>
      </c>
      <c r="G105" s="29" t="n">
        <v>2</v>
      </c>
      <c r="H105" s="29" t="n">
        <v>90</v>
      </c>
      <c r="I105" s="21" t="inlineStr">
        <is>
          <t>2021</t>
        </is>
      </c>
      <c r="J105" s="21" t="inlineStr">
        <is>
          <t xml:space="preserve"> 1</t>
        </is>
      </c>
      <c r="K105" s="30">
        <f>(E105-F105)/IF(E105&gt;0,E105,1)</f>
        <v/>
      </c>
    </row>
    <row r="106">
      <c r="A106" s="22" t="inlineStr">
        <is>
          <t>AI 시대의 프로그래머</t>
        </is>
      </c>
      <c r="B106" s="22" t="inlineStr">
        <is>
          <t>톰 타울리, 이일섭, 황은옥</t>
        </is>
      </c>
      <c r="C106" s="22" t="inlineStr">
        <is>
          <t>한빛미디어</t>
        </is>
      </c>
      <c r="D106" s="22" t="inlineStr">
        <is>
          <t>2024년 08월</t>
        </is>
      </c>
      <c r="E106" s="28" t="n">
        <v>23000</v>
      </c>
      <c r="F106" s="28" t="n">
        <v>20700</v>
      </c>
      <c r="G106" s="29" t="n">
        <v>17</v>
      </c>
      <c r="H106" s="29" t="n">
        <v>582</v>
      </c>
      <c r="I106" s="21" t="inlineStr">
        <is>
          <t>2024</t>
        </is>
      </c>
      <c r="J106" s="21" t="inlineStr">
        <is>
          <t xml:space="preserve"> 0</t>
        </is>
      </c>
      <c r="K106" s="30">
        <f>(E106-F106)/IF(E106&gt;0,E106,1)</f>
        <v/>
      </c>
    </row>
    <row r="107">
      <c r="A107" s="22" t="inlineStr">
        <is>
          <t>추천 시스템 입문</t>
        </is>
      </c>
      <c r="B107" s="22" t="inlineStr">
        <is>
          <t>가자마 마사히로, 이즈카 고지로, 마쓰무라 유야, 김모세</t>
        </is>
      </c>
      <c r="C107" s="22" t="inlineStr">
        <is>
          <t>한빛미디어</t>
        </is>
      </c>
      <c r="D107" s="22" t="inlineStr">
        <is>
          <t>2023년 05월</t>
        </is>
      </c>
      <c r="E107" s="28" t="n">
        <v>29000</v>
      </c>
      <c r="F107" s="28" t="n">
        <v>26100</v>
      </c>
      <c r="G107" s="29" t="n">
        <v>17</v>
      </c>
      <c r="H107" s="29" t="n">
        <v>384</v>
      </c>
      <c r="I107" s="21" t="inlineStr">
        <is>
          <t>2023</t>
        </is>
      </c>
      <c r="J107" s="21" t="inlineStr">
        <is>
          <t xml:space="preserve"> 0</t>
        </is>
      </c>
      <c r="K107" s="30">
        <f>(E107-F107)/IF(E107&gt;0,E107,1)</f>
        <v/>
      </c>
    </row>
    <row r="108">
      <c r="A108" s="22" t="inlineStr">
        <is>
          <t>초소형 머신러닝 TinyML</t>
        </is>
      </c>
      <c r="B108" s="22" t="inlineStr">
        <is>
          <t>피트 워든, 대니얼 시투나야케, 맹윤호, 임지순</t>
        </is>
      </c>
      <c r="C108" s="22" t="inlineStr">
        <is>
          <t>한빛미디어</t>
        </is>
      </c>
      <c r="D108" s="22" t="inlineStr">
        <is>
          <t>2020년 08월</t>
        </is>
      </c>
      <c r="E108" s="28" t="n">
        <v>40000</v>
      </c>
      <c r="F108" s="28" t="n">
        <v>36000</v>
      </c>
      <c r="G108" s="29" t="n">
        <v>18</v>
      </c>
      <c r="H108" s="29" t="n">
        <v>414</v>
      </c>
      <c r="I108" s="21" t="inlineStr">
        <is>
          <t>2020</t>
        </is>
      </c>
      <c r="J108" s="21" t="inlineStr">
        <is>
          <t xml:space="preserve"> 0</t>
        </is>
      </c>
      <c r="K108" s="30">
        <f>(E108-F108)/IF(E108&gt;0,E108,1)</f>
        <v/>
      </c>
    </row>
    <row r="109">
      <c r="A109" s="22" t="inlineStr">
        <is>
          <t>월 20달러로 고용하는 데이터 분석가 with 챗GPT</t>
        </is>
      </c>
      <c r="B109" s="22" t="inlineStr">
        <is>
          <t>테리엇, Bob Lee</t>
        </is>
      </c>
      <c r="C109" s="22" t="inlineStr">
        <is>
          <t>한빛미디어</t>
        </is>
      </c>
      <c r="D109" s="22" t="inlineStr">
        <is>
          <t>2024년 10월</t>
        </is>
      </c>
      <c r="E109" s="28" t="n">
        <v>30000</v>
      </c>
      <c r="F109" s="28" t="n">
        <v>27000</v>
      </c>
      <c r="G109" s="29" t="n">
        <v>17</v>
      </c>
      <c r="H109" s="29" t="n">
        <v>336</v>
      </c>
      <c r="I109" s="21" t="inlineStr">
        <is>
          <t>2024</t>
        </is>
      </c>
      <c r="J109" s="21" t="inlineStr">
        <is>
          <t xml:space="preserve"> 1</t>
        </is>
      </c>
      <c r="K109" s="30">
        <f>(E109-F109)/IF(E109&gt;0,E109,1)</f>
        <v/>
      </c>
    </row>
    <row r="110">
      <c r="A110" s="22" t="inlineStr">
        <is>
          <t>파이썬 기반 금융 인공지능</t>
        </is>
      </c>
      <c r="B110" s="22" t="inlineStr">
        <is>
          <t>이브 힐피시, 김도형</t>
        </is>
      </c>
      <c r="C110" s="22" t="inlineStr">
        <is>
          <t>한빛미디어</t>
        </is>
      </c>
      <c r="D110" s="22" t="inlineStr">
        <is>
          <t>2022년 09월</t>
        </is>
      </c>
      <c r="E110" s="28" t="n">
        <v>42000</v>
      </c>
      <c r="F110" s="28" t="n">
        <v>37800</v>
      </c>
      <c r="G110" s="29" t="n">
        <v>23</v>
      </c>
      <c r="H110" s="29" t="n">
        <v>360</v>
      </c>
      <c r="I110" s="21" t="inlineStr">
        <is>
          <t>2022</t>
        </is>
      </c>
      <c r="J110" s="21" t="inlineStr">
        <is>
          <t xml:space="preserve"> 0</t>
        </is>
      </c>
      <c r="K110" s="30">
        <f>(E110-F110)/IF(E110&gt;0,E110,1)</f>
        <v/>
      </c>
    </row>
    <row r="111">
      <c r="A111" s="22" t="inlineStr">
        <is>
          <t>한 권으로 끝내는 이미지 생성 AI with 미드저니</t>
        </is>
      </c>
      <c r="B111" s="22" t="inlineStr">
        <is>
          <t>헤더림, 백승호</t>
        </is>
      </c>
      <c r="C111" s="22" t="inlineStr">
        <is>
          <t>한빛미디어</t>
        </is>
      </c>
      <c r="D111" s="22" t="inlineStr">
        <is>
          <t>2024년 03월</t>
        </is>
      </c>
      <c r="E111" s="28" t="n">
        <v>25000</v>
      </c>
      <c r="F111" s="28" t="n">
        <v>22500</v>
      </c>
      <c r="G111" s="29" t="n">
        <v>27</v>
      </c>
      <c r="H111" s="29" t="n">
        <v>306</v>
      </c>
      <c r="I111" s="21" t="inlineStr">
        <is>
          <t>2024</t>
        </is>
      </c>
      <c r="J111" s="21" t="inlineStr">
        <is>
          <t xml:space="preserve"> 0</t>
        </is>
      </c>
      <c r="K111" s="30">
        <f>(E111-F111)/IF(E111&gt;0,E111,1)</f>
        <v/>
      </c>
    </row>
    <row r="112">
      <c r="A112" s="22" t="inlineStr">
        <is>
          <t>데이터 드리븐 리포트</t>
        </is>
      </c>
      <c r="B112" s="22" t="inlineStr">
        <is>
          <t>이상석</t>
        </is>
      </c>
      <c r="C112" s="22" t="inlineStr">
        <is>
          <t>한빛미디어</t>
        </is>
      </c>
      <c r="D112" s="22" t="inlineStr">
        <is>
          <t>2023년 10월</t>
        </is>
      </c>
      <c r="E112" s="28" t="n">
        <v>33000</v>
      </c>
      <c r="F112" s="28" t="n">
        <v>29700</v>
      </c>
      <c r="G112" s="29" t="n">
        <v>35</v>
      </c>
      <c r="H112" s="29" t="n">
        <v>288</v>
      </c>
      <c r="I112" s="21" t="inlineStr">
        <is>
          <t>2023</t>
        </is>
      </c>
      <c r="J112" s="21" t="inlineStr">
        <is>
          <t xml:space="preserve"> 1</t>
        </is>
      </c>
      <c r="K112" s="30">
        <f>(E112-F112)/IF(E112&gt;0,E112,1)</f>
        <v/>
      </c>
    </row>
    <row r="113">
      <c r="A113" s="22" t="inlineStr">
        <is>
          <t>챗GPT 제대로 써먹기</t>
        </is>
      </c>
      <c r="B113" s="22" t="inlineStr">
        <is>
          <t>조민정</t>
        </is>
      </c>
      <c r="C113" s="22" t="inlineStr">
        <is>
          <t>한빛미디어</t>
        </is>
      </c>
      <c r="D113" s="22" t="inlineStr">
        <is>
          <t>2024년 09월</t>
        </is>
      </c>
      <c r="E113" s="28" t="n">
        <v>22000</v>
      </c>
      <c r="F113" s="28" t="n">
        <v>19800</v>
      </c>
      <c r="G113" s="29" t="n">
        <v>26</v>
      </c>
      <c r="H113" s="29" t="n">
        <v>288</v>
      </c>
      <c r="I113" s="21" t="inlineStr">
        <is>
          <t>2024</t>
        </is>
      </c>
      <c r="J113" s="21" t="inlineStr">
        <is>
          <t xml:space="preserve"> 0</t>
        </is>
      </c>
      <c r="K113" s="30">
        <f>(E113-F113)/IF(E113&gt;0,E113,1)</f>
        <v/>
      </c>
    </row>
    <row r="114">
      <c r="A114" s="23" t="inlineStr">
        <is>
          <t>합계 및 평균 요약</t>
        </is>
      </c>
      <c r="B114" s="31" t="n"/>
      <c r="C114" s="31" t="n"/>
      <c r="D114" s="31" t="n"/>
      <c r="E114" s="25">
        <f>AVERAGE(E2:E113)</f>
        <v/>
      </c>
      <c r="F114" s="25">
        <f>AVERAGE(F2:F113)</f>
        <v/>
      </c>
      <c r="G114" s="24">
        <f>SUM(G2:G113)</f>
        <v/>
      </c>
      <c r="H114" s="24">
        <f>SUM(H2:H113)</f>
        <v/>
      </c>
      <c r="I114" s="31" t="n"/>
      <c r="J114" s="31" t="n"/>
      <c r="K114" s="26">
        <f>AVERAGE(K2:K113)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4" customWidth="1" min="4" max="4"/>
    <col width="19" customWidth="1" min="5" max="5"/>
    <col width="19" customWidth="1" min="6" max="6"/>
    <col width="15" customWidth="1" min="7" max="7"/>
    <col width="15" customWidth="1" min="8" max="8"/>
    <col width="11" customWidth="1" min="9" max="9"/>
    <col width="10" customWidth="1" min="10" max="10"/>
    <col width="29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AI 자율학습 제미나이로 일 잘하는 법</t>
        </is>
      </c>
      <c r="B2" s="22" t="inlineStr">
        <is>
          <t>성구(강성규)</t>
        </is>
      </c>
      <c r="C2" s="22" t="inlineStr">
        <is>
          <t>길벗</t>
        </is>
      </c>
      <c r="D2" s="22" t="inlineStr">
        <is>
          <t>2026년 04월</t>
        </is>
      </c>
      <c r="E2" s="28" t="n">
        <v>26000</v>
      </c>
      <c r="F2" s="28" t="n">
        <v>23400</v>
      </c>
      <c r="G2" s="29" t="n">
        <v>44</v>
      </c>
      <c r="H2" s="29" t="n">
        <v>3900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AI 자율학습 클로드 코드·코덱스 CLI·제미나이 CLI 완전 활용법</t>
        </is>
      </c>
      <c r="B3" s="22" t="inlineStr">
        <is>
          <t>Dave Lee</t>
        </is>
      </c>
      <c r="C3" s="22" t="inlineStr">
        <is>
          <t>길벗</t>
        </is>
      </c>
      <c r="D3" s="22" t="inlineStr">
        <is>
          <t>2026년 02월</t>
        </is>
      </c>
      <c r="E3" s="28" t="n">
        <v>32000</v>
      </c>
      <c r="F3" s="28" t="n">
        <v>28800</v>
      </c>
      <c r="G3" s="29" t="n">
        <v>25</v>
      </c>
      <c r="H3" s="29" t="n">
        <v>6822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AI가 다 하고 내가 돈 버는 앱 만들기</t>
        </is>
      </c>
      <c r="B4" s="22" t="inlineStr">
        <is>
          <t>서희찬</t>
        </is>
      </c>
      <c r="C4" s="22" t="inlineStr">
        <is>
          <t>길벗</t>
        </is>
      </c>
      <c r="D4" s="22" t="inlineStr">
        <is>
          <t>2026년 05월</t>
        </is>
      </c>
      <c r="E4" s="28" t="n">
        <v>28000</v>
      </c>
      <c r="F4" s="28" t="n">
        <v>25200</v>
      </c>
      <c r="G4" s="29" t="n">
        <v>5</v>
      </c>
      <c r="H4" s="29" t="n">
        <v>1194</v>
      </c>
      <c r="I4" s="21" t="inlineStr">
        <is>
          <t>2026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캔바로 만든 디자인, 돈이 됩니다</t>
        </is>
      </c>
      <c r="B5" s="22" t="inlineStr">
        <is>
          <t>리몬(안형선)</t>
        </is>
      </c>
      <c r="C5" s="22" t="inlineStr">
        <is>
          <t>길벗</t>
        </is>
      </c>
      <c r="D5" s="22" t="inlineStr">
        <is>
          <t>2026년 06월</t>
        </is>
      </c>
      <c r="E5" s="28" t="n">
        <v>22000</v>
      </c>
      <c r="F5" s="28" t="n">
        <v>19800</v>
      </c>
      <c r="G5" s="29" t="n">
        <v>7</v>
      </c>
      <c r="H5" s="29" t="n">
        <v>1530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그림으로 이해하는 AWS 구조와 기술</t>
        </is>
      </c>
      <c r="B6" s="22" t="inlineStr">
        <is>
          <t>오가사와라 시게타카, 박광수</t>
        </is>
      </c>
      <c r="C6" s="22" t="inlineStr">
        <is>
          <t>길벗</t>
        </is>
      </c>
      <c r="D6" s="22" t="inlineStr">
        <is>
          <t>2026년 04월</t>
        </is>
      </c>
      <c r="E6" s="28" t="n">
        <v>26000</v>
      </c>
      <c r="F6" s="28" t="n">
        <v>23400</v>
      </c>
      <c r="G6" s="29" t="n">
        <v>44</v>
      </c>
      <c r="H6" s="29" t="n">
        <v>1455</v>
      </c>
      <c r="I6" s="21" t="inlineStr">
        <is>
          <t>2026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밑바닥부터 만들면서 배우는 LLM</t>
        </is>
      </c>
      <c r="B7" s="22" t="inlineStr">
        <is>
          <t>세바스찬 라시카, 박해선</t>
        </is>
      </c>
      <c r="C7" s="22" t="inlineStr">
        <is>
          <t>길벗</t>
        </is>
      </c>
      <c r="D7" s="22" t="inlineStr">
        <is>
          <t>2025년 09월</t>
        </is>
      </c>
      <c r="E7" s="28" t="n">
        <v>40000</v>
      </c>
      <c r="F7" s="28" t="n">
        <v>36000</v>
      </c>
      <c r="G7" s="29" t="n">
        <v>27</v>
      </c>
      <c r="H7" s="29" t="n">
        <v>11604</v>
      </c>
      <c r="I7" s="21" t="inlineStr">
        <is>
          <t>2025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M365 코파일럿 무작정 따라하기</t>
        </is>
      </c>
      <c r="B8" s="22" t="inlineStr">
        <is>
          <t>김시연, 서지영</t>
        </is>
      </c>
      <c r="C8" s="22" t="inlineStr">
        <is>
          <t>길벗</t>
        </is>
      </c>
      <c r="D8" s="22" t="inlineStr">
        <is>
          <t>2025년 04월</t>
        </is>
      </c>
      <c r="E8" s="28" t="n">
        <v>22000</v>
      </c>
      <c r="F8" s="28" t="n">
        <v>19800</v>
      </c>
      <c r="G8" s="29" t="n">
        <v>7</v>
      </c>
      <c r="H8" s="29" t="n">
        <v>3468</v>
      </c>
      <c r="I8" s="21" t="inlineStr">
        <is>
          <t>2025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한 걸음 앞선 개발자가 지금 꼭 알아야 할 클로드 코드</t>
        </is>
      </c>
      <c r="B9" s="22" t="inlineStr">
        <is>
          <t>조훈, 정찬훈</t>
        </is>
      </c>
      <c r="C9" s="22" t="inlineStr">
        <is>
          <t>길벗</t>
        </is>
      </c>
      <c r="D9" s="22" t="inlineStr">
        <is>
          <t>2025년 09월</t>
        </is>
      </c>
      <c r="E9" s="28" t="n">
        <v>26000</v>
      </c>
      <c r="F9" s="28" t="n">
        <v>23400</v>
      </c>
      <c r="G9" s="29" t="n">
        <v>19</v>
      </c>
      <c r="H9" s="29" t="n">
        <v>9822</v>
      </c>
      <c r="I9" s="21" t="inlineStr">
        <is>
          <t>2025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모두의 딥러닝</t>
        </is>
      </c>
      <c r="B10" s="22" t="inlineStr">
        <is>
          <t>조태호</t>
        </is>
      </c>
      <c r="C10" s="22" t="inlineStr">
        <is>
          <t>길벗</t>
        </is>
      </c>
      <c r="D10" s="22" t="inlineStr">
        <is>
          <t>2025년 04월</t>
        </is>
      </c>
      <c r="E10" s="28" t="n">
        <v>29000</v>
      </c>
      <c r="F10" s="28" t="n">
        <v>26100</v>
      </c>
      <c r="G10" s="29" t="n">
        <v>13</v>
      </c>
      <c r="H10" s="29" t="n">
        <v>3582</v>
      </c>
      <c r="I10" s="21" t="inlineStr">
        <is>
          <t>2025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제로클릭</t>
        </is>
      </c>
      <c r="B11" s="22" t="inlineStr">
        <is>
          <t>손승완</t>
        </is>
      </c>
      <c r="C11" s="22" t="inlineStr">
        <is>
          <t>길벗</t>
        </is>
      </c>
      <c r="D11" s="22" t="inlineStr">
        <is>
          <t>2026년 01월</t>
        </is>
      </c>
      <c r="E11" s="28" t="n">
        <v>18800</v>
      </c>
      <c r="F11" s="28" t="n">
        <v>16920</v>
      </c>
      <c r="G11" s="29" t="n">
        <v>49</v>
      </c>
      <c r="H11" s="29" t="n">
        <v>5016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A2A × MCP 멀티에이전트 오케스트레이션 실전</t>
        </is>
      </c>
      <c r="B12" s="22" t="inlineStr">
        <is>
          <t>서지영</t>
        </is>
      </c>
      <c r="C12" s="22" t="inlineStr">
        <is>
          <t>길벗</t>
        </is>
      </c>
      <c r="D12" s="22" t="inlineStr">
        <is>
          <t>2026년 03월</t>
        </is>
      </c>
      <c r="E12" s="28" t="n">
        <v>33000</v>
      </c>
      <c r="F12" s="28" t="n">
        <v>29700</v>
      </c>
      <c r="G12" s="29" t="n">
        <v>16</v>
      </c>
      <c r="H12" s="29" t="n">
        <v>1212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AI 영상 제작</t>
        </is>
      </c>
      <c r="B13" s="22" t="inlineStr">
        <is>
          <t>민지영, 문수민, 전은재, 앤미디어</t>
        </is>
      </c>
      <c r="C13" s="22" t="inlineStr">
        <is>
          <t>길벗</t>
        </is>
      </c>
      <c r="D13" s="22" t="inlineStr">
        <is>
          <t>2024년 06월</t>
        </is>
      </c>
      <c r="E13" s="28" t="n">
        <v>25000</v>
      </c>
      <c r="F13" s="28" t="n">
        <v>22500</v>
      </c>
      <c r="G13" s="29" t="n">
        <v>95</v>
      </c>
      <c r="H13" s="29" t="n">
        <v>6018</v>
      </c>
      <c r="I13" s="21" t="inlineStr">
        <is>
          <t>2024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AI 자율학습  커서ⅹAI로 완성하는 나만의 웹 서비스</t>
        </is>
      </c>
      <c r="B14" s="22" t="inlineStr">
        <is>
          <t>성구(강성규)</t>
        </is>
      </c>
      <c r="C14" s="22" t="inlineStr">
        <is>
          <t>길벗</t>
        </is>
      </c>
      <c r="D14" s="22" t="inlineStr">
        <is>
          <t>2025년 12월</t>
        </is>
      </c>
      <c r="E14" s="28" t="n">
        <v>24000</v>
      </c>
      <c r="F14" s="28" t="n">
        <v>21600</v>
      </c>
      <c r="G14" s="29" t="n">
        <v>28</v>
      </c>
      <c r="H14" s="29" t="n">
        <v>2184</v>
      </c>
      <c r="I14" s="21" t="inlineStr">
        <is>
          <t>2025</t>
        </is>
      </c>
      <c r="J14" s="21" t="inlineStr">
        <is>
          <t xml:space="preserve"> 1</t>
        </is>
      </c>
      <c r="K14" s="30">
        <f>(E14-F14)/IF(E14&gt;0,E14,1)</f>
        <v/>
      </c>
    </row>
    <row r="15">
      <c r="A15" s="22" t="inlineStr">
        <is>
          <t>매출을 만드는 데이터 분석 with 챗GPT</t>
        </is>
      </c>
      <c r="B15" s="22" t="inlineStr">
        <is>
          <t>조선미</t>
        </is>
      </c>
      <c r="C15" s="22" t="inlineStr">
        <is>
          <t>길벗</t>
        </is>
      </c>
      <c r="D15" s="22" t="inlineStr">
        <is>
          <t>2026년 05월</t>
        </is>
      </c>
      <c r="E15" s="28" t="n">
        <v>32000</v>
      </c>
      <c r="F15" s="28" t="n">
        <v>28800</v>
      </c>
      <c r="G15" s="29" t="n">
        <v>3</v>
      </c>
      <c r="H15" s="29" t="n">
        <v>618</v>
      </c>
      <c r="I15" s="21" t="inlineStr">
        <is>
          <t>2026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이펙티브 파이썬</t>
        </is>
      </c>
      <c r="B16" s="22" t="inlineStr">
        <is>
          <t>브렛 슬라킨, 오현석</t>
        </is>
      </c>
      <c r="C16" s="22" t="inlineStr">
        <is>
          <t>길벗</t>
        </is>
      </c>
      <c r="D16" s="22" t="inlineStr">
        <is>
          <t>2026년 02월</t>
        </is>
      </c>
      <c r="E16" s="28" t="n">
        <v>42000</v>
      </c>
      <c r="F16" s="28" t="n">
        <v>37800</v>
      </c>
      <c r="G16" s="29" t="n">
        <v>14</v>
      </c>
      <c r="H16" s="29" t="n">
        <v>1647</v>
      </c>
      <c r="I16" s="21" t="inlineStr">
        <is>
          <t>2026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직장인을 위한 AI 실무 엑셀&amp;파워포인트&amp;워드</t>
        </is>
      </c>
      <c r="B17" s="22" t="inlineStr">
        <is>
          <t>박미정, 박은진</t>
        </is>
      </c>
      <c r="C17" s="22" t="inlineStr">
        <is>
          <t>길벗</t>
        </is>
      </c>
      <c r="D17" s="22" t="inlineStr">
        <is>
          <t>2025년 09월</t>
        </is>
      </c>
      <c r="E17" s="28" t="n">
        <v>26000</v>
      </c>
      <c r="F17" s="28" t="n">
        <v>23400</v>
      </c>
      <c r="G17" s="29" t="n">
        <v>11</v>
      </c>
      <c r="H17" s="29" t="n">
        <v>1764</v>
      </c>
      <c r="I17" s="21" t="inlineStr">
        <is>
          <t>2025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파이썬으로 시작하는 인공지능 기초 수업</t>
        </is>
      </c>
      <c r="B18" s="22" t="inlineStr">
        <is>
          <t>채상미, 우범윤, 이준용</t>
        </is>
      </c>
      <c r="C18" s="22" t="inlineStr">
        <is>
          <t>길벗</t>
        </is>
      </c>
      <c r="D18" s="22" t="inlineStr">
        <is>
          <t>2025년 11월</t>
        </is>
      </c>
      <c r="E18" s="28" t="n">
        <v>25000</v>
      </c>
      <c r="F18" s="28" t="n">
        <v>22500</v>
      </c>
      <c r="G18" s="29" t="n">
        <v>0</v>
      </c>
      <c r="H18" s="29" t="n">
        <v>2232</v>
      </c>
      <c r="I18" s="21" t="inlineStr">
        <is>
          <t>2025</t>
        </is>
      </c>
      <c r="J18" s="21" t="inlineStr">
        <is>
          <t xml:space="preserve"> 1</t>
        </is>
      </c>
      <c r="K18" s="30">
        <f>(E18-F18)/IF(E18&gt;0,E18,1)</f>
        <v/>
      </c>
    </row>
    <row r="19">
      <c r="A19" s="22" t="inlineStr">
        <is>
          <t>AI 자율학습 밑바닥부터 배우는 AI 에이전트</t>
        </is>
      </c>
      <c r="B19" s="22" t="inlineStr">
        <is>
          <t>다비드스튜디오</t>
        </is>
      </c>
      <c r="C19" s="22" t="inlineStr">
        <is>
          <t>길벗</t>
        </is>
      </c>
      <c r="D19" s="22" t="inlineStr">
        <is>
          <t>2025년 12월</t>
        </is>
      </c>
      <c r="E19" s="28" t="n">
        <v>24000</v>
      </c>
      <c r="F19" s="28" t="n">
        <v>21600</v>
      </c>
      <c r="G19" s="29" t="n">
        <v>20</v>
      </c>
      <c r="H19" s="29" t="n">
        <v>1962</v>
      </c>
      <c r="I19" s="21" t="inlineStr">
        <is>
          <t>2025</t>
        </is>
      </c>
      <c r="J19" s="21" t="inlineStr">
        <is>
          <t xml:space="preserve"> 1</t>
        </is>
      </c>
      <c r="K19" s="30">
        <f>(E19-F19)/IF(E19&gt;0,E19,1)</f>
        <v/>
      </c>
    </row>
    <row r="20">
      <c r="A20" s="22" t="inlineStr">
        <is>
          <t>AI로 7일 만에 사업 시작하기</t>
        </is>
      </c>
      <c r="B20" s="22" t="inlineStr">
        <is>
          <t>김다솔</t>
        </is>
      </c>
      <c r="C20" s="22" t="inlineStr">
        <is>
          <t>길벗</t>
        </is>
      </c>
      <c r="D20" s="22" t="inlineStr">
        <is>
          <t>2025년 06월</t>
        </is>
      </c>
      <c r="E20" s="28" t="n">
        <v>22000</v>
      </c>
      <c r="F20" s="28" t="n">
        <v>19800</v>
      </c>
      <c r="G20" s="29" t="n">
        <v>51</v>
      </c>
      <c r="H20" s="29" t="n">
        <v>5610</v>
      </c>
      <c r="I20" s="21" t="inlineStr">
        <is>
          <t>2025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AI 영화 제작</t>
        </is>
      </c>
      <c r="B21" s="22" t="inlineStr">
        <is>
          <t>민지영, 문수민, 전은재, 앤미디어</t>
        </is>
      </c>
      <c r="C21" s="22" t="inlineStr">
        <is>
          <t>길벗</t>
        </is>
      </c>
      <c r="D21" s="22" t="inlineStr">
        <is>
          <t>2024년 11월</t>
        </is>
      </c>
      <c r="E21" s="28" t="n">
        <v>27000</v>
      </c>
      <c r="F21" s="28" t="n">
        <v>24300</v>
      </c>
      <c r="G21" s="29" t="n">
        <v>84</v>
      </c>
      <c r="H21" s="29" t="n">
        <v>2844</v>
      </c>
      <c r="I21" s="21" t="inlineStr">
        <is>
          <t>2024</t>
        </is>
      </c>
      <c r="J21" s="21" t="inlineStr">
        <is>
          <t xml:space="preserve"> 1</t>
        </is>
      </c>
      <c r="K21" s="30">
        <f>(E21-F21)/IF(E21&gt;0,E21,1)</f>
        <v/>
      </c>
    </row>
    <row r="22">
      <c r="A22" s="22" t="inlineStr">
        <is>
          <t>그림으로 이해하는 챗GPT 구조와 기술</t>
        </is>
      </c>
      <c r="B22" s="22" t="inlineStr">
        <is>
          <t>나카타니 슈요, 박광수</t>
        </is>
      </c>
      <c r="C22" s="22" t="inlineStr">
        <is>
          <t>길벗</t>
        </is>
      </c>
      <c r="D22" s="22" t="inlineStr">
        <is>
          <t>2025년 11월</t>
        </is>
      </c>
      <c r="E22" s="28" t="n">
        <v>24000</v>
      </c>
      <c r="F22" s="28" t="n">
        <v>21600</v>
      </c>
      <c r="G22" s="29" t="n">
        <v>19</v>
      </c>
      <c r="H22" s="29" t="n">
        <v>1524</v>
      </c>
      <c r="I22" s="21" t="inlineStr">
        <is>
          <t>2025</t>
        </is>
      </c>
      <c r="J22" s="21" t="inlineStr">
        <is>
          <t xml:space="preserve"> 1</t>
        </is>
      </c>
      <c r="K22" s="30">
        <f>(E22-F22)/IF(E22&gt;0,E22,1)</f>
        <v/>
      </c>
    </row>
    <row r="23">
      <c r="A23" s="22" t="inlineStr">
        <is>
          <t>생성형 AI 활용 백과사전</t>
        </is>
      </c>
      <c r="B23" s="22" t="inlineStr">
        <is>
          <t>다쿠치 카즈히로, 모리시마 료코, 이시타니 마사키, 서수환</t>
        </is>
      </c>
      <c r="C23" s="22" t="inlineStr">
        <is>
          <t>길벗</t>
        </is>
      </c>
      <c r="D23" s="22" t="inlineStr">
        <is>
          <t>2025년 06월</t>
        </is>
      </c>
      <c r="E23" s="28" t="n">
        <v>24000</v>
      </c>
      <c r="F23" s="28" t="n">
        <v>21600</v>
      </c>
      <c r="G23" s="29" t="n">
        <v>49</v>
      </c>
      <c r="H23" s="29" t="n">
        <v>5124</v>
      </c>
      <c r="I23" s="21" t="inlineStr">
        <is>
          <t>2025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한 걸음 앞선 일잘러가 지금 꼭 알아야 할 바이브 코딩 with 커서</t>
        </is>
      </c>
      <c r="B24" s="22" t="inlineStr">
        <is>
          <t>김태헌</t>
        </is>
      </c>
      <c r="C24" s="22" t="inlineStr">
        <is>
          <t>길벗</t>
        </is>
      </c>
      <c r="D24" s="22" t="inlineStr">
        <is>
          <t>2026년 02월</t>
        </is>
      </c>
      <c r="E24" s="28" t="n">
        <v>30000</v>
      </c>
      <c r="F24" s="28" t="n">
        <v>27000</v>
      </c>
      <c r="G24" s="29" t="n">
        <v>14</v>
      </c>
      <c r="H24" s="29" t="n">
        <v>1326</v>
      </c>
      <c r="I24" s="21" t="inlineStr">
        <is>
          <t>2026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나만의 MCP 서버 만들기 with 커서 AI</t>
        </is>
      </c>
      <c r="B25" s="22" t="inlineStr">
        <is>
          <t>서지영</t>
        </is>
      </c>
      <c r="C25" s="22" t="inlineStr">
        <is>
          <t>길벗</t>
        </is>
      </c>
      <c r="D25" s="22" t="inlineStr">
        <is>
          <t>2025년 07월</t>
        </is>
      </c>
      <c r="E25" s="28" t="n">
        <v>24000</v>
      </c>
      <c r="F25" s="28" t="n">
        <v>21600</v>
      </c>
      <c r="G25" s="29" t="n">
        <v>18</v>
      </c>
      <c r="H25" s="29" t="n">
        <v>5784</v>
      </c>
      <c r="I25" s="21" t="inlineStr">
        <is>
          <t>2025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LLM 프롬프트 활용 교과서</t>
        </is>
      </c>
      <c r="B26" s="22" t="inlineStr">
        <is>
          <t>쿠지라 히코즈쿠에, 김성훈</t>
        </is>
      </c>
      <c r="C26" s="22" t="inlineStr">
        <is>
          <t>길벗</t>
        </is>
      </c>
      <c r="D26" s="22" t="inlineStr">
        <is>
          <t>2025년 08월</t>
        </is>
      </c>
      <c r="E26" s="28" t="n">
        <v>33000</v>
      </c>
      <c r="F26" s="28" t="n">
        <v>29700</v>
      </c>
      <c r="G26" s="29" t="n">
        <v>15</v>
      </c>
      <c r="H26" s="29" t="n">
        <v>1656</v>
      </c>
      <c r="I26" s="21" t="inlineStr">
        <is>
          <t>2025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AI 영상×미드저니·런웨이·소라·클링·하이루오</t>
        </is>
      </c>
      <c r="B27" s="22" t="inlineStr">
        <is>
          <t>안재홍</t>
        </is>
      </c>
      <c r="C27" s="22" t="inlineStr">
        <is>
          <t>길벗</t>
        </is>
      </c>
      <c r="D27" s="22" t="inlineStr">
        <is>
          <t>2025년 08월</t>
        </is>
      </c>
      <c r="E27" s="28" t="n">
        <v>26000</v>
      </c>
      <c r="F27" s="28" t="n">
        <v>23400</v>
      </c>
      <c r="G27" s="29" t="n">
        <v>16</v>
      </c>
      <c r="H27" s="29" t="n">
        <v>4026</v>
      </c>
      <c r="I27" s="21" t="inlineStr">
        <is>
          <t>2025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프로그래머를 위한 선형대수</t>
        </is>
      </c>
      <c r="B28" s="22" t="inlineStr">
        <is>
          <t>히라오카 카즈유키, 호리 겐, 이창신</t>
        </is>
      </c>
      <c r="C28" s="22" t="inlineStr">
        <is>
          <t>길벗</t>
        </is>
      </c>
      <c r="D28" s="22" t="inlineStr">
        <is>
          <t>2017년 03월</t>
        </is>
      </c>
      <c r="E28" s="28" t="n">
        <v>32000</v>
      </c>
      <c r="F28" s="28" t="n">
        <v>28800</v>
      </c>
      <c r="G28" s="29" t="n">
        <v>37</v>
      </c>
      <c r="H28" s="29" t="n">
        <v>834</v>
      </c>
      <c r="I28" s="21" t="inlineStr">
        <is>
          <t>2017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모두의 인공지능 with 파이썬</t>
        </is>
      </c>
      <c r="B29" s="22" t="inlineStr">
        <is>
          <t>이영호</t>
        </is>
      </c>
      <c r="C29" s="22" t="inlineStr">
        <is>
          <t>길벗</t>
        </is>
      </c>
      <c r="D29" s="22" t="inlineStr">
        <is>
          <t>2025년 07월</t>
        </is>
      </c>
      <c r="E29" s="28" t="n">
        <v>30000</v>
      </c>
      <c r="F29" s="28" t="n">
        <v>27000</v>
      </c>
      <c r="G29" s="29" t="n">
        <v>14</v>
      </c>
      <c r="H29" s="29" t="n">
        <v>2586</v>
      </c>
      <c r="I29" s="21" t="inlineStr">
        <is>
          <t>2025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네트워크 · 보안 엔지니어를 위한 챗GPT 활용 기술</t>
        </is>
      </c>
      <c r="B30" s="22" t="inlineStr">
        <is>
          <t>박진산</t>
        </is>
      </c>
      <c r="C30" s="22" t="inlineStr">
        <is>
          <t>길벗</t>
        </is>
      </c>
      <c r="D30" s="22" t="inlineStr">
        <is>
          <t>2026년 03월</t>
        </is>
      </c>
      <c r="E30" s="28" t="n">
        <v>27000</v>
      </c>
      <c r="F30" s="28" t="n">
        <v>24300</v>
      </c>
      <c r="G30" s="29" t="n">
        <v>13</v>
      </c>
      <c r="H30" s="29" t="n">
        <v>954</v>
      </c>
      <c r="I30" s="21" t="inlineStr">
        <is>
          <t>2026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데이터 엔지니어를 위한 97가지 조언</t>
        </is>
      </c>
      <c r="B31" s="22" t="inlineStr">
        <is>
          <t>토비아스 메이시, 임혜연</t>
        </is>
      </c>
      <c r="C31" s="22" t="inlineStr">
        <is>
          <t>길벗</t>
        </is>
      </c>
      <c r="D31" s="22" t="inlineStr">
        <is>
          <t>2023년 10월</t>
        </is>
      </c>
      <c r="E31" s="28" t="n">
        <v>25000</v>
      </c>
      <c r="F31" s="28" t="n">
        <v>22500</v>
      </c>
      <c r="G31" s="29" t="n">
        <v>9</v>
      </c>
      <c r="H31" s="29" t="n">
        <v>264</v>
      </c>
      <c r="I31" s="21" t="inlineStr">
        <is>
          <t>2023</t>
        </is>
      </c>
      <c r="J31" s="21" t="inlineStr">
        <is>
          <t xml:space="preserve"> 1</t>
        </is>
      </c>
      <c r="K31" s="30">
        <f>(E31-F31)/IF(E31&gt;0,E31,1)</f>
        <v/>
      </c>
    </row>
    <row r="32">
      <c r="A32" s="22" t="inlineStr">
        <is>
          <t>59가지 통계학 궁금증 완전 정복</t>
        </is>
      </c>
      <c r="B32" s="22" t="inlineStr">
        <is>
          <t>황성원</t>
        </is>
      </c>
      <c r="C32" s="22" t="inlineStr">
        <is>
          <t>길벗</t>
        </is>
      </c>
      <c r="D32" s="22" t="inlineStr">
        <is>
          <t>2025년 05월</t>
        </is>
      </c>
      <c r="E32" s="28" t="n">
        <v>24000</v>
      </c>
      <c r="F32" s="28" t="n">
        <v>21600</v>
      </c>
      <c r="G32" s="29" t="n">
        <v>14</v>
      </c>
      <c r="H32" s="29" t="n">
        <v>2262</v>
      </c>
      <c r="I32" s="21" t="inlineStr">
        <is>
          <t>2025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다시 고등 수학</t>
        </is>
      </c>
      <c r="B33" s="22" t="inlineStr">
        <is>
          <t>나가노 히로유키, 서재원</t>
        </is>
      </c>
      <c r="C33" s="22" t="inlineStr">
        <is>
          <t>길벗</t>
        </is>
      </c>
      <c r="D33" s="22" t="inlineStr">
        <is>
          <t>2022년 01월</t>
        </is>
      </c>
      <c r="E33" s="28" t="n">
        <v>22000</v>
      </c>
      <c r="F33" s="28" t="n">
        <v>19800</v>
      </c>
      <c r="G33" s="29" t="n">
        <v>19</v>
      </c>
      <c r="H33" s="29" t="n">
        <v>1062</v>
      </c>
      <c r="I33" s="21" t="inlineStr">
        <is>
          <t>2022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코딩 자율학습 잔재미코딩의 파이썬 데이터 분석 입문</t>
        </is>
      </c>
      <c r="B34" s="22" t="inlineStr">
        <is>
          <t>Dave Lee</t>
        </is>
      </c>
      <c r="C34" s="22" t="inlineStr">
        <is>
          <t>길벗</t>
        </is>
      </c>
      <c r="D34" s="22" t="inlineStr">
        <is>
          <t>2025년 04월</t>
        </is>
      </c>
      <c r="E34" s="28" t="n">
        <v>26000</v>
      </c>
      <c r="F34" s="28" t="n">
        <v>23400</v>
      </c>
      <c r="G34" s="29" t="n">
        <v>32</v>
      </c>
      <c r="H34" s="29" t="n">
        <v>1254</v>
      </c>
      <c r="I34" s="21" t="inlineStr">
        <is>
          <t>2025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우리, 프로그래머들 We, Programmers</t>
        </is>
      </c>
      <c r="B35" s="22" t="inlineStr">
        <is>
          <t>로버트 C. 마틴, 최희철</t>
        </is>
      </c>
      <c r="C35" s="22" t="inlineStr">
        <is>
          <t>길벗</t>
        </is>
      </c>
      <c r="D35" s="22" t="inlineStr">
        <is>
          <t>2026년 01월</t>
        </is>
      </c>
      <c r="E35" s="28" t="n">
        <v>31000</v>
      </c>
      <c r="F35" s="28" t="n">
        <v>27900</v>
      </c>
      <c r="G35" s="29" t="n">
        <v>19</v>
      </c>
      <c r="H35" s="29" t="n">
        <v>2154</v>
      </c>
      <c r="I35" s="21" t="inlineStr">
        <is>
          <t>2026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이미지 처리 바이블</t>
        </is>
      </c>
      <c r="B36" s="22" t="inlineStr">
        <is>
          <t>류태선, 콥스랩 연구원</t>
        </is>
      </c>
      <c r="C36" s="22" t="inlineStr">
        <is>
          <t>길벗</t>
        </is>
      </c>
      <c r="D36" s="22" t="inlineStr">
        <is>
          <t>2024년 04월</t>
        </is>
      </c>
      <c r="E36" s="28" t="n">
        <v>44000</v>
      </c>
      <c r="F36" s="28" t="n">
        <v>39600</v>
      </c>
      <c r="G36" s="29" t="n">
        <v>15</v>
      </c>
      <c r="H36" s="29" t="n">
        <v>636</v>
      </c>
      <c r="I36" s="21" t="inlineStr">
        <is>
          <t>2024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아는 만큼 보이는 생성형 AI</t>
        </is>
      </c>
      <c r="B37" s="22" t="inlineStr">
        <is>
          <t>김주영</t>
        </is>
      </c>
      <c r="C37" s="22" t="inlineStr">
        <is>
          <t>길벗</t>
        </is>
      </c>
      <c r="D37" s="22" t="inlineStr">
        <is>
          <t>2025년 07월</t>
        </is>
      </c>
      <c r="E37" s="28" t="n">
        <v>22000</v>
      </c>
      <c r="F37" s="28" t="n">
        <v>19800</v>
      </c>
      <c r="G37" s="29" t="n">
        <v>26</v>
      </c>
      <c r="H37" s="29" t="n">
        <v>1614</v>
      </c>
      <c r="I37" s="21" t="inlineStr">
        <is>
          <t>2025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챗GPT, 저는 이렇게 쓰고 있어요</t>
        </is>
      </c>
      <c r="B38" s="22" t="inlineStr">
        <is>
          <t>최소영</t>
        </is>
      </c>
      <c r="C38" s="22" t="inlineStr">
        <is>
          <t>길벗</t>
        </is>
      </c>
      <c r="D38" s="22" t="inlineStr">
        <is>
          <t>2025년 11월</t>
        </is>
      </c>
      <c r="E38" s="28" t="n">
        <v>18800</v>
      </c>
      <c r="F38" s="28" t="n">
        <v>16920</v>
      </c>
      <c r="G38" s="29" t="n">
        <v>40</v>
      </c>
      <c r="H38" s="29" t="n">
        <v>4416</v>
      </c>
      <c r="I38" s="21" t="inlineStr">
        <is>
          <t>2025</t>
        </is>
      </c>
      <c r="J38" s="21" t="inlineStr">
        <is>
          <t xml:space="preserve"> 1</t>
        </is>
      </c>
      <c r="K38" s="30">
        <f>(E38-F38)/IF(E38&gt;0,E38,1)</f>
        <v/>
      </c>
    </row>
    <row r="39">
      <c r="A39" s="22" t="inlineStr">
        <is>
          <t>모두의 한국어 텍스트 분석 with 파이썬</t>
        </is>
      </c>
      <c r="B39" s="22" t="inlineStr">
        <is>
          <t>박조은, 송영숙</t>
        </is>
      </c>
      <c r="C39" s="22" t="inlineStr">
        <is>
          <t>길벗</t>
        </is>
      </c>
      <c r="D39" s="22" t="inlineStr">
        <is>
          <t>2023년 05월</t>
        </is>
      </c>
      <c r="E39" s="28" t="n">
        <v>27000</v>
      </c>
      <c r="F39" s="28" t="n">
        <v>24300</v>
      </c>
      <c r="G39" s="29" t="n">
        <v>19</v>
      </c>
      <c r="H39" s="29" t="n">
        <v>594</v>
      </c>
      <c r="I39" s="21" t="inlineStr">
        <is>
          <t>2023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2" t="inlineStr">
        <is>
          <t>머신 러닝 교과서 with 파이썬, 사이킷런, 텐서플로</t>
        </is>
      </c>
      <c r="B40" s="22" t="inlineStr">
        <is>
          <t>세바스찬 라시카, 바히드 미자리리, 박해선</t>
        </is>
      </c>
      <c r="C40" s="22" t="inlineStr">
        <is>
          <t>길벗</t>
        </is>
      </c>
      <c r="D40" s="22" t="inlineStr">
        <is>
          <t>2021년 03월</t>
        </is>
      </c>
      <c r="E40" s="28" t="n">
        <v>44000</v>
      </c>
      <c r="F40" s="28" t="n">
        <v>39600</v>
      </c>
      <c r="G40" s="29" t="n">
        <v>13</v>
      </c>
      <c r="H40" s="29" t="n">
        <v>564</v>
      </c>
      <c r="I40" s="21" t="inlineStr">
        <is>
          <t>2021</t>
        </is>
      </c>
      <c r="J40" s="21" t="inlineStr">
        <is>
          <t xml:space="preserve"> 0</t>
        </is>
      </c>
      <c r="K40" s="30">
        <f>(E40-F40)/IF(E40&gt;0,E40,1)</f>
        <v/>
      </c>
    </row>
    <row r="41">
      <c r="A41" s="22" t="inlineStr">
        <is>
          <t>프롬프트 엔지니어링의 비밀</t>
        </is>
      </c>
      <c r="B41" s="22" t="inlineStr">
        <is>
          <t>길버트 미즈라히, 김진호</t>
        </is>
      </c>
      <c r="C41" s="22" t="inlineStr">
        <is>
          <t>길벗</t>
        </is>
      </c>
      <c r="D41" s="22" t="inlineStr">
        <is>
          <t>2024년 10월</t>
        </is>
      </c>
      <c r="E41" s="28" t="n">
        <v>25000</v>
      </c>
      <c r="F41" s="28" t="n">
        <v>22500</v>
      </c>
      <c r="G41" s="29" t="n">
        <v>23</v>
      </c>
      <c r="H41" s="29" t="n">
        <v>549</v>
      </c>
      <c r="I41" s="21" t="inlineStr">
        <is>
          <t>2024</t>
        </is>
      </c>
      <c r="J41" s="21" t="inlineStr">
        <is>
          <t xml:space="preserve"> 1</t>
        </is>
      </c>
      <c r="K41" s="30">
        <f>(E41-F41)/IF(E41&gt;0,E41,1)</f>
        <v/>
      </c>
    </row>
    <row r="42">
      <c r="A42" s="22" t="inlineStr">
        <is>
          <t>AI 광고 제작</t>
        </is>
      </c>
      <c r="B42" s="22" t="inlineStr">
        <is>
          <t>문수민, 민지영, 전은재, 최종수, 앤미디어</t>
        </is>
      </c>
      <c r="C42" s="22" t="inlineStr">
        <is>
          <t>길벗</t>
        </is>
      </c>
      <c r="D42" s="22" t="inlineStr">
        <is>
          <t>2025년 09월</t>
        </is>
      </c>
      <c r="E42" s="28" t="n">
        <v>27000</v>
      </c>
      <c r="F42" s="28" t="n">
        <v>24300</v>
      </c>
      <c r="G42" s="29" t="n">
        <v>41</v>
      </c>
      <c r="H42" s="29" t="n">
        <v>2616</v>
      </c>
      <c r="I42" s="21" t="inlineStr">
        <is>
          <t>2025</t>
        </is>
      </c>
      <c r="J42" s="21" t="inlineStr">
        <is>
          <t xml:space="preserve"> 0</t>
        </is>
      </c>
      <c r="K42" s="30">
        <f>(E42-F42)/IF(E42&gt;0,E42,1)</f>
        <v/>
      </c>
    </row>
    <row r="43">
      <c r="A43" s="22" t="inlineStr">
        <is>
          <t>VPython으로 시작하는 융합 시뮬레이션 수업</t>
        </is>
      </c>
      <c r="B43" s="22" t="inlineStr">
        <is>
          <t>송석리, 박솔애</t>
        </is>
      </c>
      <c r="C43" s="22" t="inlineStr">
        <is>
          <t>길벗</t>
        </is>
      </c>
      <c r="D43" s="22" t="inlineStr">
        <is>
          <t>2025년 09월</t>
        </is>
      </c>
      <c r="E43" s="28" t="n">
        <v>25000</v>
      </c>
      <c r="F43" s="28" t="n">
        <v>22500</v>
      </c>
      <c r="G43" s="29" t="n">
        <v>1</v>
      </c>
      <c r="H43" s="29" t="n">
        <v>4125</v>
      </c>
      <c r="I43" s="21" t="inlineStr">
        <is>
          <t>2025</t>
        </is>
      </c>
      <c r="J43" s="21" t="inlineStr">
        <is>
          <t xml:space="preserve"> 0</t>
        </is>
      </c>
      <c r="K43" s="30">
        <f>(E43-F43)/IF(E43&gt;0,E43,1)</f>
        <v/>
      </c>
    </row>
    <row r="44">
      <c r="A44" s="22" t="inlineStr">
        <is>
          <t>딥러닝 파이토치 교과서</t>
        </is>
      </c>
      <c r="B44" s="22" t="inlineStr">
        <is>
          <t>서지영</t>
        </is>
      </c>
      <c r="C44" s="22" t="inlineStr">
        <is>
          <t>길벗</t>
        </is>
      </c>
      <c r="D44" s="22" t="inlineStr">
        <is>
          <t>2022년 03월</t>
        </is>
      </c>
      <c r="E44" s="28" t="n">
        <v>36000</v>
      </c>
      <c r="F44" s="28" t="n">
        <v>32400</v>
      </c>
      <c r="G44" s="29" t="n">
        <v>23</v>
      </c>
      <c r="H44" s="29" t="n">
        <v>942</v>
      </c>
      <c r="I44" s="21" t="inlineStr">
        <is>
          <t>2022</t>
        </is>
      </c>
      <c r="J44" s="21" t="inlineStr">
        <is>
          <t xml:space="preserve"> 0</t>
        </is>
      </c>
      <c r="K44" s="30">
        <f>(E44-F44)/IF(E44&gt;0,E44,1)</f>
        <v/>
      </c>
    </row>
    <row r="45">
      <c r="A45" s="22" t="inlineStr">
        <is>
          <t>입문자를 위한 맞춤형 AI 프로그램 만들기</t>
        </is>
      </c>
      <c r="B45" s="22" t="inlineStr">
        <is>
          <t>다비드스튜디오</t>
        </is>
      </c>
      <c r="C45" s="22" t="inlineStr">
        <is>
          <t>길벗</t>
        </is>
      </c>
      <c r="D45" s="22" t="inlineStr">
        <is>
          <t>2025년 06월</t>
        </is>
      </c>
      <c r="E45" s="28" t="n">
        <v>28000</v>
      </c>
      <c r="F45" s="28" t="n">
        <v>25200</v>
      </c>
      <c r="G45" s="29" t="n">
        <v>14</v>
      </c>
      <c r="H45" s="29" t="n">
        <v>870</v>
      </c>
      <c r="I45" s="21" t="inlineStr">
        <is>
          <t>2025</t>
        </is>
      </c>
      <c r="J45" s="21" t="inlineStr">
        <is>
          <t xml:space="preserve"> 0</t>
        </is>
      </c>
      <c r="K45" s="30">
        <f>(E45-F45)/IF(E45&gt;0,E45,1)</f>
        <v/>
      </c>
    </row>
    <row r="46">
      <c r="A46" s="22" t="inlineStr">
        <is>
          <t>아는 만큼 보이는 AI</t>
        </is>
      </c>
      <c r="B46" s="22" t="inlineStr">
        <is>
          <t>최기원</t>
        </is>
      </c>
      <c r="C46" s="22" t="inlineStr">
        <is>
          <t>길벗</t>
        </is>
      </c>
      <c r="D46" s="22" t="inlineStr">
        <is>
          <t>2024년 08월</t>
        </is>
      </c>
      <c r="E46" s="28" t="n">
        <v>19000</v>
      </c>
      <c r="F46" s="28" t="n">
        <v>17100</v>
      </c>
      <c r="G46" s="29" t="n">
        <v>23</v>
      </c>
      <c r="H46" s="29" t="n">
        <v>906</v>
      </c>
      <c r="I46" s="21" t="inlineStr">
        <is>
          <t>2024</t>
        </is>
      </c>
      <c r="J46" s="21" t="inlineStr">
        <is>
          <t xml:space="preserve"> 0</t>
        </is>
      </c>
      <c r="K46" s="30">
        <f>(E46-F46)/IF(E46&gt;0,E46,1)</f>
        <v/>
      </c>
    </row>
    <row r="47">
      <c r="A47" s="22" t="inlineStr">
        <is>
          <t>AI 디자인</t>
        </is>
      </c>
      <c r="B47" s="22" t="inlineStr">
        <is>
          <t>신호진, 강경희, 최종수</t>
        </is>
      </c>
      <c r="C47" s="22" t="inlineStr">
        <is>
          <t>길벗</t>
        </is>
      </c>
      <c r="D47" s="22" t="inlineStr">
        <is>
          <t>2024년 09월</t>
        </is>
      </c>
      <c r="E47" s="28" t="n">
        <v>27000</v>
      </c>
      <c r="F47" s="28" t="n">
        <v>24300</v>
      </c>
      <c r="G47" s="29" t="n">
        <v>34</v>
      </c>
      <c r="H47" s="29" t="n">
        <v>2316</v>
      </c>
      <c r="I47" s="21" t="inlineStr">
        <is>
          <t>2024</t>
        </is>
      </c>
      <c r="J47" s="21" t="inlineStr">
        <is>
          <t xml:space="preserve"> 0</t>
        </is>
      </c>
      <c r="K47" s="30">
        <f>(E47-F47)/IF(E47&gt;0,E47,1)</f>
        <v/>
      </c>
    </row>
    <row r="48">
      <c r="A48" s="22" t="inlineStr">
        <is>
          <t>모두의 인공지능 기초 수학</t>
        </is>
      </c>
      <c r="B48" s="22" t="inlineStr">
        <is>
          <t>서지영</t>
        </is>
      </c>
      <c r="C48" s="22" t="inlineStr">
        <is>
          <t>길벗</t>
        </is>
      </c>
      <c r="D48" s="22" t="inlineStr">
        <is>
          <t>2020년 08월</t>
        </is>
      </c>
      <c r="E48" s="28" t="n">
        <v>25000</v>
      </c>
      <c r="F48" s="28" t="n">
        <v>22500</v>
      </c>
      <c r="G48" s="29" t="n">
        <v>33</v>
      </c>
      <c r="H48" s="29" t="n">
        <v>846</v>
      </c>
      <c r="I48" s="21" t="inlineStr">
        <is>
          <t>2020</t>
        </is>
      </c>
      <c r="J48" s="21" t="inlineStr">
        <is>
          <t xml:space="preserve"> 0</t>
        </is>
      </c>
      <c r="K48" s="30">
        <f>(E48-F48)/IF(E48&gt;0,E48,1)</f>
        <v/>
      </c>
    </row>
    <row r="49">
      <c r="A49" s="22" t="inlineStr">
        <is>
          <t>생성형 AI 완전 정복</t>
        </is>
      </c>
      <c r="B49" s="22" t="inlineStr">
        <is>
          <t>정재민, 송민호, 이지성, 윤슬, 허수영, 정보 더 보기/감추기, 정재민, 송민호, 이지성, 윤슬, 허수영, 김혜원, 권순률, 박은지</t>
        </is>
      </c>
      <c r="C49" s="22" t="inlineStr">
        <is>
          <t>길벗</t>
        </is>
      </c>
      <c r="D49" s="22" t="inlineStr">
        <is>
          <t>2026년 02월</t>
        </is>
      </c>
      <c r="E49" s="28" t="n">
        <v>33000</v>
      </c>
      <c r="F49" s="28" t="n">
        <v>29700</v>
      </c>
      <c r="G49" s="29" t="n">
        <v>14</v>
      </c>
      <c r="H49" s="29" t="n">
        <v>831</v>
      </c>
      <c r="I49" s="21" t="inlineStr">
        <is>
          <t>2026</t>
        </is>
      </c>
      <c r="J49" s="21" t="inlineStr">
        <is>
          <t xml:space="preserve"> 0</t>
        </is>
      </c>
      <c r="K49" s="30">
        <f>(E49-F49)/IF(E49&gt;0,E49,1)</f>
        <v/>
      </c>
    </row>
    <row r="50">
      <c r="A50" s="22" t="inlineStr">
        <is>
          <t>케라스 창시자에게 배우는 딥러닝 개정 2판</t>
        </is>
      </c>
      <c r="B50" s="22" t="inlineStr">
        <is>
          <t>프랑소와 숄레, 박해선</t>
        </is>
      </c>
      <c r="C50" s="22" t="inlineStr">
        <is>
          <t>길벗</t>
        </is>
      </c>
      <c r="D50" s="22" t="inlineStr">
        <is>
          <t>2022년 08월</t>
        </is>
      </c>
      <c r="E50" s="28" t="n">
        <v>48000</v>
      </c>
      <c r="F50" s="28" t="n">
        <v>43200</v>
      </c>
      <c r="G50" s="29" t="n">
        <v>7</v>
      </c>
      <c r="H50" s="29" t="n">
        <v>546</v>
      </c>
      <c r="I50" s="21" t="inlineStr">
        <is>
          <t>2022</t>
        </is>
      </c>
      <c r="J50" s="21" t="inlineStr">
        <is>
          <t xml:space="preserve"> 0</t>
        </is>
      </c>
      <c r="K50" s="30">
        <f>(E50-F50)/IF(E50&gt;0,E50,1)</f>
        <v/>
      </c>
    </row>
    <row r="51">
      <c r="A51" s="22" t="inlineStr">
        <is>
          <t>머신 러닝 Q &amp; AI</t>
        </is>
      </c>
      <c r="B51" s="22" t="inlineStr">
        <is>
          <t>세바스찬 라시카, 박해선</t>
        </is>
      </c>
      <c r="C51" s="22" t="inlineStr">
        <is>
          <t>길벗</t>
        </is>
      </c>
      <c r="D51" s="22" t="inlineStr">
        <is>
          <t>2025년 04월</t>
        </is>
      </c>
      <c r="E51" s="28" t="n">
        <v>35000</v>
      </c>
      <c r="F51" s="28" t="n">
        <v>31500</v>
      </c>
      <c r="G51" s="29" t="n">
        <v>17</v>
      </c>
      <c r="H51" s="29" t="n">
        <v>468</v>
      </c>
      <c r="I51" s="21" t="inlineStr">
        <is>
          <t>2025</t>
        </is>
      </c>
      <c r="J51" s="21" t="inlineStr">
        <is>
          <t xml:space="preserve"> 0</t>
        </is>
      </c>
      <c r="K51" s="30">
        <f>(E51-F51)/IF(E51&gt;0,E51,1)</f>
        <v/>
      </c>
    </row>
    <row r="52">
      <c r="A52" s="22" t="inlineStr">
        <is>
          <t>프로그래머를 위한 확률과 통계</t>
        </is>
      </c>
      <c r="B52" s="22" t="inlineStr">
        <is>
          <t>히라오카 카즈유키, 호리 겐, 이창신</t>
        </is>
      </c>
      <c r="C52" s="22" t="inlineStr">
        <is>
          <t>길벗</t>
        </is>
      </c>
      <c r="D52" s="22" t="inlineStr">
        <is>
          <t>2019년 05월</t>
        </is>
      </c>
      <c r="E52" s="28" t="n">
        <v>32000</v>
      </c>
      <c r="F52" s="28" t="n">
        <v>28800</v>
      </c>
      <c r="G52" s="29" t="n">
        <v>4</v>
      </c>
      <c r="H52" s="29" t="n">
        <v>420</v>
      </c>
      <c r="I52" s="21" t="inlineStr">
        <is>
          <t>2019</t>
        </is>
      </c>
      <c r="J52" s="21" t="inlineStr">
        <is>
          <t xml:space="preserve"> 0</t>
        </is>
      </c>
      <c r="K52" s="30">
        <f>(E52-F52)/IF(E52&gt;0,E52,1)</f>
        <v/>
      </c>
    </row>
    <row r="53">
      <c r="A53" s="22" t="inlineStr">
        <is>
          <t>다시 확률 통계-통계편</t>
        </is>
      </c>
      <c r="B53" s="22" t="inlineStr">
        <is>
          <t>나가노 히로유키, 장진희</t>
        </is>
      </c>
      <c r="C53" s="22" t="inlineStr">
        <is>
          <t>길벗</t>
        </is>
      </c>
      <c r="D53" s="22" t="inlineStr">
        <is>
          <t>2022년 04월</t>
        </is>
      </c>
      <c r="E53" s="28" t="n">
        <v>24000</v>
      </c>
      <c r="F53" s="28" t="n">
        <v>21600</v>
      </c>
      <c r="G53" s="29" t="n">
        <v>14</v>
      </c>
      <c r="H53" s="29" t="n">
        <v>318</v>
      </c>
      <c r="I53" s="21" t="inlineStr">
        <is>
          <t>2022</t>
        </is>
      </c>
      <c r="J53" s="21" t="inlineStr">
        <is>
          <t xml:space="preserve"> 0</t>
        </is>
      </c>
      <c r="K53" s="30">
        <f>(E53-F53)/IF(E53&gt;0,E53,1)</f>
        <v/>
      </c>
    </row>
    <row r="54">
      <c r="A54" s="22" t="inlineStr">
        <is>
          <t>다시 확률 통계 : 확률편</t>
        </is>
      </c>
      <c r="B54" s="22" t="inlineStr">
        <is>
          <t>나가노 히로유키, 장진희</t>
        </is>
      </c>
      <c r="C54" s="22" t="inlineStr">
        <is>
          <t>길벗</t>
        </is>
      </c>
      <c r="D54" s="22" t="inlineStr">
        <is>
          <t>2020년 07월</t>
        </is>
      </c>
      <c r="E54" s="28" t="n">
        <v>18000</v>
      </c>
      <c r="F54" s="28" t="n">
        <v>16200</v>
      </c>
      <c r="G54" s="29" t="n">
        <v>14</v>
      </c>
      <c r="H54" s="29" t="n">
        <v>306</v>
      </c>
      <c r="I54" s="21" t="inlineStr">
        <is>
          <t>2020</t>
        </is>
      </c>
      <c r="J54" s="21" t="inlineStr">
        <is>
          <t xml:space="preserve"> 0</t>
        </is>
      </c>
      <c r="K54" s="30">
        <f>(E54-F54)/IF(E54&gt;0,E54,1)</f>
        <v/>
      </c>
    </row>
    <row r="55">
      <c r="A55" s="22" t="inlineStr">
        <is>
          <t>프로그래머를 위한 기초 해석학</t>
        </is>
      </c>
      <c r="B55" s="22" t="inlineStr">
        <is>
          <t>나카이 에츠지, 이기홍</t>
        </is>
      </c>
      <c r="C55" s="22" t="inlineStr">
        <is>
          <t>길벗</t>
        </is>
      </c>
      <c r="D55" s="22" t="inlineStr">
        <is>
          <t>2018년 12월</t>
        </is>
      </c>
      <c r="E55" s="28" t="n">
        <v>25000</v>
      </c>
      <c r="F55" s="28" t="n">
        <v>22500</v>
      </c>
      <c r="G55" s="29" t="n">
        <v>7</v>
      </c>
      <c r="H55" s="29" t="n">
        <v>264</v>
      </c>
      <c r="I55" s="21" t="inlineStr">
        <is>
          <t>2018</t>
        </is>
      </c>
      <c r="J55" s="21" t="inlineStr">
        <is>
          <t xml:space="preserve"> 1</t>
        </is>
      </c>
      <c r="K55" s="30">
        <f>(E55-F55)/IF(E55&gt;0,E55,1)</f>
        <v/>
      </c>
    </row>
    <row r="56">
      <c r="A56" s="22" t="inlineStr">
        <is>
          <t>제미나이 인공지능 프로그래밍</t>
        </is>
      </c>
      <c r="B56" s="22" t="inlineStr">
        <is>
          <t>후루카와 히데카즈, 하승민</t>
        </is>
      </c>
      <c r="C56" s="22" t="inlineStr">
        <is>
          <t>길벗</t>
        </is>
      </c>
      <c r="D56" s="22" t="inlineStr">
        <is>
          <t>2025년 05월</t>
        </is>
      </c>
      <c r="E56" s="28" t="n">
        <v>35000</v>
      </c>
      <c r="F56" s="28" t="n">
        <v>31500</v>
      </c>
      <c r="G56" s="29" t="n">
        <v>14</v>
      </c>
      <c r="H56" s="29" t="n">
        <v>1110</v>
      </c>
      <c r="I56" s="21" t="inlineStr">
        <is>
          <t>2025</t>
        </is>
      </c>
      <c r="J56" s="21" t="inlineStr">
        <is>
          <t xml:space="preserve"> 0</t>
        </is>
      </c>
      <c r="K56" s="30">
        <f>(E56-F56)/IF(E56&gt;0,E56,1)</f>
        <v/>
      </c>
    </row>
    <row r="57">
      <c r="A57" s="22" t="inlineStr">
        <is>
          <t>기획에서 출시까지 FastAPI 개발 백서</t>
        </is>
      </c>
      <c r="B57" s="22" t="inlineStr">
        <is>
          <t>차경묵</t>
        </is>
      </c>
      <c r="C57" s="22" t="inlineStr">
        <is>
          <t>길벗</t>
        </is>
      </c>
      <c r="D57" s="22" t="inlineStr">
        <is>
          <t>2025년 11월</t>
        </is>
      </c>
      <c r="E57" s="28" t="n">
        <v>42000</v>
      </c>
      <c r="F57" s="28" t="n">
        <v>37800</v>
      </c>
      <c r="G57" s="29" t="n">
        <v>26</v>
      </c>
      <c r="H57" s="29" t="n">
        <v>774</v>
      </c>
      <c r="I57" s="21" t="inlineStr">
        <is>
          <t>2025</t>
        </is>
      </c>
      <c r="J57" s="21" t="inlineStr">
        <is>
          <t xml:space="preserve"> 1</t>
        </is>
      </c>
      <c r="K57" s="30">
        <f>(E57-F57)/IF(E57&gt;0,E57,1)</f>
        <v/>
      </c>
    </row>
    <row r="58">
      <c r="A58" s="22" t="inlineStr">
        <is>
          <t>랭체인으로 RAG 개발하기: VectorRAG &amp; GraphRAG</t>
        </is>
      </c>
      <c r="B58" s="22" t="inlineStr">
        <is>
          <t>서지영</t>
        </is>
      </c>
      <c r="C58" s="22" t="inlineStr">
        <is>
          <t>길벗</t>
        </is>
      </c>
      <c r="D58" s="22" t="inlineStr">
        <is>
          <t>2025년 04월</t>
        </is>
      </c>
      <c r="E58" s="28" t="n">
        <v>29000</v>
      </c>
      <c r="F58" s="28" t="n">
        <v>26100</v>
      </c>
      <c r="G58" s="29" t="n">
        <v>13</v>
      </c>
      <c r="H58" s="29" t="n">
        <v>762</v>
      </c>
      <c r="I58" s="21" t="inlineStr">
        <is>
          <t>2025</t>
        </is>
      </c>
      <c r="J58" s="21" t="inlineStr">
        <is>
          <t xml:space="preserve"> 0</t>
        </is>
      </c>
      <c r="K58" s="30">
        <f>(E58-F58)/IF(E58&gt;0,E58,1)</f>
        <v/>
      </c>
    </row>
    <row r="59">
      <c r="A59" s="22" t="inlineStr">
        <is>
          <t>개발자를 위한 생성형 AI 활용 가이드</t>
        </is>
      </c>
      <c r="B59" s="22" t="inlineStr">
        <is>
          <t>핫토리 유우키, 하승민</t>
        </is>
      </c>
      <c r="C59" s="22" t="inlineStr">
        <is>
          <t>길벗</t>
        </is>
      </c>
      <c r="D59" s="22" t="inlineStr">
        <is>
          <t>2025년 09월</t>
        </is>
      </c>
      <c r="E59" s="28" t="n">
        <v>28000</v>
      </c>
      <c r="F59" s="28" t="n">
        <v>25200</v>
      </c>
      <c r="G59" s="29" t="n">
        <v>14</v>
      </c>
      <c r="H59" s="29" t="n">
        <v>810</v>
      </c>
      <c r="I59" s="21" t="inlineStr">
        <is>
          <t>2025</t>
        </is>
      </c>
      <c r="J59" s="21" t="inlineStr">
        <is>
          <t xml:space="preserve"> 0</t>
        </is>
      </c>
      <c r="K59" s="30">
        <f>(E59-F59)/IF(E59&gt;0,E59,1)</f>
        <v/>
      </c>
    </row>
    <row r="60">
      <c r="A60" s="22" t="inlineStr">
        <is>
          <t>프로그램을 읽는 기술</t>
        </is>
      </c>
      <c r="B60" s="22" t="inlineStr">
        <is>
          <t>이와마츠 히로시, 나민성</t>
        </is>
      </c>
      <c r="C60" s="22" t="inlineStr">
        <is>
          <t>길벗</t>
        </is>
      </c>
      <c r="D60" s="22" t="inlineStr">
        <is>
          <t>2025년 12월</t>
        </is>
      </c>
      <c r="E60" s="28" t="n">
        <v>20000</v>
      </c>
      <c r="F60" s="28" t="n">
        <v>18000</v>
      </c>
      <c r="G60" s="29" t="n">
        <v>14</v>
      </c>
      <c r="H60" s="29" t="n">
        <v>672</v>
      </c>
      <c r="I60" s="21" t="inlineStr">
        <is>
          <t>2025</t>
        </is>
      </c>
      <c r="J60" s="21" t="inlineStr">
        <is>
          <t xml:space="preserve"> 1</t>
        </is>
      </c>
      <c r="K60" s="30">
        <f>(E60-F60)/IF(E60&gt;0,E60,1)</f>
        <v/>
      </c>
    </row>
    <row r="61">
      <c r="A61" s="22" t="inlineStr">
        <is>
          <t>OpenCV 4로 배우는 컴퓨터 비전과 머신 러닝</t>
        </is>
      </c>
      <c r="B61" s="22" t="inlineStr">
        <is>
          <t>황선규</t>
        </is>
      </c>
      <c r="C61" s="22" t="inlineStr">
        <is>
          <t>길벗</t>
        </is>
      </c>
      <c r="D61" s="22" t="inlineStr">
        <is>
          <t>2019년 04월</t>
        </is>
      </c>
      <c r="E61" s="28" t="n">
        <v>42000</v>
      </c>
      <c r="F61" s="28" t="n">
        <v>37800</v>
      </c>
      <c r="G61" s="29" t="n">
        <v>21</v>
      </c>
      <c r="H61" s="29" t="n">
        <v>600</v>
      </c>
      <c r="I61" s="21" t="inlineStr">
        <is>
          <t>2019</t>
        </is>
      </c>
      <c r="J61" s="21" t="inlineStr">
        <is>
          <t xml:space="preserve"> 0</t>
        </is>
      </c>
      <c r="K61" s="30">
        <f>(E61-F61)/IF(E61&gt;0,E61,1)</f>
        <v/>
      </c>
    </row>
    <row r="62">
      <c r="A62" s="22" t="inlineStr">
        <is>
          <t>그림으로 이해하는 인지과학</t>
        </is>
      </c>
      <c r="B62" s="22" t="inlineStr">
        <is>
          <t>기타하라 요시노리, 조태호</t>
        </is>
      </c>
      <c r="C62" s="22" t="inlineStr">
        <is>
          <t>길벗</t>
        </is>
      </c>
      <c r="D62" s="22" t="inlineStr">
        <is>
          <t>2022년 03월</t>
        </is>
      </c>
      <c r="E62" s="28" t="n">
        <v>18000</v>
      </c>
      <c r="F62" s="28" t="n">
        <v>16200</v>
      </c>
      <c r="G62" s="29" t="n">
        <v>7</v>
      </c>
      <c r="H62" s="29" t="n">
        <v>696</v>
      </c>
      <c r="I62" s="21" t="inlineStr">
        <is>
          <t>2022</t>
        </is>
      </c>
      <c r="J62" s="21" t="inlineStr">
        <is>
          <t xml:space="preserve"> 0</t>
        </is>
      </c>
      <c r="K62" s="30">
        <f>(E62-F62)/IF(E62&gt;0,E62,1)</f>
        <v/>
      </c>
    </row>
    <row r="63">
      <c r="A63" s="22" t="inlineStr">
        <is>
          <t>캐글 메달리스트가 알려주는 캐글 노하우</t>
        </is>
      </c>
      <c r="B63" s="22" t="inlineStr">
        <is>
          <t>김태진, 권순환, 김연민, 김현우, 명대우, 정보 더 보기/감추기, 김태진, 권순환, 김연민, 김현우, 명대우, 안수빈, 이유한, 정성훈</t>
        </is>
      </c>
      <c r="C63" s="22" t="inlineStr">
        <is>
          <t>길벗</t>
        </is>
      </c>
      <c r="D63" s="22" t="inlineStr">
        <is>
          <t>2023년 07월</t>
        </is>
      </c>
      <c r="E63" s="28" t="n">
        <v>34000</v>
      </c>
      <c r="F63" s="28" t="n">
        <v>30600</v>
      </c>
      <c r="G63" s="29" t="n">
        <v>18</v>
      </c>
      <c r="H63" s="29" t="n">
        <v>222</v>
      </c>
      <c r="I63" s="21" t="inlineStr">
        <is>
          <t>2023</t>
        </is>
      </c>
      <c r="J63" s="21" t="inlineStr">
        <is>
          <t xml:space="preserve"> 0</t>
        </is>
      </c>
      <c r="K63" s="30">
        <f>(E63-F63)/IF(E63&gt;0,E63,1)</f>
        <v/>
      </c>
    </row>
    <row r="64">
      <c r="A64" s="22" t="inlineStr">
        <is>
          <t>머신 러닝 교과서: 파이토치 편</t>
        </is>
      </c>
      <c r="B64" s="22" t="inlineStr">
        <is>
          <t>유시 (헤이든) 류, 바히드미자리리, 세바스찬 라시카, 박해선</t>
        </is>
      </c>
      <c r="C64" s="22" t="inlineStr">
        <is>
          <t>길벗</t>
        </is>
      </c>
      <c r="D64" s="22" t="inlineStr">
        <is>
          <t>2023년 11월</t>
        </is>
      </c>
      <c r="E64" s="28" t="n">
        <v>58000</v>
      </c>
      <c r="F64" s="28" t="n">
        <v>52200</v>
      </c>
      <c r="G64" s="29" t="n">
        <v>8</v>
      </c>
      <c r="H64" s="29" t="n">
        <v>684</v>
      </c>
      <c r="I64" s="21" t="inlineStr">
        <is>
          <t>2023</t>
        </is>
      </c>
      <c r="J64" s="21" t="inlineStr">
        <is>
          <t xml:space="preserve"> 1</t>
        </is>
      </c>
      <c r="K64" s="30">
        <f>(E64-F64)/IF(E64&gt;0,E64,1)</f>
        <v/>
      </c>
    </row>
    <row r="65">
      <c r="A65" s="22" t="inlineStr">
        <is>
          <t>랭체인으로 LLM 기반의 AI 서비스 개발하기</t>
        </is>
      </c>
      <c r="B65" s="22" t="inlineStr">
        <is>
          <t>서지영</t>
        </is>
      </c>
      <c r="C65" s="22" t="inlineStr">
        <is>
          <t>길벗</t>
        </is>
      </c>
      <c r="D65" s="22" t="inlineStr">
        <is>
          <t>2024년 02월</t>
        </is>
      </c>
      <c r="E65" s="28" t="n">
        <v>24000</v>
      </c>
      <c r="F65" s="28" t="n">
        <v>21600</v>
      </c>
      <c r="G65" s="29" t="n">
        <v>30</v>
      </c>
      <c r="H65" s="29" t="n">
        <v>624</v>
      </c>
      <c r="I65" s="21" t="inlineStr">
        <is>
          <t>2024</t>
        </is>
      </c>
      <c r="J65" s="21" t="inlineStr">
        <is>
          <t xml:space="preserve"> 0</t>
        </is>
      </c>
      <c r="K65" s="30">
        <f>(E65-F65)/IF(E65&gt;0,E65,1)</f>
        <v/>
      </c>
    </row>
    <row r="66">
      <c r="A66" s="22" t="inlineStr">
        <is>
          <t>랭체인 &amp; 랭그래프로 AI 에이전트 개발하기</t>
        </is>
      </c>
      <c r="B66" s="22" t="inlineStr">
        <is>
          <t>서지영</t>
        </is>
      </c>
      <c r="C66" s="22" t="inlineStr">
        <is>
          <t>길벗</t>
        </is>
      </c>
      <c r="D66" s="22" t="inlineStr">
        <is>
          <t>2025년 03월</t>
        </is>
      </c>
      <c r="E66" s="28" t="n">
        <v>29000</v>
      </c>
      <c r="F66" s="28" t="n">
        <v>26100</v>
      </c>
      <c r="G66" s="29" t="n">
        <v>24</v>
      </c>
      <c r="H66" s="29" t="n">
        <v>774</v>
      </c>
      <c r="I66" s="21" t="inlineStr">
        <is>
          <t>2025</t>
        </is>
      </c>
      <c r="J66" s="21" t="inlineStr">
        <is>
          <t xml:space="preserve"> 0</t>
        </is>
      </c>
      <c r="K66" s="30">
        <f>(E66-F66)/IF(E66&gt;0,E66,1)</f>
        <v/>
      </c>
    </row>
    <row r="67">
      <c r="A67" s="22" t="inlineStr">
        <is>
          <t>AI 툴킷</t>
        </is>
      </c>
      <c r="B67" s="22" t="inlineStr">
        <is>
          <t>김규태</t>
        </is>
      </c>
      <c r="C67" s="22" t="inlineStr">
        <is>
          <t>길벗</t>
        </is>
      </c>
      <c r="D67" s="22" t="inlineStr">
        <is>
          <t>2024년 05월</t>
        </is>
      </c>
      <c r="E67" s="28" t="n">
        <v>22000</v>
      </c>
      <c r="F67" s="28" t="n">
        <v>19800</v>
      </c>
      <c r="G67" s="29" t="n">
        <v>10</v>
      </c>
      <c r="H67" s="29" t="n">
        <v>312</v>
      </c>
      <c r="I67" s="21" t="inlineStr">
        <is>
          <t>2024</t>
        </is>
      </c>
      <c r="J67" s="21" t="inlineStr">
        <is>
          <t xml:space="preserve"> 0</t>
        </is>
      </c>
      <c r="K67" s="30">
        <f>(E67-F67)/IF(E67&gt;0,E67,1)</f>
        <v/>
      </c>
    </row>
    <row r="68">
      <c r="A68" s="22" t="inlineStr">
        <is>
          <t>AI 원더랜드</t>
        </is>
      </c>
      <c r="B68" s="22" t="inlineStr">
        <is>
          <t>안재홍</t>
        </is>
      </c>
      <c r="C68" s="22" t="inlineStr">
        <is>
          <t>길벗</t>
        </is>
      </c>
      <c r="D68" s="22" t="inlineStr">
        <is>
          <t>2024년 05월</t>
        </is>
      </c>
      <c r="E68" s="28" t="n">
        <v>25000</v>
      </c>
      <c r="F68" s="28" t="n">
        <v>22500</v>
      </c>
      <c r="G68" s="29" t="n">
        <v>9</v>
      </c>
      <c r="H68" s="29" t="n">
        <v>264</v>
      </c>
      <c r="I68" s="21" t="inlineStr">
        <is>
          <t>2024</t>
        </is>
      </c>
      <c r="J68" s="21" t="inlineStr">
        <is>
          <t xml:space="preserve"> 0</t>
        </is>
      </c>
      <c r="K68" s="30">
        <f>(E68-F68)/IF(E68&gt;0,E68,1)</f>
        <v/>
      </c>
    </row>
    <row r="69">
      <c r="A69" s="23" t="inlineStr">
        <is>
          <t>합계 및 평균 요약</t>
        </is>
      </c>
      <c r="B69" s="31" t="n"/>
      <c r="C69" s="31" t="n"/>
      <c r="D69" s="31" t="n"/>
      <c r="E69" s="25">
        <f>AVERAGE(E2:E68)</f>
        <v/>
      </c>
      <c r="F69" s="25">
        <f>AVERAGE(F2:F68)</f>
        <v/>
      </c>
      <c r="G69" s="24">
        <f>SUM(G2:G68)</f>
        <v/>
      </c>
      <c r="H69" s="24">
        <f>SUM(H2:H68)</f>
        <v/>
      </c>
      <c r="I69" s="31" t="n"/>
      <c r="J69" s="31" t="n"/>
      <c r="K69" s="26">
        <f>AVERAGE(K2:K68)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4" customWidth="1" min="4" max="4"/>
    <col width="19" customWidth="1" min="5" max="5"/>
    <col width="19" customWidth="1" min="6" max="6"/>
    <col width="15" customWidth="1" min="7" max="7"/>
    <col width="15" customWidth="1" min="8" max="8"/>
    <col width="11" customWidth="1" min="9" max="9"/>
    <col width="10" customWidth="1" min="10" max="10"/>
    <col width="29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수업에 바로 쓰는 일잘러 선생님의 캔바 Canva 활용법</t>
        </is>
      </c>
      <c r="B2" s="22" t="inlineStr">
        <is>
          <t>황은지</t>
        </is>
      </c>
      <c r="C2" s="22" t="inlineStr">
        <is>
          <t>제이펍</t>
        </is>
      </c>
      <c r="D2" s="22" t="inlineStr">
        <is>
          <t>2026년 05월</t>
        </is>
      </c>
      <c r="E2" s="28" t="n">
        <v>22000</v>
      </c>
      <c r="F2" s="28" t="n">
        <v>19800</v>
      </c>
      <c r="G2" s="29" t="n">
        <v>32</v>
      </c>
      <c r="H2" s="29" t="n">
        <v>6069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LLM을 위한 프롬프트 엔지니어링</t>
        </is>
      </c>
      <c r="B3" s="22" t="inlineStr">
        <is>
          <t>존 베리먼, 앨버트 지글러, 김정인</t>
        </is>
      </c>
      <c r="C3" s="22" t="inlineStr">
        <is>
          <t>제이펍</t>
        </is>
      </c>
      <c r="D3" s="22" t="inlineStr">
        <is>
          <t>2026년 01월</t>
        </is>
      </c>
      <c r="E3" s="28" t="n">
        <v>28000</v>
      </c>
      <c r="F3" s="28" t="n">
        <v>25200</v>
      </c>
      <c r="G3" s="29" t="n">
        <v>7</v>
      </c>
      <c r="H3" s="29" t="n">
        <v>2784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처음 만나는 AI 에이전트 with 랭체인 &amp; MCP</t>
        </is>
      </c>
      <c r="B4" s="22" t="inlineStr">
        <is>
          <t>김재엽, 이민준</t>
        </is>
      </c>
      <c r="C4" s="22" t="inlineStr">
        <is>
          <t>제이펍</t>
        </is>
      </c>
      <c r="D4" s="22" t="inlineStr">
        <is>
          <t>2026년 05월</t>
        </is>
      </c>
      <c r="E4" s="28" t="n">
        <v>30000</v>
      </c>
      <c r="F4" s="28" t="n">
        <v>27000</v>
      </c>
      <c r="G4" s="29" t="n">
        <v>0</v>
      </c>
      <c r="H4" s="29" t="n">
        <v>1758</v>
      </c>
      <c r="I4" s="21" t="inlineStr">
        <is>
          <t>2026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30가지 예제로 따라 하며 배우는 ComfyUI 클라우드</t>
        </is>
      </c>
      <c r="B5" s="22" t="inlineStr">
        <is>
          <t>여승호, 신무경</t>
        </is>
      </c>
      <c r="C5" s="22" t="inlineStr">
        <is>
          <t>제이펍</t>
        </is>
      </c>
      <c r="D5" s="22" t="inlineStr">
        <is>
          <t>2026년 03월</t>
        </is>
      </c>
      <c r="E5" s="28" t="n">
        <v>22000</v>
      </c>
      <c r="F5" s="28" t="n">
        <v>19800</v>
      </c>
      <c r="G5" s="29" t="n">
        <v>9</v>
      </c>
      <c r="H5" s="29" t="n">
        <v>1410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AI가 일하는 법</t>
        </is>
      </c>
      <c r="B6" s="22" t="inlineStr">
        <is>
          <t>로널드 크노이젤, 한선용</t>
        </is>
      </c>
      <c r="C6" s="22" t="inlineStr">
        <is>
          <t>제이펍</t>
        </is>
      </c>
      <c r="D6" s="22" t="inlineStr">
        <is>
          <t>2026년 05월</t>
        </is>
      </c>
      <c r="E6" s="28" t="n">
        <v>22800</v>
      </c>
      <c r="F6" s="28" t="n">
        <v>20520</v>
      </c>
      <c r="G6" s="29" t="n">
        <v>5</v>
      </c>
      <c r="H6" s="29" t="n">
        <v>474</v>
      </c>
      <c r="I6" s="21" t="inlineStr">
        <is>
          <t>2026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수노로 시작하는 AI 작곡</t>
        </is>
      </c>
      <c r="B7" s="22" t="inlineStr">
        <is>
          <t>강성우, 한나래</t>
        </is>
      </c>
      <c r="C7" s="22" t="inlineStr">
        <is>
          <t>제이펍</t>
        </is>
      </c>
      <c r="D7" s="22" t="inlineStr">
        <is>
          <t>2025년 12월</t>
        </is>
      </c>
      <c r="E7" s="28" t="n">
        <v>20000</v>
      </c>
      <c r="F7" s="28" t="n">
        <v>18000</v>
      </c>
      <c r="G7" s="29" t="n">
        <v>21</v>
      </c>
      <c r="H7" s="29" t="n">
        <v>4074</v>
      </c>
      <c r="I7" s="21" t="inlineStr">
        <is>
          <t>2025</t>
        </is>
      </c>
      <c r="J7" s="21" t="inlineStr">
        <is>
          <t xml:space="preserve"> 1</t>
        </is>
      </c>
      <c r="K7" s="30">
        <f>(E7-F7)/IF(E7&gt;0,E7,1)</f>
        <v/>
      </c>
    </row>
    <row r="8">
      <c r="A8" s="22" t="inlineStr">
        <is>
          <t>LUVIT♥ 클로드와 함께하는 LLM 프로젝트</t>
        </is>
      </c>
      <c r="B8" s="22" t="inlineStr">
        <is>
          <t>이승우</t>
        </is>
      </c>
      <c r="C8" s="22" t="inlineStr">
        <is>
          <t>제이펍</t>
        </is>
      </c>
      <c r="D8" s="22" t="inlineStr">
        <is>
          <t>2026년 04월</t>
        </is>
      </c>
      <c r="E8" s="28" t="n">
        <v>38000</v>
      </c>
      <c r="F8" s="28" t="n">
        <v>34200</v>
      </c>
      <c r="G8" s="29" t="n">
        <v>2</v>
      </c>
      <c r="H8" s="29" t="n">
        <v>1026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누구나 쉽게 시작하는 방구석 1인 앱 창업</t>
        </is>
      </c>
      <c r="B9" s="22" t="inlineStr">
        <is>
          <t>김건희</t>
        </is>
      </c>
      <c r="C9" s="22" t="inlineStr">
        <is>
          <t>제이펍</t>
        </is>
      </c>
      <c r="D9" s="22" t="inlineStr">
        <is>
          <t>2026년 03월</t>
        </is>
      </c>
      <c r="E9" s="28" t="n">
        <v>28000</v>
      </c>
      <c r="F9" s="28" t="n">
        <v>25200</v>
      </c>
      <c r="G9" s="29" t="n">
        <v>5</v>
      </c>
      <c r="H9" s="29" t="n">
        <v>1818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진짜 쓰는 프리미어 영상 편집 2026 (최신개정판)</t>
        </is>
      </c>
      <c r="B10" s="22" t="inlineStr">
        <is>
          <t>조블리</t>
        </is>
      </c>
      <c r="C10" s="22" t="inlineStr">
        <is>
          <t>제이펍</t>
        </is>
      </c>
      <c r="D10" s="22" t="inlineStr">
        <is>
          <t>2026년 06월</t>
        </is>
      </c>
      <c r="E10" s="28" t="n">
        <v>26000</v>
      </c>
      <c r="F10" s="28" t="n">
        <v>23400</v>
      </c>
      <c r="G10" s="29" t="n">
        <v>0</v>
      </c>
      <c r="H10" s="29" t="n">
        <v>180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대체불가능</t>
        </is>
      </c>
      <c r="B11" s="22" t="inlineStr">
        <is>
          <t>파스칼 보넷, 김정민</t>
        </is>
      </c>
      <c r="C11" s="22" t="inlineStr">
        <is>
          <t>제이펍</t>
        </is>
      </c>
      <c r="D11" s="22" t="inlineStr">
        <is>
          <t>2026년 02월</t>
        </is>
      </c>
      <c r="E11" s="28" t="n">
        <v>22000</v>
      </c>
      <c r="F11" s="28" t="n">
        <v>19800</v>
      </c>
      <c r="G11" s="29" t="n">
        <v>11</v>
      </c>
      <c r="H11" s="29" t="n">
        <v>864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챗GPT와 엑셀로 만드는 주식 &amp; 암호화폐 자동매매 시스템</t>
        </is>
      </c>
      <c r="B12" s="22" t="inlineStr">
        <is>
          <t>설근민</t>
        </is>
      </c>
      <c r="C12" s="22" t="inlineStr">
        <is>
          <t>제이펍</t>
        </is>
      </c>
      <c r="D12" s="22" t="inlineStr">
        <is>
          <t>2025년 08월</t>
        </is>
      </c>
      <c r="E12" s="28" t="n">
        <v>25000</v>
      </c>
      <c r="F12" s="28" t="n">
        <v>22500</v>
      </c>
      <c r="G12" s="29" t="n">
        <v>8</v>
      </c>
      <c r="H12" s="29" t="n">
        <v>2574</v>
      </c>
      <c r="I12" s="21" t="inlineStr">
        <is>
          <t>2025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에지 컴퓨팅과 피지컬 AI를 위한 라즈베리파이 5</t>
        </is>
      </c>
      <c r="B13" s="22" t="inlineStr">
        <is>
          <t>허경용</t>
        </is>
      </c>
      <c r="C13" s="22" t="inlineStr">
        <is>
          <t>제이펍</t>
        </is>
      </c>
      <c r="D13" s="22" t="inlineStr">
        <is>
          <t>2026년 02월</t>
        </is>
      </c>
      <c r="E13" s="28" t="n">
        <v>30000</v>
      </c>
      <c r="F13" s="28" t="n">
        <v>27000</v>
      </c>
      <c r="G13" s="29" t="n">
        <v>0</v>
      </c>
      <c r="H13" s="29" t="n">
        <v>708</v>
      </c>
      <c r="I13" s="21" t="inlineStr">
        <is>
          <t>2026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인공지능 2</t>
        </is>
      </c>
      <c r="B14" s="22" t="inlineStr">
        <is>
          <t>스튜어트 러셀, 피터 노빅, 류광</t>
        </is>
      </c>
      <c r="C14" s="22" t="inlineStr">
        <is>
          <t>제이펍</t>
        </is>
      </c>
      <c r="D14" s="22" t="inlineStr">
        <is>
          <t>2021년 08월</t>
        </is>
      </c>
      <c r="E14" s="28" t="n">
        <v>38000</v>
      </c>
      <c r="F14" s="28" t="n">
        <v>34200</v>
      </c>
      <c r="G14" s="29" t="n">
        <v>1</v>
      </c>
      <c r="H14" s="29" t="n">
        <v>1038</v>
      </c>
      <c r="I14" s="21" t="inlineStr">
        <is>
          <t>2021</t>
        </is>
      </c>
      <c r="J14" s="21" t="inlineStr">
        <is>
          <t xml:space="preserve"> 0</t>
        </is>
      </c>
      <c r="K14" s="30">
        <f>(E14-F14)/IF(E14&gt;0,E14,1)</f>
        <v/>
      </c>
    </row>
    <row r="15">
      <c r="A15" s="22" t="inlineStr">
        <is>
          <t>챗GPT로 만드는 주식 &amp; 암호화폐 자동매매 시스템</t>
        </is>
      </c>
      <c r="B15" s="22" t="inlineStr">
        <is>
          <t>설근민</t>
        </is>
      </c>
      <c r="C15" s="22" t="inlineStr">
        <is>
          <t>제이펍</t>
        </is>
      </c>
      <c r="D15" s="22" t="inlineStr">
        <is>
          <t>2023년 11월</t>
        </is>
      </c>
      <c r="E15" s="28" t="n">
        <v>20000</v>
      </c>
      <c r="F15" s="28" t="n">
        <v>18000</v>
      </c>
      <c r="G15" s="29" t="n">
        <v>143</v>
      </c>
      <c r="H15" s="29" t="n">
        <v>1920</v>
      </c>
      <c r="I15" s="21" t="inlineStr">
        <is>
          <t>2023</t>
        </is>
      </c>
      <c r="J15" s="21" t="inlineStr">
        <is>
          <t xml:space="preserve"> 1</t>
        </is>
      </c>
      <c r="K15" s="30">
        <f>(E15-F15)/IF(E15&gt;0,E15,1)</f>
        <v/>
      </c>
    </row>
    <row r="16">
      <c r="A16" s="22" t="inlineStr">
        <is>
          <t>단단한 강화학습</t>
        </is>
      </c>
      <c r="B16" s="22" t="inlineStr">
        <is>
          <t>리처드 서튼, 앤드류 바르토, 김성우</t>
        </is>
      </c>
      <c r="C16" s="22" t="inlineStr">
        <is>
          <t>제이펍</t>
        </is>
      </c>
      <c r="D16" s="22" t="inlineStr">
        <is>
          <t>2020년 03월</t>
        </is>
      </c>
      <c r="E16" s="28" t="n">
        <v>35000</v>
      </c>
      <c r="F16" s="28" t="n">
        <v>31500</v>
      </c>
      <c r="G16" s="29" t="n">
        <v>19</v>
      </c>
      <c r="H16" s="29" t="n">
        <v>1830</v>
      </c>
      <c r="I16" s="21" t="inlineStr">
        <is>
          <t>2020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인공지능 1</t>
        </is>
      </c>
      <c r="B17" s="22" t="inlineStr">
        <is>
          <t>스튜어트 러셀, 피터 노빅, 류광</t>
        </is>
      </c>
      <c r="C17" s="22" t="inlineStr">
        <is>
          <t>제이펍</t>
        </is>
      </c>
      <c r="D17" s="22" t="inlineStr">
        <is>
          <t>2021년 08월</t>
        </is>
      </c>
      <c r="E17" s="28" t="n">
        <v>42000</v>
      </c>
      <c r="F17" s="28" t="n">
        <v>37800</v>
      </c>
      <c r="G17" s="29" t="n">
        <v>2</v>
      </c>
      <c r="H17" s="29" t="n">
        <v>1344</v>
      </c>
      <c r="I17" s="21" t="inlineStr">
        <is>
          <t>2021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쏙쏙 들어오는 인공지능 알고리즘</t>
        </is>
      </c>
      <c r="B18" s="22" t="inlineStr">
        <is>
          <t>리샬 허반스, 구정회</t>
        </is>
      </c>
      <c r="C18" s="22" t="inlineStr">
        <is>
          <t>제이펍</t>
        </is>
      </c>
      <c r="D18" s="22" t="inlineStr">
        <is>
          <t>2021년 06월</t>
        </is>
      </c>
      <c r="E18" s="28" t="n">
        <v>28000</v>
      </c>
      <c r="F18" s="28" t="n">
        <v>25200</v>
      </c>
      <c r="G18" s="29" t="n">
        <v>10</v>
      </c>
      <c r="H18" s="29" t="n">
        <v>240</v>
      </c>
      <c r="I18" s="21" t="inlineStr">
        <is>
          <t>2021</t>
        </is>
      </c>
      <c r="J18" s="21" t="inlineStr">
        <is>
          <t xml:space="preserve"> 0</t>
        </is>
      </c>
      <c r="K18" s="30">
        <f>(E18-F18)/IF(E18&gt;0,E18,1)</f>
        <v/>
      </c>
    </row>
    <row r="19">
      <c r="A19" s="22" t="inlineStr">
        <is>
          <t>MCP로 똑똑하게 일하는 법</t>
        </is>
      </c>
      <c r="B19" s="22" t="inlineStr">
        <is>
          <t>케이트리</t>
        </is>
      </c>
      <c r="C19" s="22" t="inlineStr">
        <is>
          <t>제이펍</t>
        </is>
      </c>
      <c r="D19" s="22" t="inlineStr">
        <is>
          <t>2025년 06월</t>
        </is>
      </c>
      <c r="E19" s="28" t="n">
        <v>22000</v>
      </c>
      <c r="F19" s="28" t="n">
        <v>19800</v>
      </c>
      <c r="G19" s="29" t="n">
        <v>10</v>
      </c>
      <c r="H19" s="29" t="n">
        <v>5742</v>
      </c>
      <c r="I19" s="21" t="inlineStr">
        <is>
          <t>2025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150분이면 충분한 중고등학교 기초 수학</t>
        </is>
      </c>
      <c r="B20" s="22" t="inlineStr">
        <is>
          <t>요네다 마사타카, 손민규</t>
        </is>
      </c>
      <c r="C20" s="22" t="inlineStr">
        <is>
          <t>제이펍</t>
        </is>
      </c>
      <c r="D20" s="22" t="inlineStr">
        <is>
          <t>2025년 01월</t>
        </is>
      </c>
      <c r="E20" s="28" t="n">
        <v>20000</v>
      </c>
      <c r="F20" s="28" t="n">
        <v>18000</v>
      </c>
      <c r="G20" s="29" t="n">
        <v>43</v>
      </c>
      <c r="H20" s="29" t="n">
        <v>1734</v>
      </c>
      <c r="I20" s="21" t="inlineStr">
        <is>
          <t>2025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딥러닝을 위한 수학</t>
        </is>
      </c>
      <c r="B21" s="22" t="inlineStr">
        <is>
          <t>로널드 크노이젤, 류광</t>
        </is>
      </c>
      <c r="C21" s="22" t="inlineStr">
        <is>
          <t>제이펍</t>
        </is>
      </c>
      <c r="D21" s="22" t="inlineStr">
        <is>
          <t>2022년 08월</t>
        </is>
      </c>
      <c r="E21" s="28" t="n">
        <v>30000</v>
      </c>
      <c r="F21" s="28" t="n">
        <v>27000</v>
      </c>
      <c r="G21" s="29" t="n">
        <v>13</v>
      </c>
      <c r="H21" s="29" t="n">
        <v>963</v>
      </c>
      <c r="I21" s="21" t="inlineStr">
        <is>
          <t>2022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심층 학습</t>
        </is>
      </c>
      <c r="B22" s="22" t="inlineStr">
        <is>
          <t>이안 굿펠로, 요슈아 벤지오, 에런 쿠빌, 류광</t>
        </is>
      </c>
      <c r="C22" s="22" t="inlineStr">
        <is>
          <t>제이펍</t>
        </is>
      </c>
      <c r="D22" s="22" t="inlineStr">
        <is>
          <t>2018년 10월</t>
        </is>
      </c>
      <c r="E22" s="28" t="n">
        <v>42000</v>
      </c>
      <c r="F22" s="28" t="n">
        <v>37800</v>
      </c>
      <c r="G22" s="29" t="n">
        <v>13</v>
      </c>
      <c r="H22" s="29" t="n">
        <v>720</v>
      </c>
      <c r="I22" s="21" t="inlineStr">
        <is>
          <t>2018</t>
        </is>
      </c>
      <c r="J22" s="21" t="inlineStr">
        <is>
          <t xml:space="preserve"> 1</t>
        </is>
      </c>
      <c r="K22" s="30">
        <f>(E22-F22)/IF(E22&gt;0,E22,1)</f>
        <v/>
      </c>
    </row>
    <row r="23">
      <c r="A23" s="22" t="inlineStr">
        <is>
          <t>LEVELIT 유니티와 OpenAI API로 만드는 인공지능 NPC</t>
        </is>
      </c>
      <c r="B23" s="22" t="inlineStr">
        <is>
          <t>박재환, 황유라</t>
        </is>
      </c>
      <c r="C23" s="22" t="inlineStr">
        <is>
          <t>제이펍</t>
        </is>
      </c>
      <c r="D23" s="22" t="inlineStr">
        <is>
          <t>2026년 01월</t>
        </is>
      </c>
      <c r="E23" s="28" t="n">
        <v>36000</v>
      </c>
      <c r="F23" s="28" t="n">
        <v>32400</v>
      </c>
      <c r="G23" s="29" t="n">
        <v>3</v>
      </c>
      <c r="H23" s="29" t="n">
        <v>582</v>
      </c>
      <c r="I23" s="21" t="inlineStr">
        <is>
          <t>2026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혼자서도 척척 해내는 AI 에이전트 만들기 with 랭체인 &amp; 랭그래프</t>
        </is>
      </c>
      <c r="B24" s="22" t="inlineStr">
        <is>
          <t>강병진</t>
        </is>
      </c>
      <c r="C24" s="22" t="inlineStr">
        <is>
          <t>제이펍</t>
        </is>
      </c>
      <c r="D24" s="22" t="inlineStr">
        <is>
          <t>2026년 01월</t>
        </is>
      </c>
      <c r="E24" s="28" t="n">
        <v>28000</v>
      </c>
      <c r="F24" s="28" t="n">
        <v>25200</v>
      </c>
      <c r="G24" s="29" t="n">
        <v>4</v>
      </c>
      <c r="H24" s="29" t="n">
        <v>1074</v>
      </c>
      <c r="I24" s="21" t="inlineStr">
        <is>
          <t>2026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7가지 프로젝트로 배우는 LLM AI 에이전트 개발</t>
        </is>
      </c>
      <c r="B25" s="22" t="inlineStr">
        <is>
          <t>황자, 김진호</t>
        </is>
      </c>
      <c r="C25" s="22" t="inlineStr">
        <is>
          <t>제이펍</t>
        </is>
      </c>
      <c r="D25" s="22" t="inlineStr">
        <is>
          <t>2025년 04월</t>
        </is>
      </c>
      <c r="E25" s="28" t="n">
        <v>36000</v>
      </c>
      <c r="F25" s="28" t="n">
        <v>32400</v>
      </c>
      <c r="G25" s="29" t="n">
        <v>5</v>
      </c>
      <c r="H25" s="29" t="n">
        <v>2346</v>
      </c>
      <c r="I25" s="21" t="inlineStr">
        <is>
          <t>2025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LUVIT♥ 파이썬으로 만드는 초경량 한국어 LLM 챗봇</t>
        </is>
      </c>
      <c r="B26" s="22" t="inlineStr">
        <is>
          <t>김규석, 서예진, 정태양</t>
        </is>
      </c>
      <c r="C26" s="22" t="inlineStr">
        <is>
          <t>제이펍</t>
        </is>
      </c>
      <c r="D26" s="22" t="inlineStr">
        <is>
          <t>2026년 01월</t>
        </is>
      </c>
      <c r="E26" s="28" t="n">
        <v>28000</v>
      </c>
      <c r="F26" s="28" t="n">
        <v>25200</v>
      </c>
      <c r="G26" s="29" t="n">
        <v>1</v>
      </c>
      <c r="H26" s="29" t="n">
        <v>1056</v>
      </c>
      <c r="I26" s="21" t="inlineStr">
        <is>
          <t>2026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알아서 잘하는 에이전틱 AI 시스템 구축하기</t>
        </is>
      </c>
      <c r="B27" s="22" t="inlineStr">
        <is>
          <t>안자나바 비스와스, 릭 탈루크다르, 김모세</t>
        </is>
      </c>
      <c r="C27" s="22" t="inlineStr">
        <is>
          <t>제이펍</t>
        </is>
      </c>
      <c r="D27" s="22" t="inlineStr">
        <is>
          <t>2025년 09월</t>
        </is>
      </c>
      <c r="E27" s="28" t="n">
        <v>28000</v>
      </c>
      <c r="F27" s="28" t="n">
        <v>25200</v>
      </c>
      <c r="G27" s="29" t="n">
        <v>3</v>
      </c>
      <c r="H27" s="29" t="n">
        <v>3060</v>
      </c>
      <c r="I27" s="21" t="inlineStr">
        <is>
          <t>2025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딥러닝 제대로 이해하기</t>
        </is>
      </c>
      <c r="B28" s="22" t="inlineStr">
        <is>
          <t>사이먼 J. D. 프린스, 고연이</t>
        </is>
      </c>
      <c r="C28" s="22" t="inlineStr">
        <is>
          <t>제이펍</t>
        </is>
      </c>
      <c r="D28" s="22" t="inlineStr">
        <is>
          <t>2025년 08월</t>
        </is>
      </c>
      <c r="E28" s="28" t="n">
        <v>38000</v>
      </c>
      <c r="F28" s="28" t="n">
        <v>34200</v>
      </c>
      <c r="G28" s="29" t="n">
        <v>7</v>
      </c>
      <c r="H28" s="29" t="n">
        <v>2694</v>
      </c>
      <c r="I28" s="21" t="inlineStr">
        <is>
          <t>2025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그림으로 배우는 StatQuest 신경망 &amp; AI 강의</t>
        </is>
      </c>
      <c r="B29" s="22" t="inlineStr">
        <is>
          <t>조시 스타머, 김태헌</t>
        </is>
      </c>
      <c r="C29" s="22" t="inlineStr">
        <is>
          <t>제이펍</t>
        </is>
      </c>
      <c r="D29" s="22" t="inlineStr">
        <is>
          <t>2025년 11월</t>
        </is>
      </c>
      <c r="E29" s="28" t="n">
        <v>30000</v>
      </c>
      <c r="F29" s="28" t="n">
        <v>27000</v>
      </c>
      <c r="G29" s="29" t="n">
        <v>2</v>
      </c>
      <c r="H29" s="29" t="n">
        <v>552</v>
      </c>
      <c r="I29" s="21" t="inlineStr">
        <is>
          <t>2025</t>
        </is>
      </c>
      <c r="J29" s="21" t="inlineStr">
        <is>
          <t xml:space="preserve"> 1</t>
        </is>
      </c>
      <c r="K29" s="30">
        <f>(E29-F29)/IF(E29&gt;0,E29,1)</f>
        <v/>
      </c>
    </row>
    <row r="30">
      <c r="A30" s="22" t="inlineStr">
        <is>
          <t>단단한 머신러닝</t>
        </is>
      </c>
      <c r="B30" s="22" t="inlineStr">
        <is>
          <t>조우쯔화, 김태헌</t>
        </is>
      </c>
      <c r="C30" s="22" t="inlineStr">
        <is>
          <t>제이펍</t>
        </is>
      </c>
      <c r="D30" s="22" t="inlineStr">
        <is>
          <t>2020년 02월</t>
        </is>
      </c>
      <c r="E30" s="28" t="n">
        <v>30000</v>
      </c>
      <c r="F30" s="28" t="n">
        <v>27000</v>
      </c>
      <c r="G30" s="29" t="n">
        <v>15</v>
      </c>
      <c r="H30" s="29" t="n">
        <v>516</v>
      </c>
      <c r="I30" s="21" t="inlineStr">
        <is>
          <t>2020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쉽고 빠르게 배우는 네이버 클라우드 플랫폼 인프라 엔지니어링</t>
        </is>
      </c>
      <c r="B31" s="22" t="inlineStr">
        <is>
          <t>정낙수, 강지나</t>
        </is>
      </c>
      <c r="C31" s="22" t="inlineStr">
        <is>
          <t>제이펍</t>
        </is>
      </c>
      <c r="D31" s="22" t="inlineStr">
        <is>
          <t>2026년 03월</t>
        </is>
      </c>
      <c r="E31" s="28" t="n">
        <v>30000</v>
      </c>
      <c r="F31" s="28" t="n">
        <v>27000</v>
      </c>
      <c r="G31" s="29" t="n">
        <v>4</v>
      </c>
      <c r="H31" s="29" t="n">
        <v>414</v>
      </c>
      <c r="I31" s="21" t="inlineStr">
        <is>
          <t>2026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처음부터 끝까지 피그마로 팀플하기</t>
        </is>
      </c>
      <c r="B32" s="22" t="inlineStr">
        <is>
          <t>이혜진(리온)</t>
        </is>
      </c>
      <c r="C32" s="22" t="inlineStr">
        <is>
          <t>제이펍</t>
        </is>
      </c>
      <c r="D32" s="22" t="inlineStr">
        <is>
          <t>2025년 11월</t>
        </is>
      </c>
      <c r="E32" s="28" t="n">
        <v>24000</v>
      </c>
      <c r="F32" s="28" t="n">
        <v>21600</v>
      </c>
      <c r="G32" s="29" t="n">
        <v>2</v>
      </c>
      <c r="H32" s="29" t="n">
        <v>258</v>
      </c>
      <c r="I32" s="21" t="inlineStr">
        <is>
          <t>2025</t>
        </is>
      </c>
      <c r="J32" s="21" t="inlineStr">
        <is>
          <t xml:space="preserve"> 1</t>
        </is>
      </c>
      <c r="K32" s="30">
        <f>(E32-F32)/IF(E32&gt;0,E32,1)</f>
        <v/>
      </c>
    </row>
    <row r="33">
      <c r="A33" s="22" t="inlineStr">
        <is>
          <t>한 번에 완성하는 AI 영상 제작 with 챗GPT+소라+브루</t>
        </is>
      </c>
      <c r="B33" s="22" t="inlineStr">
        <is>
          <t>권유라</t>
        </is>
      </c>
      <c r="C33" s="22" t="inlineStr">
        <is>
          <t>제이펍</t>
        </is>
      </c>
      <c r="D33" s="22" t="inlineStr">
        <is>
          <t>2025년 06월</t>
        </is>
      </c>
      <c r="E33" s="28" t="n">
        <v>20000</v>
      </c>
      <c r="F33" s="28" t="n">
        <v>18000</v>
      </c>
      <c r="G33" s="29" t="n">
        <v>22</v>
      </c>
      <c r="H33" s="29" t="n">
        <v>3540</v>
      </c>
      <c r="I33" s="21" t="inlineStr">
        <is>
          <t>2025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코딩 교육을 위한 마이크로비트</t>
        </is>
      </c>
      <c r="B34" s="22" t="inlineStr">
        <is>
          <t>아이씨뱅큐</t>
        </is>
      </c>
      <c r="C34" s="22" t="inlineStr">
        <is>
          <t>제이펍</t>
        </is>
      </c>
      <c r="D34" s="22" t="inlineStr">
        <is>
          <t>2023년 09월</t>
        </is>
      </c>
      <c r="E34" s="28" t="n">
        <v>18800</v>
      </c>
      <c r="F34" s="28" t="n">
        <v>16920</v>
      </c>
      <c r="G34" s="29" t="n">
        <v>7</v>
      </c>
      <c r="H34" s="29" t="n">
        <v>1170</v>
      </c>
      <c r="I34" s="21" t="inlineStr">
        <is>
          <t>2023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패턴 인식과 머신 러닝</t>
        </is>
      </c>
      <c r="B35" s="22" t="inlineStr">
        <is>
          <t>크리스토퍼 비숍, 김형진</t>
        </is>
      </c>
      <c r="C35" s="22" t="inlineStr">
        <is>
          <t>제이펍</t>
        </is>
      </c>
      <c r="D35" s="22" t="inlineStr">
        <is>
          <t>2018년 09월</t>
        </is>
      </c>
      <c r="E35" s="28" t="n">
        <v>46000</v>
      </c>
      <c r="F35" s="28" t="n">
        <v>41400</v>
      </c>
      <c r="G35" s="29" t="n">
        <v>12</v>
      </c>
      <c r="H35" s="29" t="n">
        <v>816</v>
      </c>
      <c r="I35" s="21" t="inlineStr">
        <is>
          <t>2018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21개의 실무 앱으로 배우는 Dify</t>
        </is>
      </c>
      <c r="B36" s="22" t="inlineStr">
        <is>
          <t>냥타, 김진호</t>
        </is>
      </c>
      <c r="C36" s="22" t="inlineStr">
        <is>
          <t>제이펍</t>
        </is>
      </c>
      <c r="D36" s="22" t="inlineStr">
        <is>
          <t>2026년 04월</t>
        </is>
      </c>
      <c r="E36" s="28" t="n">
        <v>28000</v>
      </c>
      <c r="F36" s="28" t="n">
        <v>25200</v>
      </c>
      <c r="G36" s="29" t="n">
        <v>0</v>
      </c>
      <c r="H36" s="29" t="n">
        <v>144</v>
      </c>
      <c r="I36" s="21" t="inlineStr">
        <is>
          <t>2026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생각을 맡기는 사람들: 호모 브레인리스</t>
        </is>
      </c>
      <c r="B37" s="22" t="inlineStr">
        <is>
          <t>안광섭</t>
        </is>
      </c>
      <c r="C37" s="22" t="inlineStr">
        <is>
          <t>제이펍</t>
        </is>
      </c>
      <c r="D37" s="22" t="inlineStr">
        <is>
          <t>2025년 09월</t>
        </is>
      </c>
      <c r="E37" s="28" t="n">
        <v>20000</v>
      </c>
      <c r="F37" s="28" t="n">
        <v>18000</v>
      </c>
      <c r="G37" s="29" t="n">
        <v>12</v>
      </c>
      <c r="H37" s="29" t="n">
        <v>1290</v>
      </c>
      <c r="I37" s="21" t="inlineStr">
        <is>
          <t>2025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LLM 프로덕션 엔지니어링</t>
        </is>
      </c>
      <c r="B38" s="22" t="inlineStr">
        <is>
          <t>루이-프랑수아 부샤르, 루이 피터스, 김태헌</t>
        </is>
      </c>
      <c r="C38" s="22" t="inlineStr">
        <is>
          <t>제이펍</t>
        </is>
      </c>
      <c r="D38" s="22" t="inlineStr">
        <is>
          <t>2025년 09월</t>
        </is>
      </c>
      <c r="E38" s="28" t="n">
        <v>36000</v>
      </c>
      <c r="F38" s="28" t="n">
        <v>32400</v>
      </c>
      <c r="G38" s="29" t="n">
        <v>6</v>
      </c>
      <c r="H38" s="29" t="n">
        <v>1134</v>
      </c>
      <c r="I38" s="21" t="inlineStr">
        <is>
          <t>2025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2" t="inlineStr">
        <is>
          <t>Azure OpenAI로 ChatGPT와 LLM 시스템 쉽고 빠르게 구축하기</t>
        </is>
      </c>
      <c r="B39" s="22" t="inlineStr">
        <is>
          <t>가모 히로사토, 나가타 쇼헤이, 다테와키 유타, 미야타 다이시, 요시다 신고, 정보 더 보기/감추기, 가모 히로사토, 나가타 쇼헤이, 다테와키 유타, 미야타 다이시, 요시다 신고, 이토 슌타, 하나가사키 노부스케, 원밀리언라인즈코딩, 배인진</t>
        </is>
      </c>
      <c r="C39" s="22" t="inlineStr">
        <is>
          <t>제이펍</t>
        </is>
      </c>
      <c r="D39" s="22" t="inlineStr">
        <is>
          <t>2025년 03월</t>
        </is>
      </c>
      <c r="E39" s="28" t="n">
        <v>30000</v>
      </c>
      <c r="F39" s="28" t="n">
        <v>27000</v>
      </c>
      <c r="G39" s="29" t="n">
        <v>8</v>
      </c>
      <c r="H39" s="29" t="n">
        <v>588</v>
      </c>
      <c r="I39" s="21" t="inlineStr">
        <is>
          <t>2025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2" t="inlineStr">
        <is>
          <t>금융 AI의 이해</t>
        </is>
      </c>
      <c r="B40" s="22" t="inlineStr">
        <is>
          <t>김태헌</t>
        </is>
      </c>
      <c r="C40" s="22" t="inlineStr">
        <is>
          <t>제이펍</t>
        </is>
      </c>
      <c r="D40" s="22" t="inlineStr">
        <is>
          <t>2024년 08월</t>
        </is>
      </c>
      <c r="E40" s="28" t="n">
        <v>32000</v>
      </c>
      <c r="F40" s="28" t="n">
        <v>28800</v>
      </c>
      <c r="G40" s="29" t="n">
        <v>9</v>
      </c>
      <c r="H40" s="29" t="n">
        <v>444</v>
      </c>
      <c r="I40" s="21" t="inlineStr">
        <is>
          <t>2024</t>
        </is>
      </c>
      <c r="J40" s="21" t="inlineStr">
        <is>
          <t xml:space="preserve"> 0</t>
        </is>
      </c>
      <c r="K40" s="30">
        <f>(E40-F40)/IF(E40&gt;0,E40,1)</f>
        <v/>
      </c>
    </row>
    <row r="41">
      <c r="A41" s="22" t="inlineStr">
        <is>
          <t>그림으로 배우는 구글 클라우드 101</t>
        </is>
      </c>
      <c r="B41" s="22" t="inlineStr">
        <is>
          <t>프리양카 베르가디아, 이준호</t>
        </is>
      </c>
      <c r="C41" s="22" t="inlineStr">
        <is>
          <t>제이펍</t>
        </is>
      </c>
      <c r="D41" s="22" t="inlineStr">
        <is>
          <t>2023년 11월</t>
        </is>
      </c>
      <c r="E41" s="28" t="n">
        <v>29000</v>
      </c>
      <c r="F41" s="28" t="n">
        <v>26100</v>
      </c>
      <c r="G41" s="29" t="n">
        <v>8</v>
      </c>
      <c r="H41" s="29" t="n">
        <v>396</v>
      </c>
      <c r="I41" s="21" t="inlineStr">
        <is>
          <t>2023</t>
        </is>
      </c>
      <c r="J41" s="21" t="inlineStr">
        <is>
          <t xml:space="preserve"> 1</t>
        </is>
      </c>
      <c r="K41" s="30">
        <f>(E41-F41)/IF(E41&gt;0,E41,1)</f>
        <v/>
      </c>
    </row>
    <row r="42">
      <c r="A42" s="22" t="inlineStr">
        <is>
          <t>챗GPT, 글쓰기 코치가 되어 줘</t>
        </is>
      </c>
      <c r="B42" s="22" t="inlineStr">
        <is>
          <t>이석현</t>
        </is>
      </c>
      <c r="C42" s="22" t="inlineStr">
        <is>
          <t>제이펍</t>
        </is>
      </c>
      <c r="D42" s="22" t="inlineStr">
        <is>
          <t>2025년 04월</t>
        </is>
      </c>
      <c r="E42" s="28" t="n">
        <v>22000</v>
      </c>
      <c r="F42" s="28" t="n">
        <v>19800</v>
      </c>
      <c r="G42" s="29" t="n">
        <v>58</v>
      </c>
      <c r="H42" s="29" t="n">
        <v>840</v>
      </c>
      <c r="I42" s="21" t="inlineStr">
        <is>
          <t>2025</t>
        </is>
      </c>
      <c r="J42" s="21" t="inlineStr">
        <is>
          <t xml:space="preserve"> 0</t>
        </is>
      </c>
      <c r="K42" s="30">
        <f>(E42-F42)/IF(E42&gt;0,E42,1)</f>
        <v/>
      </c>
    </row>
    <row r="43">
      <c r="A43" s="22" t="inlineStr">
        <is>
          <t>파이썬 시계열 예측 분석</t>
        </is>
      </c>
      <c r="B43" s="22" t="inlineStr">
        <is>
          <t>마르쿠 페이셰이루, 동동구</t>
        </is>
      </c>
      <c r="C43" s="22" t="inlineStr">
        <is>
          <t>제이펍</t>
        </is>
      </c>
      <c r="D43" s="22" t="inlineStr">
        <is>
          <t>2024년 07월</t>
        </is>
      </c>
      <c r="E43" s="28" t="n">
        <v>38000</v>
      </c>
      <c r="F43" s="28" t="n">
        <v>34200</v>
      </c>
      <c r="G43" s="29" t="n">
        <v>16</v>
      </c>
      <c r="H43" s="29" t="n">
        <v>840</v>
      </c>
      <c r="I43" s="21" t="inlineStr">
        <is>
          <t>2024</t>
        </is>
      </c>
      <c r="J43" s="21" t="inlineStr">
        <is>
          <t xml:space="preserve"> 0</t>
        </is>
      </c>
      <c r="K43" s="30">
        <f>(E43-F43)/IF(E43&gt;0,E43,1)</f>
        <v/>
      </c>
    </row>
    <row r="44">
      <c r="A44" s="22" t="inlineStr">
        <is>
          <t>한 번에 끝내는 라마인덱스 × RAG × AI 에이전트</t>
        </is>
      </c>
      <c r="B44" s="22" t="inlineStr">
        <is>
          <t>에디 유, 정용범, 손상우</t>
        </is>
      </c>
      <c r="C44" s="22" t="inlineStr">
        <is>
          <t>제이펍</t>
        </is>
      </c>
      <c r="D44" s="22" t="inlineStr">
        <is>
          <t>2025년 12월</t>
        </is>
      </c>
      <c r="E44" s="28" t="n">
        <v>30000</v>
      </c>
      <c r="F44" s="28" t="n">
        <v>27000</v>
      </c>
      <c r="G44" s="29" t="n">
        <v>1</v>
      </c>
      <c r="H44" s="29" t="n">
        <v>522</v>
      </c>
      <c r="I44" s="21" t="inlineStr">
        <is>
          <t>2025</t>
        </is>
      </c>
      <c r="J44" s="21" t="inlineStr">
        <is>
          <t xml:space="preserve"> 1</t>
        </is>
      </c>
      <c r="K44" s="30">
        <f>(E44-F44)/IF(E44&gt;0,E44,1)</f>
        <v/>
      </c>
    </row>
    <row r="45">
      <c r="A45" s="22" t="inlineStr">
        <is>
          <t>생성형 AI의 구조</t>
        </is>
      </c>
      <c r="B45" s="22" t="inlineStr">
        <is>
          <t>오카노하라 다이스케, 정원창</t>
        </is>
      </c>
      <c r="C45" s="22" t="inlineStr">
        <is>
          <t>제이펍</t>
        </is>
      </c>
      <c r="D45" s="22" t="inlineStr">
        <is>
          <t>2025년 05월</t>
        </is>
      </c>
      <c r="E45" s="28" t="n">
        <v>18000</v>
      </c>
      <c r="F45" s="28" t="n">
        <v>16200</v>
      </c>
      <c r="G45" s="29" t="n">
        <v>5</v>
      </c>
      <c r="H45" s="29" t="n">
        <v>438</v>
      </c>
      <c r="I45" s="21" t="inlineStr">
        <is>
          <t>2025</t>
        </is>
      </c>
      <c r="J45" s="21" t="inlineStr">
        <is>
          <t xml:space="preserve"> 0</t>
        </is>
      </c>
      <c r="K45" s="30">
        <f>(E45-F45)/IF(E45&gt;0,E45,1)</f>
        <v/>
      </c>
    </row>
    <row r="46">
      <c r="A46" s="22" t="inlineStr">
        <is>
          <t>소프트웨어 개발에 ChatGPT 사용하기</t>
        </is>
      </c>
      <c r="B46" s="22" t="inlineStr">
        <is>
          <t>오노 사토시, 김진호</t>
        </is>
      </c>
      <c r="C46" s="22" t="inlineStr">
        <is>
          <t>제이펍</t>
        </is>
      </c>
      <c r="D46" s="22" t="inlineStr">
        <is>
          <t>2024년 09월</t>
        </is>
      </c>
      <c r="E46" s="28" t="n">
        <v>28000</v>
      </c>
      <c r="F46" s="28" t="n">
        <v>25200</v>
      </c>
      <c r="G46" s="29" t="n">
        <v>14</v>
      </c>
      <c r="H46" s="29" t="n">
        <v>558</v>
      </c>
      <c r="I46" s="21" t="inlineStr">
        <is>
          <t>2024</t>
        </is>
      </c>
      <c r="J46" s="21" t="inlineStr">
        <is>
          <t xml:space="preserve"> 0</t>
        </is>
      </c>
      <c r="K46" s="30">
        <f>(E46-F46)/IF(E46&gt;0,E46,1)</f>
        <v/>
      </c>
    </row>
    <row r="47">
      <c r="A47" s="22" t="inlineStr">
        <is>
          <t>인공지능 소프트웨어 품질 보증을 위한 테스트 기법</t>
        </is>
      </c>
      <c r="B47" s="22" t="inlineStr">
        <is>
          <t>사토 나오토, 오가와 히데토, 구루마 히로노부, 묘진 도모유키, 황석형</t>
        </is>
      </c>
      <c r="C47" s="22" t="inlineStr">
        <is>
          <t>제이펍</t>
        </is>
      </c>
      <c r="D47" s="22" t="inlineStr">
        <is>
          <t>2023년 03월</t>
        </is>
      </c>
      <c r="E47" s="28" t="n">
        <v>26000</v>
      </c>
      <c r="F47" s="28" t="n">
        <v>23400</v>
      </c>
      <c r="G47" s="29" t="n">
        <v>9</v>
      </c>
      <c r="H47" s="29" t="n">
        <v>288</v>
      </c>
      <c r="I47" s="21" t="inlineStr">
        <is>
          <t>2023</t>
        </is>
      </c>
      <c r="J47" s="21" t="inlineStr">
        <is>
          <t xml:space="preserve"> 0</t>
        </is>
      </c>
      <c r="K47" s="30">
        <f>(E47-F47)/IF(E47&gt;0,E47,1)</f>
        <v/>
      </c>
    </row>
    <row r="48">
      <c r="A48" s="22" t="inlineStr">
        <is>
          <t>상상을 스케치하는 아두이노 우노 R4</t>
        </is>
      </c>
      <c r="B48" s="22" t="inlineStr">
        <is>
          <t>허경용</t>
        </is>
      </c>
      <c r="C48" s="22" t="inlineStr">
        <is>
          <t>제이펍</t>
        </is>
      </c>
      <c r="D48" s="22" t="inlineStr">
        <is>
          <t>2024년 09월</t>
        </is>
      </c>
      <c r="E48" s="28" t="n">
        <v>44000</v>
      </c>
      <c r="F48" s="28" t="n">
        <v>39600</v>
      </c>
      <c r="G48" s="29" t="n">
        <v>5</v>
      </c>
      <c r="H48" s="29" t="n">
        <v>300</v>
      </c>
      <c r="I48" s="21" t="inlineStr">
        <is>
          <t>2024</t>
        </is>
      </c>
      <c r="J48" s="21" t="inlineStr">
        <is>
          <t xml:space="preserve"> 0</t>
        </is>
      </c>
      <c r="K48" s="30">
        <f>(E48-F48)/IF(E48&gt;0,E48,1)</f>
        <v/>
      </c>
    </row>
    <row r="49">
      <c r="A49" s="22" t="inlineStr">
        <is>
          <t>키워드로 완성하는 AI 아트 테크닉 with 미드저니, 니지저니</t>
        </is>
      </c>
      <c r="B49" s="22" t="inlineStr">
        <is>
          <t>권경열</t>
        </is>
      </c>
      <c r="C49" s="22" t="inlineStr">
        <is>
          <t>제이펍</t>
        </is>
      </c>
      <c r="D49" s="22" t="inlineStr">
        <is>
          <t>2024년 02월</t>
        </is>
      </c>
      <c r="E49" s="28" t="n">
        <v>25000</v>
      </c>
      <c r="F49" s="28" t="n">
        <v>22500</v>
      </c>
      <c r="G49" s="29" t="n">
        <v>15</v>
      </c>
      <c r="H49" s="29" t="n">
        <v>246</v>
      </c>
      <c r="I49" s="21" t="inlineStr">
        <is>
          <t>2024</t>
        </is>
      </c>
      <c r="J49" s="21" t="inlineStr">
        <is>
          <t xml:space="preserve"> 0</t>
        </is>
      </c>
      <c r="K49" s="30">
        <f>(E49-F49)/IF(E49&gt;0,E49,1)</f>
        <v/>
      </c>
    </row>
    <row r="50">
      <c r="A50" s="22" t="inlineStr">
        <is>
          <t>자바와 파이썬으로 만드는 빅데이터 시스템</t>
        </is>
      </c>
      <c r="B50" s="22" t="inlineStr">
        <is>
          <t>황세규</t>
        </is>
      </c>
      <c r="C50" s="22" t="inlineStr">
        <is>
          <t>제이펍</t>
        </is>
      </c>
      <c r="D50" s="22" t="inlineStr">
        <is>
          <t>2023년 05월</t>
        </is>
      </c>
      <c r="E50" s="28" t="n">
        <v>30000</v>
      </c>
      <c r="F50" s="28" t="n">
        <v>27000</v>
      </c>
      <c r="G50" s="29" t="n">
        <v>14</v>
      </c>
      <c r="H50" s="29" t="n">
        <v>222</v>
      </c>
      <c r="I50" s="21" t="inlineStr">
        <is>
          <t>2023</t>
        </is>
      </c>
      <c r="J50" s="21" t="inlineStr">
        <is>
          <t xml:space="preserve"> 0</t>
        </is>
      </c>
      <c r="K50" s="30">
        <f>(E50-F50)/IF(E50&gt;0,E50,1)</f>
        <v/>
      </c>
    </row>
    <row r="51">
      <c r="A51" s="22" t="inlineStr">
        <is>
          <t>AI 에이전트 개발과 운영 올인원 가이드</t>
        </is>
      </c>
      <c r="B51" s="22" t="inlineStr">
        <is>
          <t>온다 미노루, 오쓰보 유, 쓰카다 마사키, 두발타고</t>
        </is>
      </c>
      <c r="C51" s="22" t="inlineStr">
        <is>
          <t>제이펍</t>
        </is>
      </c>
      <c r="D51" s="22" t="inlineStr">
        <is>
          <t>2026년 06월</t>
        </is>
      </c>
      <c r="E51" s="28" t="n">
        <v>33000</v>
      </c>
      <c r="F51" s="28" t="n">
        <v>29700</v>
      </c>
      <c r="G51" s="29" t="n">
        <v>0</v>
      </c>
      <c r="H51" s="29" t="n">
        <v>42</v>
      </c>
      <c r="I51" s="21" t="inlineStr">
        <is>
          <t>2026</t>
        </is>
      </c>
      <c r="J51" s="21" t="inlineStr">
        <is>
          <t xml:space="preserve"> 0</t>
        </is>
      </c>
      <c r="K51" s="30">
        <f>(E51-F51)/IF(E51&gt;0,E51,1)</f>
        <v/>
      </c>
    </row>
    <row r="52">
      <c r="A52" s="22" t="inlineStr">
        <is>
          <t>전혀 다른 생성형 AI</t>
        </is>
      </c>
      <c r="B52" s="22" t="inlineStr">
        <is>
          <t>심영환</t>
        </is>
      </c>
      <c r="C52" s="22" t="inlineStr">
        <is>
          <t>제이펍</t>
        </is>
      </c>
      <c r="D52" s="22" t="inlineStr">
        <is>
          <t>2024년 10월</t>
        </is>
      </c>
      <c r="E52" s="28" t="n">
        <v>20000</v>
      </c>
      <c r="F52" s="28" t="n">
        <v>18000</v>
      </c>
      <c r="G52" s="29" t="n">
        <v>18</v>
      </c>
      <c r="H52" s="29" t="n">
        <v>60</v>
      </c>
      <c r="I52" s="21" t="inlineStr">
        <is>
          <t>2024</t>
        </is>
      </c>
      <c r="J52" s="21" t="inlineStr">
        <is>
          <t xml:space="preserve"> 1</t>
        </is>
      </c>
      <c r="K52" s="30">
        <f>(E52-F52)/IF(E52&gt;0,E52,1)</f>
        <v/>
      </c>
    </row>
    <row r="53">
      <c r="A53" s="22" t="inlineStr">
        <is>
          <t>LUVIT♥ 커서로 시작하는 바이브 코딩</t>
        </is>
      </c>
      <c r="B53" s="22" t="inlineStr">
        <is>
          <t>김진호</t>
        </is>
      </c>
      <c r="C53" s="22" t="inlineStr">
        <is>
          <t>제이펍</t>
        </is>
      </c>
      <c r="D53" s="22" t="inlineStr">
        <is>
          <t>2025년 08월</t>
        </is>
      </c>
      <c r="E53" s="28" t="n">
        <v>25000</v>
      </c>
      <c r="F53" s="28" t="n">
        <v>22500</v>
      </c>
      <c r="G53" s="29" t="n">
        <v>1</v>
      </c>
      <c r="H53" s="29" t="n">
        <v>720</v>
      </c>
      <c r="I53" s="21" t="inlineStr">
        <is>
          <t>2025</t>
        </is>
      </c>
      <c r="J53" s="21" t="inlineStr">
        <is>
          <t xml:space="preserve"> 0</t>
        </is>
      </c>
      <c r="K53" s="30">
        <f>(E53-F53)/IF(E53&gt;0,E53,1)</f>
        <v/>
      </c>
    </row>
    <row r="54">
      <c r="A54" s="22" t="inlineStr">
        <is>
          <t>최고의 AI 영상 Sora로 제작하기</t>
        </is>
      </c>
      <c r="B54" s="22" t="inlineStr">
        <is>
          <t>밍지, 권유라</t>
        </is>
      </c>
      <c r="C54" s="22" t="inlineStr">
        <is>
          <t>제이펍</t>
        </is>
      </c>
      <c r="D54" s="22" t="inlineStr">
        <is>
          <t>2025년 01월</t>
        </is>
      </c>
      <c r="E54" s="28" t="n">
        <v>22000</v>
      </c>
      <c r="F54" s="28" t="n">
        <v>19800</v>
      </c>
      <c r="G54" s="29" t="n">
        <v>13</v>
      </c>
      <c r="H54" s="29" t="n">
        <v>582</v>
      </c>
      <c r="I54" s="21" t="inlineStr">
        <is>
          <t>2025</t>
        </is>
      </c>
      <c r="J54" s="21" t="inlineStr">
        <is>
          <t xml:space="preserve"> 0</t>
        </is>
      </c>
      <c r="K54" s="30">
        <f>(E54-F54)/IF(E54&gt;0,E54,1)</f>
        <v/>
      </c>
    </row>
    <row r="55">
      <c r="A55" s="22" t="inlineStr">
        <is>
          <t>단단한 심층강화학습</t>
        </is>
      </c>
      <c r="B55" s="22" t="inlineStr">
        <is>
          <t>로라 그레서, 와 룬 켕, 김성우</t>
        </is>
      </c>
      <c r="C55" s="22" t="inlineStr">
        <is>
          <t>제이펍</t>
        </is>
      </c>
      <c r="D55" s="22" t="inlineStr">
        <is>
          <t>2022년 02월</t>
        </is>
      </c>
      <c r="E55" s="28" t="n">
        <v>30000</v>
      </c>
      <c r="F55" s="28" t="n">
        <v>27000</v>
      </c>
      <c r="G55" s="29" t="n">
        <v>5</v>
      </c>
      <c r="H55" s="29" t="n">
        <v>510</v>
      </c>
      <c r="I55" s="21" t="inlineStr">
        <is>
          <t>2022</t>
        </is>
      </c>
      <c r="J55" s="21" t="inlineStr">
        <is>
          <t xml:space="preserve"> 0</t>
        </is>
      </c>
      <c r="K55" s="30">
        <f>(E55-F55)/IF(E55&gt;0,E55,1)</f>
        <v/>
      </c>
    </row>
    <row r="56">
      <c r="A56" s="22" t="inlineStr">
        <is>
          <t>프롬프트 엔지니어링으로 인공지능 제대로 일 시키기</t>
        </is>
      </c>
      <c r="B56" s="22" t="inlineStr">
        <is>
          <t>이규남, 조우진, 김동민</t>
        </is>
      </c>
      <c r="C56" s="22" t="inlineStr">
        <is>
          <t>제이펍</t>
        </is>
      </c>
      <c r="D56" s="22" t="inlineStr">
        <is>
          <t>2023년 11월</t>
        </is>
      </c>
      <c r="E56" s="28" t="n">
        <v>22000</v>
      </c>
      <c r="F56" s="28" t="n">
        <v>19800</v>
      </c>
      <c r="G56" s="29" t="n">
        <v>33</v>
      </c>
      <c r="H56" s="29" t="n">
        <v>474</v>
      </c>
      <c r="I56" s="21" t="inlineStr">
        <is>
          <t>2023</t>
        </is>
      </c>
      <c r="J56" s="21" t="inlineStr">
        <is>
          <t xml:space="preserve"> 1</t>
        </is>
      </c>
      <c r="K56" s="30">
        <f>(E56-F56)/IF(E56&gt;0,E56,1)</f>
        <v/>
      </c>
    </row>
    <row r="57">
      <c r="A57" s="22" t="inlineStr">
        <is>
          <t>확산 모델의 수학</t>
        </is>
      </c>
      <c r="B57" s="22" t="inlineStr">
        <is>
          <t>오카노하라 다이스케, 손민규</t>
        </is>
      </c>
      <c r="C57" s="22" t="inlineStr">
        <is>
          <t>제이펍</t>
        </is>
      </c>
      <c r="D57" s="22" t="inlineStr">
        <is>
          <t>2024년 07월</t>
        </is>
      </c>
      <c r="E57" s="28" t="n">
        <v>22000</v>
      </c>
      <c r="F57" s="28" t="n">
        <v>19800</v>
      </c>
      <c r="G57" s="29" t="n">
        <v>9</v>
      </c>
      <c r="H57" s="29" t="n">
        <v>396</v>
      </c>
      <c r="I57" s="21" t="inlineStr">
        <is>
          <t>2024</t>
        </is>
      </c>
      <c r="J57" s="21" t="inlineStr">
        <is>
          <t xml:space="preserve"> 0</t>
        </is>
      </c>
      <c r="K57" s="30">
        <f>(E57-F57)/IF(E57&gt;0,E57,1)</f>
        <v/>
      </c>
    </row>
    <row r="58">
      <c r="A58" s="22" t="inlineStr">
        <is>
          <t>파이썬과 JAX로 추천 시스템 구축하기</t>
        </is>
      </c>
      <c r="B58" s="22" t="inlineStr">
        <is>
          <t>브라이언 비쇼프, 헥터 이, 동동구</t>
        </is>
      </c>
      <c r="C58" s="22" t="inlineStr">
        <is>
          <t>제이펍</t>
        </is>
      </c>
      <c r="D58" s="22" t="inlineStr">
        <is>
          <t>2025년 03월</t>
        </is>
      </c>
      <c r="E58" s="28" t="n">
        <v>33000</v>
      </c>
      <c r="F58" s="28" t="n">
        <v>29700</v>
      </c>
      <c r="G58" s="29" t="n">
        <v>3</v>
      </c>
      <c r="H58" s="29" t="n">
        <v>288</v>
      </c>
      <c r="I58" s="21" t="inlineStr">
        <is>
          <t>2025</t>
        </is>
      </c>
      <c r="J58" s="21" t="inlineStr">
        <is>
          <t xml:space="preserve"> 0</t>
        </is>
      </c>
      <c r="K58" s="30">
        <f>(E58-F58)/IF(E58&gt;0,E58,1)</f>
        <v/>
      </c>
    </row>
    <row r="59">
      <c r="A59" s="22" t="inlineStr">
        <is>
          <t>개발자는 글을 못 쓴다고요?</t>
        </is>
      </c>
      <c r="B59" s="22" t="inlineStr">
        <is>
          <t>전정은, 황수정</t>
        </is>
      </c>
      <c r="C59" s="22" t="inlineStr">
        <is>
          <t>제이펍</t>
        </is>
      </c>
      <c r="D59" s="22" t="inlineStr">
        <is>
          <t>2025년 11월</t>
        </is>
      </c>
      <c r="E59" s="28" t="n">
        <v>28000</v>
      </c>
      <c r="F59" s="28" t="n">
        <v>25200</v>
      </c>
      <c r="G59" s="29" t="n">
        <v>8</v>
      </c>
      <c r="H59" s="29" t="n">
        <v>300</v>
      </c>
      <c r="I59" s="21" t="inlineStr">
        <is>
          <t>2025</t>
        </is>
      </c>
      <c r="J59" s="21" t="inlineStr">
        <is>
          <t xml:space="preserve"> 1</t>
        </is>
      </c>
      <c r="K59" s="30">
        <f>(E59-F59)/IF(E59&gt;0,E59,1)</f>
        <v/>
      </c>
    </row>
    <row r="60">
      <c r="A60" s="22" t="inlineStr">
        <is>
          <t>라마인덱스로 배우는 데이터 기반 AI 애플리케이션</t>
        </is>
      </c>
      <c r="B60" s="22" t="inlineStr">
        <is>
          <t>안드레이 게오르기우, 동동구</t>
        </is>
      </c>
      <c r="C60" s="22" t="inlineStr">
        <is>
          <t>제이펍</t>
        </is>
      </c>
      <c r="D60" s="22" t="inlineStr">
        <is>
          <t>2025년 10월</t>
        </is>
      </c>
      <c r="E60" s="28" t="n">
        <v>32000</v>
      </c>
      <c r="F60" s="28" t="n">
        <v>28800</v>
      </c>
      <c r="G60" s="29" t="n">
        <v>3</v>
      </c>
      <c r="H60" s="29" t="n">
        <v>330</v>
      </c>
      <c r="I60" s="21" t="inlineStr">
        <is>
          <t>2025</t>
        </is>
      </c>
      <c r="J60" s="21" t="inlineStr">
        <is>
          <t xml:space="preserve"> 1</t>
        </is>
      </c>
      <c r="K60" s="30">
        <f>(E60-F60)/IF(E60&gt;0,E60,1)</f>
        <v/>
      </c>
    </row>
    <row r="61">
      <c r="A61" s="23" t="inlineStr">
        <is>
          <t>합계 및 평균 요약</t>
        </is>
      </c>
      <c r="B61" s="31" t="n"/>
      <c r="C61" s="31" t="n"/>
      <c r="D61" s="31" t="n"/>
      <c r="E61" s="25">
        <f>AVERAGE(E2:E60)</f>
        <v/>
      </c>
      <c r="F61" s="25">
        <f>AVERAGE(F2:F60)</f>
        <v/>
      </c>
      <c r="G61" s="24">
        <f>SUM(G2:G60)</f>
        <v/>
      </c>
      <c r="H61" s="24">
        <f>SUM(H2:H60)</f>
        <v/>
      </c>
      <c r="I61" s="31" t="n"/>
      <c r="J61" s="31" t="n"/>
      <c r="K61" s="26">
        <f>AVERAGE(K2:K60)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14" customWidth="1" min="4" max="4"/>
    <col width="19" customWidth="1" min="5" max="5"/>
    <col width="19" customWidth="1" min="6" max="6"/>
    <col width="15" customWidth="1" min="7" max="7"/>
    <col width="15" customWidth="1" min="8" max="8"/>
    <col width="11" customWidth="1" min="9" max="9"/>
    <col width="10" customWidth="1" min="10" max="10"/>
    <col width="29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바로바로 클로드 with 코워크, 스킬, 클로드 코드, 디자인</t>
        </is>
      </c>
      <c r="B2" s="22" t="inlineStr">
        <is>
          <t>차진우</t>
        </is>
      </c>
      <c r="C2" s="22" t="inlineStr">
        <is>
          <t>골든래빗</t>
        </is>
      </c>
      <c r="D2" s="22" t="inlineStr">
        <is>
          <t>2026년 05월</t>
        </is>
      </c>
      <c r="E2" s="28" t="n">
        <v>28000</v>
      </c>
      <c r="F2" s="28" t="n">
        <v>25200</v>
      </c>
      <c r="G2" s="29" t="n">
        <v>1</v>
      </c>
      <c r="H2" s="29" t="n">
        <v>21747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바로바로 제미나이 X 구글 AI</t>
        </is>
      </c>
      <c r="B3" s="22" t="inlineStr">
        <is>
          <t>공냥이</t>
        </is>
      </c>
      <c r="C3" s="22" t="inlineStr">
        <is>
          <t>골든래빗</t>
        </is>
      </c>
      <c r="D3" s="22" t="inlineStr">
        <is>
          <t>2026년 06월</t>
        </is>
      </c>
      <c r="E3" s="28" t="n">
        <v>24000</v>
      </c>
      <c r="F3" s="28" t="n">
        <v>21600</v>
      </c>
      <c r="G3" s="29" t="n">
        <v>1</v>
      </c>
      <c r="H3" s="29" t="n">
        <v>7152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이게 되네? 캔바 AI 미친 활용법 47제</t>
        </is>
      </c>
      <c r="B4" s="22" t="inlineStr">
        <is>
          <t>이지쌤(이지훈)</t>
        </is>
      </c>
      <c r="C4" s="22" t="inlineStr">
        <is>
          <t>골든래빗</t>
        </is>
      </c>
      <c r="D4" s="22" t="inlineStr">
        <is>
          <t>2026년 05월</t>
        </is>
      </c>
      <c r="E4" s="28" t="n">
        <v>24000</v>
      </c>
      <c r="F4" s="28" t="n">
        <v>21600</v>
      </c>
      <c r="G4" s="29" t="n">
        <v>15</v>
      </c>
      <c r="H4" s="29" t="n">
        <v>4869</v>
      </c>
      <c r="I4" s="21" t="inlineStr">
        <is>
          <t>2026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세컨드 브레인은 옵시디언 with 클로드 코드</t>
        </is>
      </c>
      <c r="B5" s="22" t="inlineStr">
        <is>
          <t>시안</t>
        </is>
      </c>
      <c r="C5" s="22" t="inlineStr">
        <is>
          <t>골든래빗</t>
        </is>
      </c>
      <c r="D5" s="22" t="inlineStr">
        <is>
          <t>2026년 04월</t>
        </is>
      </c>
      <c r="E5" s="28" t="n">
        <v>25000</v>
      </c>
      <c r="F5" s="28" t="n">
        <v>23750</v>
      </c>
      <c r="G5" s="29" t="n">
        <v>36</v>
      </c>
      <c r="H5" s="29" t="n">
        <v>5397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요즘 바이브 코딩 코덱스 완벽 가이드</t>
        </is>
      </c>
      <c r="B6" s="22" t="inlineStr">
        <is>
          <t>윤재원</t>
        </is>
      </c>
      <c r="C6" s="22" t="inlineStr">
        <is>
          <t>골든래빗</t>
        </is>
      </c>
      <c r="D6" s="22" t="inlineStr">
        <is>
          <t>2026년 02월</t>
        </is>
      </c>
      <c r="E6" s="28" t="n">
        <v>28000</v>
      </c>
      <c r="F6" s="28" t="n">
        <v>25200</v>
      </c>
      <c r="G6" s="29" t="n">
        <v>35</v>
      </c>
      <c r="H6" s="29" t="n">
        <v>5541</v>
      </c>
      <c r="I6" s="21" t="inlineStr">
        <is>
          <t>2026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요즘 바이브 코딩 커서 X 클로드 코드 실전 외주 돈 벌기</t>
        </is>
      </c>
      <c r="B7" s="22" t="inlineStr">
        <is>
          <t>불혹코딩</t>
        </is>
      </c>
      <c r="C7" s="22" t="inlineStr">
        <is>
          <t>골든래빗</t>
        </is>
      </c>
      <c r="D7" s="22" t="inlineStr">
        <is>
          <t>2026년 05월</t>
        </is>
      </c>
      <c r="E7" s="28" t="n">
        <v>26000</v>
      </c>
      <c r="F7" s="28" t="n">
        <v>23400</v>
      </c>
      <c r="G7" s="29" t="n">
        <v>14</v>
      </c>
      <c r="H7" s="29" t="n">
        <v>4137</v>
      </c>
      <c r="I7" s="21" t="inlineStr">
        <is>
          <t>2026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요즘 바이브 코딩 안티그래비티 완벽 가이드</t>
        </is>
      </c>
      <c r="B8" s="22" t="inlineStr">
        <is>
          <t>최지호</t>
        </is>
      </c>
      <c r="C8" s="22" t="inlineStr">
        <is>
          <t>골든래빗</t>
        </is>
      </c>
      <c r="D8" s="22" t="inlineStr">
        <is>
          <t>2026년 02월</t>
        </is>
      </c>
      <c r="E8" s="28" t="n">
        <v>28000</v>
      </c>
      <c r="F8" s="28" t="n">
        <v>25200</v>
      </c>
      <c r="G8" s="29" t="n">
        <v>29</v>
      </c>
      <c r="H8" s="29" t="n">
        <v>18714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이게 되네? 나노바나나 2 AI 비포&amp;애프터 미친 활용법 82제</t>
        </is>
      </c>
      <c r="B9" s="22" t="inlineStr">
        <is>
          <t>쌩초</t>
        </is>
      </c>
      <c r="C9" s="22" t="inlineStr">
        <is>
          <t>골든래빗</t>
        </is>
      </c>
      <c r="D9" s="22" t="inlineStr">
        <is>
          <t>2026년 05월</t>
        </is>
      </c>
      <c r="E9" s="28" t="n">
        <v>24000</v>
      </c>
      <c r="F9" s="28" t="n">
        <v>21600</v>
      </c>
      <c r="G9" s="29" t="n">
        <v>96</v>
      </c>
      <c r="H9" s="29" t="n">
        <v>3228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바로바로 바이브 코딩 with 커서 AI</t>
        </is>
      </c>
      <c r="B10" s="22" t="inlineStr">
        <is>
          <t>박현규</t>
        </is>
      </c>
      <c r="C10" s="22" t="inlineStr">
        <is>
          <t>골든래빗</t>
        </is>
      </c>
      <c r="D10" s="22" t="inlineStr">
        <is>
          <t>2026년 04월</t>
        </is>
      </c>
      <c r="E10" s="28" t="n">
        <v>30000</v>
      </c>
      <c r="F10" s="28" t="n">
        <v>27000</v>
      </c>
      <c r="G10" s="29" t="n">
        <v>10</v>
      </c>
      <c r="H10" s="29" t="n">
        <v>3687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요즘 바이브 코딩 클로드 코드 완벽 가이드</t>
        </is>
      </c>
      <c r="B11" s="22" t="inlineStr">
        <is>
          <t>최지호</t>
        </is>
      </c>
      <c r="C11" s="22" t="inlineStr">
        <is>
          <t>골든래빗</t>
        </is>
      </c>
      <c r="D11" s="22" t="inlineStr">
        <is>
          <t>2025년 09월</t>
        </is>
      </c>
      <c r="E11" s="28" t="n">
        <v>24000</v>
      </c>
      <c r="F11" s="28" t="n">
        <v>21600</v>
      </c>
      <c r="G11" s="29" t="n">
        <v>19</v>
      </c>
      <c r="H11" s="29" t="n">
        <v>28527</v>
      </c>
      <c r="I11" s="21" t="inlineStr">
        <is>
          <t>2025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생존을 위한 최소한의 AI 교양</t>
        </is>
      </c>
      <c r="B12" s="22" t="inlineStr">
        <is>
          <t>조남호</t>
        </is>
      </c>
      <c r="C12" s="22" t="inlineStr">
        <is>
          <t>골든래빗</t>
        </is>
      </c>
      <c r="D12" s="22" t="inlineStr">
        <is>
          <t>2026년 06월</t>
        </is>
      </c>
      <c r="E12" s="28" t="n">
        <v>25000</v>
      </c>
      <c r="F12" s="28" t="n">
        <v>22500</v>
      </c>
      <c r="G12" s="29" t="n">
        <v>22</v>
      </c>
      <c r="H12" s="29" t="n">
        <v>1344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요즘 바이브 코딩 하네스 with 클로드 코드</t>
        </is>
      </c>
      <c r="B13" s="22" t="inlineStr">
        <is>
          <t>조성진</t>
        </is>
      </c>
      <c r="C13" s="22" t="inlineStr">
        <is>
          <t>골든래빗</t>
        </is>
      </c>
      <c r="D13" s="22" t="inlineStr">
        <is>
          <t>2026년 06월</t>
        </is>
      </c>
      <c r="E13" s="28" t="n">
        <v>30000</v>
      </c>
      <c r="F13" s="28" t="n">
        <v>27000</v>
      </c>
      <c r="G13" s="29" t="n">
        <v>0</v>
      </c>
      <c r="H13" s="29" t="n">
        <v>1254</v>
      </c>
      <c r="I13" s="21" t="inlineStr">
        <is>
          <t>2026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유튜브 AI 비서 고용하기 제미나이 X 노트북LM X 구글 스프레드시트</t>
        </is>
      </c>
      <c r="B14" s="22" t="inlineStr">
        <is>
          <t>조현정</t>
        </is>
      </c>
      <c r="C14" s="22" t="inlineStr">
        <is>
          <t>골든래빗</t>
        </is>
      </c>
      <c r="D14" s="22" t="inlineStr">
        <is>
          <t>2026년 06월</t>
        </is>
      </c>
      <c r="E14" s="28" t="n">
        <v>24000</v>
      </c>
      <c r="F14" s="28" t="n">
        <v>21600</v>
      </c>
      <c r="G14" s="29" t="n">
        <v>0</v>
      </c>
      <c r="H14" s="29" t="n">
        <v>1833</v>
      </c>
      <c r="I14" s="21" t="inlineStr">
        <is>
          <t>2026</t>
        </is>
      </c>
      <c r="J14" s="21" t="inlineStr">
        <is>
          <t xml:space="preserve"> 0</t>
        </is>
      </c>
      <c r="K14" s="30">
        <f>(E14-F14)/IF(E14&gt;0,E14,1)</f>
        <v/>
      </c>
    </row>
    <row r="15">
      <c r="A15" s="22" t="inlineStr">
        <is>
          <t>이게 되네? AI 쇼츠 만들기 미친 자동화 22제</t>
        </is>
      </c>
      <c r="B15" s="22" t="inlineStr">
        <is>
          <t>천은영</t>
        </is>
      </c>
      <c r="C15" s="22" t="inlineStr">
        <is>
          <t>골든래빗</t>
        </is>
      </c>
      <c r="D15" s="22" t="inlineStr">
        <is>
          <t>2026년 01월</t>
        </is>
      </c>
      <c r="E15" s="28" t="n">
        <v>26000</v>
      </c>
      <c r="F15" s="28" t="n">
        <v>23400</v>
      </c>
      <c r="G15" s="29" t="n">
        <v>10</v>
      </c>
      <c r="H15" s="29" t="n">
        <v>7728</v>
      </c>
      <c r="I15" s="21" t="inlineStr">
        <is>
          <t>2026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이게 되네? 클로드 MCP 커넥터 미친 활용법 31제</t>
        </is>
      </c>
      <c r="B16" s="22" t="inlineStr">
        <is>
          <t>박현규, 김성경</t>
        </is>
      </c>
      <c r="C16" s="22" t="inlineStr">
        <is>
          <t>골든래빗</t>
        </is>
      </c>
      <c r="D16" s="22" t="inlineStr">
        <is>
          <t>2026년 06월</t>
        </is>
      </c>
      <c r="E16" s="28" t="n">
        <v>24000</v>
      </c>
      <c r="F16" s="28" t="n">
        <v>21600</v>
      </c>
      <c r="G16" s="29" t="n">
        <v>0</v>
      </c>
      <c r="H16" s="29" t="n">
        <v>834</v>
      </c>
      <c r="I16" s="21" t="inlineStr">
        <is>
          <t>2026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요즘 바이브 코딩 커서 AI 30가지 프로그램 만들기</t>
        </is>
      </c>
      <c r="B17" s="22" t="inlineStr">
        <is>
          <t>박현규</t>
        </is>
      </c>
      <c r="C17" s="22" t="inlineStr">
        <is>
          <t>골든래빗</t>
        </is>
      </c>
      <c r="D17" s="22" t="inlineStr">
        <is>
          <t>2025년 09월</t>
        </is>
      </c>
      <c r="E17" s="28" t="n">
        <v>24000</v>
      </c>
      <c r="F17" s="28" t="n">
        <v>21600</v>
      </c>
      <c r="G17" s="29" t="n">
        <v>85</v>
      </c>
      <c r="H17" s="29" t="n">
        <v>14928</v>
      </c>
      <c r="I17" s="21" t="inlineStr">
        <is>
          <t>2025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요즘 바이브 코딩 깃허브 코파일럿 31가지 프로그램 만들기</t>
        </is>
      </c>
      <c r="B18" s="22" t="inlineStr">
        <is>
          <t>박현규</t>
        </is>
      </c>
      <c r="C18" s="22" t="inlineStr">
        <is>
          <t>골든래빗</t>
        </is>
      </c>
      <c r="D18" s="22" t="inlineStr">
        <is>
          <t>2025년 12월</t>
        </is>
      </c>
      <c r="E18" s="28" t="n">
        <v>24000</v>
      </c>
      <c r="F18" s="28" t="n">
        <v>21600</v>
      </c>
      <c r="G18" s="29" t="n">
        <v>4</v>
      </c>
      <c r="H18" s="29" t="n">
        <v>2823</v>
      </c>
      <c r="I18" s="21" t="inlineStr">
        <is>
          <t>2025</t>
        </is>
      </c>
      <c r="J18" s="21" t="inlineStr">
        <is>
          <t xml:space="preserve"> 1</t>
        </is>
      </c>
      <c r="K18" s="30">
        <f>(E18-F18)/IF(E18&gt;0,E18,1)</f>
        <v/>
      </c>
    </row>
    <row r="19">
      <c r="A19" s="22" t="inlineStr">
        <is>
          <t>슬기로운 교사 생활 구글 클래스룸 수업 활용법</t>
        </is>
      </c>
      <c r="B19" s="22" t="inlineStr">
        <is>
          <t>유수근</t>
        </is>
      </c>
      <c r="C19" s="22" t="inlineStr">
        <is>
          <t>골든래빗</t>
        </is>
      </c>
      <c r="D19" s="22" t="inlineStr">
        <is>
          <t>2026년 03월</t>
        </is>
      </c>
      <c r="E19" s="28" t="n">
        <v>26800</v>
      </c>
      <c r="F19" s="28" t="n">
        <v>24120</v>
      </c>
      <c r="G19" s="29" t="n">
        <v>109</v>
      </c>
      <c r="H19" s="29" t="n">
        <v>1500</v>
      </c>
      <c r="I19" s="21" t="inlineStr">
        <is>
          <t>2026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요즘 당근 AI 개발</t>
        </is>
      </c>
      <c r="B20" s="22" t="inlineStr">
        <is>
          <t>당근 팀</t>
        </is>
      </c>
      <c r="C20" s="22" t="inlineStr">
        <is>
          <t>골든래빗</t>
        </is>
      </c>
      <c r="D20" s="22" t="inlineStr">
        <is>
          <t>2025년 10월</t>
        </is>
      </c>
      <c r="E20" s="28" t="n">
        <v>22000</v>
      </c>
      <c r="F20" s="28" t="n">
        <v>19800</v>
      </c>
      <c r="G20" s="29" t="n">
        <v>91</v>
      </c>
      <c r="H20" s="29" t="n">
        <v>15420</v>
      </c>
      <c r="I20" s="21" t="inlineStr">
        <is>
          <t>2025</t>
        </is>
      </c>
      <c r="J20" s="21" t="inlineStr">
        <is>
          <t xml:space="preserve"> 1</t>
        </is>
      </c>
      <c r="K20" s="30">
        <f>(E20-F20)/IF(E20&gt;0,E20,1)</f>
        <v/>
      </c>
    </row>
    <row r="21">
      <c r="A21" s="22" t="inlineStr">
        <is>
          <t>바로바로 챗GPT X 덕테이프 X 코덱스</t>
        </is>
      </c>
      <c r="B21" s="22" t="inlineStr">
        <is>
          <t>박현규</t>
        </is>
      </c>
      <c r="C21" s="22" t="inlineStr">
        <is>
          <t>골든래빗</t>
        </is>
      </c>
      <c r="D21" s="22" t="inlineStr">
        <is>
          <t>2026년 06월</t>
        </is>
      </c>
      <c r="E21" s="28" t="n">
        <v>24000</v>
      </c>
      <c r="F21" s="28" t="n">
        <v>21600</v>
      </c>
      <c r="G21" s="29" t="n">
        <v>0</v>
      </c>
      <c r="H21" s="29" t="n">
        <v>180</v>
      </c>
      <c r="I21" s="21" t="inlineStr">
        <is>
          <t>2026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n8n 업무 자동화 일잘러 되기</t>
        </is>
      </c>
      <c r="B22" s="22" t="inlineStr">
        <is>
          <t>메이허, 에디 유</t>
        </is>
      </c>
      <c r="C22" s="22" t="inlineStr">
        <is>
          <t>골든래빗</t>
        </is>
      </c>
      <c r="D22" s="22" t="inlineStr">
        <is>
          <t>2026년 03월</t>
        </is>
      </c>
      <c r="E22" s="28" t="n">
        <v>36000</v>
      </c>
      <c r="F22" s="28" t="n">
        <v>32400</v>
      </c>
      <c r="G22" s="29" t="n">
        <v>30</v>
      </c>
      <c r="H22" s="29" t="n">
        <v>2352</v>
      </c>
      <c r="I22" s="21" t="inlineStr">
        <is>
          <t>2026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요즘 바이브 코딩 제미나이 CLI 완벽 가이드</t>
        </is>
      </c>
      <c r="B23" s="22" t="inlineStr">
        <is>
          <t>김진환</t>
        </is>
      </c>
      <c r="C23" s="22" t="inlineStr">
        <is>
          <t>골든래빗</t>
        </is>
      </c>
      <c r="D23" s="22" t="inlineStr">
        <is>
          <t>2025년 12월</t>
        </is>
      </c>
      <c r="E23" s="28" t="n">
        <v>26000</v>
      </c>
      <c r="F23" s="28" t="n">
        <v>23400</v>
      </c>
      <c r="G23" s="29" t="n">
        <v>80</v>
      </c>
      <c r="H23" s="29" t="n">
        <v>4548</v>
      </c>
      <c r="I23" s="21" t="inlineStr">
        <is>
          <t>2025</t>
        </is>
      </c>
      <c r="J23" s="21" t="inlineStr">
        <is>
          <t xml:space="preserve"> 1</t>
        </is>
      </c>
      <c r="K23" s="30">
        <f>(E23-F23)/IF(E23&gt;0,E23,1)</f>
        <v/>
      </c>
    </row>
    <row r="24">
      <c r="A24" s="22" t="inlineStr">
        <is>
          <t>2026 빠르게 따는 SQLD(1권(이론)+2권(빈출 족보+기출&amp;모의고사) 분권, 웹 CBT(PC/모바일) 제공, 시험 직전 Live 빠따 특강)</t>
        </is>
      </c>
      <c r="B24" s="22" t="inlineStr">
        <is>
          <t>이유성, 임한울, 조영훈</t>
        </is>
      </c>
      <c r="C24" s="22" t="inlineStr">
        <is>
          <t>골든래빗</t>
        </is>
      </c>
      <c r="D24" s="22" t="inlineStr">
        <is>
          <t>2026년 01월</t>
        </is>
      </c>
      <c r="E24" s="28" t="n">
        <v>24000</v>
      </c>
      <c r="F24" s="28" t="n">
        <v>21600</v>
      </c>
      <c r="G24" s="29" t="n">
        <v>15</v>
      </c>
      <c r="H24" s="29" t="n">
        <v>1206</v>
      </c>
      <c r="I24" s="21" t="inlineStr">
        <is>
          <t>2026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콘텐츠 디자인은 피그마 with AI</t>
        </is>
      </c>
      <c r="B25" s="22" t="inlineStr">
        <is>
          <t>김선영</t>
        </is>
      </c>
      <c r="C25" s="22" t="inlineStr">
        <is>
          <t>골든래빗</t>
        </is>
      </c>
      <c r="D25" s="22" t="inlineStr">
        <is>
          <t>2025년 08월</t>
        </is>
      </c>
      <c r="E25" s="28" t="n">
        <v>26000</v>
      </c>
      <c r="F25" s="28" t="n">
        <v>23400</v>
      </c>
      <c r="G25" s="29" t="n">
        <v>10</v>
      </c>
      <c r="H25" s="29" t="n">
        <v>5364</v>
      </c>
      <c r="I25" s="21" t="inlineStr">
        <is>
          <t>2025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파이썬 업무 자동화 일잘러 되기 + 챗GPT</t>
        </is>
      </c>
      <c r="B26" s="22" t="inlineStr">
        <is>
          <t>메이허</t>
        </is>
      </c>
      <c r="C26" s="22" t="inlineStr">
        <is>
          <t>골든래빗</t>
        </is>
      </c>
      <c r="D26" s="22" t="inlineStr">
        <is>
          <t>2025년 01월</t>
        </is>
      </c>
      <c r="E26" s="28" t="n">
        <v>36000</v>
      </c>
      <c r="F26" s="28" t="n">
        <v>32400</v>
      </c>
      <c r="G26" s="29" t="n">
        <v>4</v>
      </c>
      <c r="H26" s="29" t="n">
        <v>1170</v>
      </c>
      <c r="I26" s="21" t="inlineStr">
        <is>
          <t>2025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요즘 AI 에이전트 개발, LLM RAG ADK MCP LangChain A2A LangGraph</t>
        </is>
      </c>
      <c r="B27" s="22" t="inlineStr">
        <is>
          <t>박승규</t>
        </is>
      </c>
      <c r="C27" s="22" t="inlineStr">
        <is>
          <t>골든래빗</t>
        </is>
      </c>
      <c r="D27" s="22" t="inlineStr">
        <is>
          <t>2025년 08월</t>
        </is>
      </c>
      <c r="E27" s="28" t="n">
        <v>32000</v>
      </c>
      <c r="F27" s="28" t="n">
        <v>28800</v>
      </c>
      <c r="G27" s="29" t="n">
        <v>0</v>
      </c>
      <c r="H27" s="29" t="n">
        <v>8046</v>
      </c>
      <c r="I27" s="21" t="inlineStr">
        <is>
          <t>2025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정말 쉽네? 챗GPT 입문</t>
        </is>
      </c>
      <c r="B28" s="22" t="inlineStr">
        <is>
          <t>오힘찬</t>
        </is>
      </c>
      <c r="C28" s="22" t="inlineStr">
        <is>
          <t>골든래빗</t>
        </is>
      </c>
      <c r="D28" s="22" t="inlineStr">
        <is>
          <t>2024년 10월</t>
        </is>
      </c>
      <c r="E28" s="28" t="n">
        <v>22000</v>
      </c>
      <c r="F28" s="28" t="n">
        <v>19800</v>
      </c>
      <c r="G28" s="29" t="n">
        <v>149</v>
      </c>
      <c r="H28" s="29" t="n">
        <v>2418</v>
      </c>
      <c r="I28" s="21" t="inlineStr">
        <is>
          <t>2024</t>
        </is>
      </c>
      <c r="J28" s="21" t="inlineStr">
        <is>
          <t xml:space="preserve"> 1</t>
        </is>
      </c>
      <c r="K28" s="30">
        <f>(E28-F28)/IF(E28&gt;0,E28,1)</f>
        <v/>
      </c>
    </row>
    <row r="29">
      <c r="A29" s="22" t="inlineStr">
        <is>
          <t>이게 되네? 나노바나나 AI 비포&amp;애프터 미친 활용법 71제</t>
        </is>
      </c>
      <c r="B29" s="22" t="inlineStr">
        <is>
          <t>쌩초</t>
        </is>
      </c>
      <c r="C29" s="22" t="inlineStr">
        <is>
          <t>골든래빗</t>
        </is>
      </c>
      <c r="D29" s="22" t="inlineStr">
        <is>
          <t>2025년 12월</t>
        </is>
      </c>
      <c r="E29" s="28" t="n">
        <v>18800</v>
      </c>
      <c r="F29" s="28" t="n">
        <v>16920</v>
      </c>
      <c r="G29" s="29" t="n">
        <v>88</v>
      </c>
      <c r="H29" s="29" t="n">
        <v>13344</v>
      </c>
      <c r="I29" s="21" t="inlineStr">
        <is>
          <t>2025</t>
        </is>
      </c>
      <c r="J29" s="21" t="inlineStr">
        <is>
          <t xml:space="preserve"> 1</t>
        </is>
      </c>
      <c r="K29" s="30">
        <f>(E29-F29)/IF(E29&gt;0,E29,1)</f>
        <v/>
      </c>
    </row>
    <row r="30">
      <c r="A30" s="22" t="inlineStr">
        <is>
          <t>코드팩토리의 플러터 프로그래밍 (3판)</t>
        </is>
      </c>
      <c r="B30" s="22" t="inlineStr">
        <is>
          <t>최지호</t>
        </is>
      </c>
      <c r="C30" s="22" t="inlineStr">
        <is>
          <t>골든래빗</t>
        </is>
      </c>
      <c r="D30" s="22" t="inlineStr">
        <is>
          <t>2025년 01월</t>
        </is>
      </c>
      <c r="E30" s="28" t="n">
        <v>44000</v>
      </c>
      <c r="F30" s="28" t="n">
        <v>39600</v>
      </c>
      <c r="G30" s="29" t="n">
        <v>4</v>
      </c>
      <c r="H30" s="29" t="n">
        <v>2052</v>
      </c>
      <c r="I30" s="21" t="inlineStr">
        <is>
          <t>2025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챗GPT와 함께 배우는 인공지능 엔트리 마스터하기</t>
        </is>
      </c>
      <c r="B31" s="22" t="inlineStr">
        <is>
          <t>김종훈, 김현경, 김동건</t>
        </is>
      </c>
      <c r="C31" s="22" t="inlineStr">
        <is>
          <t>골든래빗</t>
        </is>
      </c>
      <c r="D31" s="22" t="inlineStr">
        <is>
          <t>2025년 03월</t>
        </is>
      </c>
      <c r="E31" s="28" t="n">
        <v>22000</v>
      </c>
      <c r="F31" s="28" t="n">
        <v>19800</v>
      </c>
      <c r="G31" s="29" t="n">
        <v>0</v>
      </c>
      <c r="H31" s="29" t="n">
        <v>804</v>
      </c>
      <c r="I31" s="21" t="inlineStr">
        <is>
          <t>2025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이게 되네? 업무 자동화 미친 활용 앱스 스크립트 with 챗GPT</t>
        </is>
      </c>
      <c r="B32" s="22" t="inlineStr">
        <is>
          <t>서휘승</t>
        </is>
      </c>
      <c r="C32" s="22" t="inlineStr">
        <is>
          <t>골든래빗</t>
        </is>
      </c>
      <c r="D32" s="22" t="inlineStr">
        <is>
          <t>2024년 11월</t>
        </is>
      </c>
      <c r="E32" s="28" t="n">
        <v>32000</v>
      </c>
      <c r="F32" s="28" t="n">
        <v>28800</v>
      </c>
      <c r="G32" s="29" t="n">
        <v>3</v>
      </c>
      <c r="H32" s="29" t="n">
        <v>2514</v>
      </c>
      <c r="I32" s="21" t="inlineStr">
        <is>
          <t>2024</t>
        </is>
      </c>
      <c r="J32" s="21" t="inlineStr">
        <is>
          <t xml:space="preserve"> 1</t>
        </is>
      </c>
      <c r="K32" s="30">
        <f>(E32-F32)/IF(E32&gt;0,E32,1)</f>
        <v/>
      </c>
    </row>
    <row r="33">
      <c r="A33" s="22" t="inlineStr">
        <is>
          <t>요즘 바이브 코딩 v0 + 커서 입문 PRD 기획·개발·배포, 일주일 완성</t>
        </is>
      </c>
      <c r="B33" s="22" t="inlineStr">
        <is>
          <t>김동학</t>
        </is>
      </c>
      <c r="C33" s="22" t="inlineStr">
        <is>
          <t>골든래빗</t>
        </is>
      </c>
      <c r="D33" s="22" t="inlineStr">
        <is>
          <t>2026년 01월</t>
        </is>
      </c>
      <c r="E33" s="28" t="n">
        <v>28000</v>
      </c>
      <c r="F33" s="28" t="n">
        <v>25200</v>
      </c>
      <c r="G33" s="29" t="n">
        <v>7</v>
      </c>
      <c r="H33" s="29" t="n">
        <v>1434</v>
      </c>
      <c r="I33" s="21" t="inlineStr">
        <is>
          <t>2026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파이썬 데이터 분석가 되기+챗GPT</t>
        </is>
      </c>
      <c r="B34" s="22" t="inlineStr">
        <is>
          <t>셀레나</t>
        </is>
      </c>
      <c r="C34" s="22" t="inlineStr">
        <is>
          <t>골든래빗</t>
        </is>
      </c>
      <c r="D34" s="22" t="inlineStr">
        <is>
          <t>2024년 11월</t>
        </is>
      </c>
      <c r="E34" s="28" t="n">
        <v>26000</v>
      </c>
      <c r="F34" s="28" t="n">
        <v>23400</v>
      </c>
      <c r="G34" s="29" t="n">
        <v>0</v>
      </c>
      <c r="H34" s="29" t="n">
        <v>1014</v>
      </c>
      <c r="I34" s="21" t="inlineStr">
        <is>
          <t>2024</t>
        </is>
      </c>
      <c r="J34" s="21" t="inlineStr">
        <is>
          <t xml:space="preserve"> 1</t>
        </is>
      </c>
      <c r="K34" s="30">
        <f>(E34-F34)/IF(E34&gt;0,E34,1)</f>
        <v/>
      </c>
    </row>
    <row r="35">
      <c r="A35" s="22" t="inlineStr">
        <is>
          <t>요즘 우아한 AI 개발</t>
        </is>
      </c>
      <c r="B35" s="22" t="inlineStr">
        <is>
          <t>우아한형제들</t>
        </is>
      </c>
      <c r="C35" s="22" t="inlineStr">
        <is>
          <t>골든래빗</t>
        </is>
      </c>
      <c r="D35" s="22" t="inlineStr">
        <is>
          <t>2025년 04월</t>
        </is>
      </c>
      <c r="E35" s="28" t="n">
        <v>24000</v>
      </c>
      <c r="F35" s="28" t="n">
        <v>21600</v>
      </c>
      <c r="G35" s="29" t="n">
        <v>16</v>
      </c>
      <c r="H35" s="29" t="n">
        <v>3738</v>
      </c>
      <c r="I35" s="21" t="inlineStr">
        <is>
          <t>2025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챗GPT와 함께 배우는 엔트리 마스터하기</t>
        </is>
      </c>
      <c r="B36" s="22" t="inlineStr">
        <is>
          <t>김종훈, 김현경, 김동건</t>
        </is>
      </c>
      <c r="C36" s="22" t="inlineStr">
        <is>
          <t>골든래빗</t>
        </is>
      </c>
      <c r="D36" s="22" t="inlineStr">
        <is>
          <t>2024년 08월</t>
        </is>
      </c>
      <c r="E36" s="28" t="n">
        <v>24000</v>
      </c>
      <c r="F36" s="28" t="n">
        <v>21600</v>
      </c>
      <c r="G36" s="29" t="n">
        <v>2</v>
      </c>
      <c r="H36" s="29" t="n">
        <v>720</v>
      </c>
      <c r="I36" s="21" t="inlineStr">
        <is>
          <t>2024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개발자 원칙 (확장판)</t>
        </is>
      </c>
      <c r="B37" s="22" t="inlineStr">
        <is>
          <t>박성철, 강대명, 공용준, 김정, 박미정, 정보 더 보기/감추기, 박성철, 강대명, 공용준, 김정, 박미정, 박종천, 이동욱, 장동수</t>
        </is>
      </c>
      <c r="C37" s="22" t="inlineStr">
        <is>
          <t>골든래빗</t>
        </is>
      </c>
      <c r="D37" s="22" t="inlineStr">
        <is>
          <t>2024년 09월</t>
        </is>
      </c>
      <c r="E37" s="28" t="n">
        <v>24000</v>
      </c>
      <c r="F37" s="28" t="n">
        <v>21600</v>
      </c>
      <c r="G37" s="29" t="n">
        <v>2</v>
      </c>
      <c r="H37" s="29" t="n">
        <v>474</v>
      </c>
      <c r="I37" s="21" t="inlineStr">
        <is>
          <t>2024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2026 빠르게 따는 ADsP(1권(이론)+2권(빈출 족보+기출&amp;모의고사) 분권, 웹 CBT(PC/모바일) 제공, 시험 직전 Live 빠따 특강)</t>
        </is>
      </c>
      <c r="B38" s="22" t="inlineStr">
        <is>
          <t>임한울, 조영훈, 이유성</t>
        </is>
      </c>
      <c r="C38" s="22" t="inlineStr">
        <is>
          <t>골든래빗</t>
        </is>
      </c>
      <c r="D38" s="22" t="inlineStr">
        <is>
          <t>2026년 01월</t>
        </is>
      </c>
      <c r="E38" s="28" t="n">
        <v>30000</v>
      </c>
      <c r="F38" s="28" t="n">
        <v>27000</v>
      </c>
      <c r="G38" s="29" t="n">
        <v>13</v>
      </c>
      <c r="H38" s="29" t="n">
        <v>450</v>
      </c>
      <c r="I38" s="21" t="inlineStr">
        <is>
          <t>2026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2" t="inlineStr">
        <is>
          <t>Must Have 머신러닝·딥러닝 문제해결 전략</t>
        </is>
      </c>
      <c r="B39" s="22" t="inlineStr">
        <is>
          <t>신백균</t>
        </is>
      </c>
      <c r="C39" s="22" t="inlineStr">
        <is>
          <t>골든래빗</t>
        </is>
      </c>
      <c r="D39" s="22" t="inlineStr">
        <is>
          <t>2022년 04월</t>
        </is>
      </c>
      <c r="E39" s="28" t="n">
        <v>38000</v>
      </c>
      <c r="F39" s="28" t="n">
        <v>34200</v>
      </c>
      <c r="G39" s="29" t="n">
        <v>2</v>
      </c>
      <c r="H39" s="29" t="n">
        <v>258</v>
      </c>
      <c r="I39" s="21" t="inlineStr">
        <is>
          <t>2022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3" t="inlineStr">
        <is>
          <t>합계 및 평균 요약</t>
        </is>
      </c>
      <c r="B40" s="31" t="n"/>
      <c r="C40" s="31" t="n"/>
      <c r="D40" s="31" t="n"/>
      <c r="E40" s="25">
        <f>AVERAGE(E2:E39)</f>
        <v/>
      </c>
      <c r="F40" s="25">
        <f>AVERAGE(F2:F39)</f>
        <v/>
      </c>
      <c r="G40" s="24">
        <f>SUM(G2:G39)</f>
        <v/>
      </c>
      <c r="H40" s="24">
        <f>SUM(H2:H39)</f>
        <v/>
      </c>
      <c r="I40" s="31" t="n"/>
      <c r="J40" s="31" t="n"/>
      <c r="K40" s="26">
        <f>AVERAGE(K2:K39)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4" customWidth="1" min="4" max="4"/>
    <col width="19" customWidth="1" min="5" max="5"/>
    <col width="19" customWidth="1" min="6" max="6"/>
    <col width="15" customWidth="1" min="7" max="7"/>
    <col width="15" customWidth="1" min="8" max="8"/>
    <col width="11" customWidth="1" min="9" max="9"/>
    <col width="10" customWidth="1" min="10" max="10"/>
    <col width="29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요즘 교사를 위한 에듀테크 5대장 : 캔바, 패들렛, 북크리에이터, 노션, 챗GPT∙제미나이</t>
        </is>
      </c>
      <c r="B2" s="22" t="inlineStr">
        <is>
          <t>안익재, 황의태</t>
        </is>
      </c>
      <c r="C2" s="22" t="inlineStr">
        <is>
          <t>앤써북</t>
        </is>
      </c>
      <c r="D2" s="22" t="inlineStr">
        <is>
          <t>2025년 12월</t>
        </is>
      </c>
      <c r="E2" s="28" t="n">
        <v>19800</v>
      </c>
      <c r="F2" s="28" t="n">
        <v>17820</v>
      </c>
      <c r="G2" s="29" t="n">
        <v>92</v>
      </c>
      <c r="H2" s="29" t="n">
        <v>36312</v>
      </c>
      <c r="I2" s="21" t="inlineStr">
        <is>
          <t>2025</t>
        </is>
      </c>
      <c r="J2" s="21" t="inlineStr">
        <is>
          <t xml:space="preserve"> 1</t>
        </is>
      </c>
      <c r="K2" s="30">
        <f>(E2-F2)/IF(E2&gt;0,E2,1)</f>
        <v/>
      </c>
    </row>
    <row r="3">
      <c r="A3" s="22" t="inlineStr">
        <is>
          <t>수업과 업무에 바로 적용하는 생성형 AI 활용 58제</t>
        </is>
      </c>
      <c r="B3" s="22" t="inlineStr">
        <is>
          <t>임세범</t>
        </is>
      </c>
      <c r="C3" s="22" t="inlineStr">
        <is>
          <t>앤써북</t>
        </is>
      </c>
      <c r="D3" s="22" t="inlineStr">
        <is>
          <t>2026년 04월</t>
        </is>
      </c>
      <c r="E3" s="28" t="n">
        <v>18800</v>
      </c>
      <c r="F3" s="28" t="n">
        <v>16920</v>
      </c>
      <c r="G3" s="29" t="n">
        <v>7</v>
      </c>
      <c r="H3" s="29" t="n">
        <v>4023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교사를 위한 패들렛 Padlet</t>
        </is>
      </c>
      <c r="B4" s="22" t="inlineStr">
        <is>
          <t>안익재</t>
        </is>
      </c>
      <c r="C4" s="22" t="inlineStr">
        <is>
          <t>앤써북</t>
        </is>
      </c>
      <c r="D4" s="22" t="inlineStr">
        <is>
          <t>2025년 03월</t>
        </is>
      </c>
      <c r="E4" s="28" t="n">
        <v>16800</v>
      </c>
      <c r="F4" s="28" t="n">
        <v>15120</v>
      </c>
      <c r="G4" s="29" t="n">
        <v>47</v>
      </c>
      <c r="H4" s="29" t="n">
        <v>12774</v>
      </c>
      <c r="I4" s="21" t="inlineStr">
        <is>
          <t>2025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요즘 예체능 수업을 위한 에듀테크 활용법 223제</t>
        </is>
      </c>
      <c r="B5" s="22" t="inlineStr">
        <is>
          <t>박래혁</t>
        </is>
      </c>
      <c r="C5" s="22" t="inlineStr">
        <is>
          <t>앤써북</t>
        </is>
      </c>
      <c r="D5" s="22" t="inlineStr">
        <is>
          <t>2026년 05월</t>
        </is>
      </c>
      <c r="E5" s="28" t="n">
        <v>23300</v>
      </c>
      <c r="F5" s="28" t="n">
        <v>20970</v>
      </c>
      <c r="G5" s="29" t="n">
        <v>29</v>
      </c>
      <c r="H5" s="29" t="n">
        <v>1839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요즘 교사를 위한 구글 AI 3대장_제미나이, 노트북LM, AI 스튜디오</t>
        </is>
      </c>
      <c r="B6" s="22" t="inlineStr">
        <is>
          <t>송명신, 최연준, 최수진, 양서현</t>
        </is>
      </c>
      <c r="C6" s="22" t="inlineStr">
        <is>
          <t>앤써북</t>
        </is>
      </c>
      <c r="D6" s="22" t="inlineStr">
        <is>
          <t>2026년 06월</t>
        </is>
      </c>
      <c r="E6" s="28" t="n">
        <v>17700</v>
      </c>
      <c r="F6" s="28" t="n">
        <v>15930</v>
      </c>
      <c r="G6" s="29" t="n">
        <v>3</v>
      </c>
      <c r="H6" s="29" t="n">
        <v>360</v>
      </c>
      <c r="I6" s="21" t="inlineStr">
        <is>
          <t>2026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2022 개정 교육과정 평가, AI로 날개를 달다 (개념기반 교육과정)</t>
        </is>
      </c>
      <c r="B7" s="22" t="inlineStr">
        <is>
          <t>지미정, 오한나, 노명호, 권의선, 김영수, 정보 더 보기/감추기, 지미정, 오한나, 노명호, 권의선, 김영수, 이진원, 장희영, 소민영, 조보현</t>
        </is>
      </c>
      <c r="C7" s="22" t="inlineStr">
        <is>
          <t>앤써북</t>
        </is>
      </c>
      <c r="D7" s="22" t="inlineStr">
        <is>
          <t>2024년 09월</t>
        </is>
      </c>
      <c r="E7" s="28" t="n">
        <v>21000</v>
      </c>
      <c r="F7" s="28" t="n">
        <v>18900</v>
      </c>
      <c r="G7" s="29" t="n">
        <v>19</v>
      </c>
      <c r="H7" s="29" t="n">
        <v>11121</v>
      </c>
      <c r="I7" s="21" t="inlineStr">
        <is>
          <t>2024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요즘 교실 혁신의 공식 AI·에듀테크 활용법 with 2022 개정 교육과정</t>
        </is>
      </c>
      <c r="B8" s="22" t="inlineStr">
        <is>
          <t>진제헌</t>
        </is>
      </c>
      <c r="C8" s="22" t="inlineStr">
        <is>
          <t>앤써북</t>
        </is>
      </c>
      <c r="D8" s="22" t="inlineStr">
        <is>
          <t>2026년 05월</t>
        </is>
      </c>
      <c r="E8" s="28" t="n">
        <v>23300</v>
      </c>
      <c r="F8" s="28" t="n">
        <v>20970</v>
      </c>
      <c r="G8" s="29" t="n">
        <v>6</v>
      </c>
      <c r="H8" s="29" t="n">
        <v>1710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요즘 교사를 위한 체육 수업 에듀테크 활용법 : 요즘 체육 수업, 에듀테크로 설계하고 기록되고 성장으로 남는다!</t>
        </is>
      </c>
      <c r="B9" s="22" t="inlineStr">
        <is>
          <t>임우균, 서지원</t>
        </is>
      </c>
      <c r="C9" s="22" t="inlineStr">
        <is>
          <t>앤써북</t>
        </is>
      </c>
      <c r="D9" s="22" t="inlineStr">
        <is>
          <t>2026년 02월</t>
        </is>
      </c>
      <c r="E9" s="28" t="n">
        <v>16800</v>
      </c>
      <c r="F9" s="28" t="n">
        <v>15120</v>
      </c>
      <c r="G9" s="29" t="n">
        <v>19</v>
      </c>
      <c r="H9" s="29" t="n">
        <v>1926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한 권으로 끝내는 피지컬 AI ROS2 입문+실전(종합편)</t>
        </is>
      </c>
      <c r="B10" s="22" t="inlineStr">
        <is>
          <t>서민우, 전현희, 이현아, 박찬호</t>
        </is>
      </c>
      <c r="C10" s="22" t="inlineStr">
        <is>
          <t>앤써북</t>
        </is>
      </c>
      <c r="D10" s="22" t="inlineStr">
        <is>
          <t>2026년 04월</t>
        </is>
      </c>
      <c r="E10" s="28" t="n">
        <v>25500</v>
      </c>
      <c r="F10" s="28" t="n">
        <v>22950</v>
      </c>
      <c r="G10" s="29" t="n">
        <v>13</v>
      </c>
      <c r="H10" s="29" t="n">
        <v>1680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교사의 변화가 수업을 바꾼다! : 수업을 바꾸는 교사의 30가지 이야기</t>
        </is>
      </c>
      <c r="B11" s="22" t="inlineStr">
        <is>
          <t>유승재</t>
        </is>
      </c>
      <c r="C11" s="22" t="inlineStr">
        <is>
          <t>앤써북</t>
        </is>
      </c>
      <c r="D11" s="22" t="inlineStr">
        <is>
          <t>2026년 04월</t>
        </is>
      </c>
      <c r="E11" s="28" t="n">
        <v>17700</v>
      </c>
      <c r="F11" s="28" t="n">
        <v>15930</v>
      </c>
      <c r="G11" s="29" t="n">
        <v>6</v>
      </c>
      <c r="H11" s="29" t="n">
        <v>777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입상 교사만 아는 아무도 말해주지 않은 디지털교육연구대회 1등급의 비밀</t>
        </is>
      </c>
      <c r="B12" s="22" t="inlineStr">
        <is>
          <t>강인성</t>
        </is>
      </c>
      <c r="C12" s="22" t="inlineStr">
        <is>
          <t>앤써북</t>
        </is>
      </c>
      <c r="D12" s="22" t="inlineStr">
        <is>
          <t>2026년 04월</t>
        </is>
      </c>
      <c r="E12" s="28" t="n">
        <v>16800</v>
      </c>
      <c r="F12" s="28" t="n">
        <v>15120</v>
      </c>
      <c r="G12" s="29" t="n">
        <v>15</v>
      </c>
      <c r="H12" s="29" t="n">
        <v>732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2022 개정과 IB 교육 철학을 적용한 초등 개념기반 탐구수업•서술형평가 설계와 실천</t>
        </is>
      </c>
      <c r="B13" s="22" t="inlineStr">
        <is>
          <t>진경오</t>
        </is>
      </c>
      <c r="C13" s="22" t="inlineStr">
        <is>
          <t>앤써북</t>
        </is>
      </c>
      <c r="D13" s="22" t="inlineStr">
        <is>
          <t>2025년 05월</t>
        </is>
      </c>
      <c r="E13" s="28" t="n">
        <v>21000</v>
      </c>
      <c r="F13" s="28" t="n">
        <v>18900</v>
      </c>
      <c r="G13" s="29" t="n">
        <v>12</v>
      </c>
      <c r="H13" s="29" t="n">
        <v>3546</v>
      </c>
      <c r="I13" s="21" t="inlineStr">
        <is>
          <t>2025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앱인벤터로 20가지 인공지능 앱 만들기 with ChatBot과 생성형AI</t>
        </is>
      </c>
      <c r="B14" s="22" t="inlineStr">
        <is>
          <t>김수연, 전진아, 장문철</t>
        </is>
      </c>
      <c r="C14" s="22" t="inlineStr">
        <is>
          <t>앤써북</t>
        </is>
      </c>
      <c r="D14" s="22" t="inlineStr">
        <is>
          <t>2024년 12월</t>
        </is>
      </c>
      <c r="E14" s="28" t="n">
        <v>18800</v>
      </c>
      <c r="F14" s="28" t="n">
        <v>16920</v>
      </c>
      <c r="G14" s="29" t="n">
        <v>4</v>
      </c>
      <c r="H14" s="29" t="n">
        <v>2700</v>
      </c>
      <c r="I14" s="21" t="inlineStr">
        <is>
          <t>2024</t>
        </is>
      </c>
      <c r="J14" s="21" t="inlineStr">
        <is>
          <t xml:space="preserve"> 1</t>
        </is>
      </c>
      <c r="K14" s="30">
        <f>(E14-F14)/IF(E14&gt;0,E14,1)</f>
        <v/>
      </c>
    </row>
    <row r="15">
      <c r="A15" s="22" t="inlineStr">
        <is>
          <t>만들면서 배우는 인공지능 엔트리와 40개의 작품들</t>
        </is>
      </c>
      <c r="B15" s="22" t="inlineStr">
        <is>
          <t>전진아, 김수연, 김종렬, 장문철</t>
        </is>
      </c>
      <c r="C15" s="22" t="inlineStr">
        <is>
          <t>앤써북</t>
        </is>
      </c>
      <c r="D15" s="22" t="inlineStr">
        <is>
          <t>2024년 08월</t>
        </is>
      </c>
      <c r="E15" s="28" t="n">
        <v>19800</v>
      </c>
      <c r="F15" s="28" t="n">
        <v>17820</v>
      </c>
      <c r="G15" s="29" t="n">
        <v>5</v>
      </c>
      <c r="H15" s="29" t="n">
        <v>1020</v>
      </c>
      <c r="I15" s="21" t="inlineStr">
        <is>
          <t>2024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교실에서 바로 쓰는 챗GPT 교사 활용법</t>
        </is>
      </c>
      <c r="B16" s="22" t="inlineStr">
        <is>
          <t>유수근</t>
        </is>
      </c>
      <c r="C16" s="22" t="inlineStr">
        <is>
          <t>앤써북</t>
        </is>
      </c>
      <c r="D16" s="22" t="inlineStr">
        <is>
          <t>2025년 01월</t>
        </is>
      </c>
      <c r="E16" s="28" t="n">
        <v>19800</v>
      </c>
      <c r="F16" s="28" t="n">
        <v>17820</v>
      </c>
      <c r="G16" s="29" t="n">
        <v>22</v>
      </c>
      <c r="H16" s="29" t="n">
        <v>3312</v>
      </c>
      <c r="I16" s="21" t="inlineStr">
        <is>
          <t>2025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오늘 바로 활용하는 챗GPT</t>
        </is>
      </c>
      <c r="B17" s="22" t="inlineStr">
        <is>
          <t>권은정, 권지선, 박준원</t>
        </is>
      </c>
      <c r="C17" s="22" t="inlineStr">
        <is>
          <t>앤써북</t>
        </is>
      </c>
      <c r="D17" s="22" t="inlineStr">
        <is>
          <t>2024년 06월</t>
        </is>
      </c>
      <c r="E17" s="28" t="n">
        <v>16700</v>
      </c>
      <c r="F17" s="28" t="n">
        <v>15030</v>
      </c>
      <c r="G17" s="29" t="n">
        <v>7</v>
      </c>
      <c r="H17" s="29" t="n">
        <v>348</v>
      </c>
      <c r="I17" s="21" t="inlineStr">
        <is>
          <t>2024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만들면서 배우는 아두이노와 40개의 작품들</t>
        </is>
      </c>
      <c r="B18" s="22" t="inlineStr">
        <is>
          <t>장문철</t>
        </is>
      </c>
      <c r="C18" s="22" t="inlineStr">
        <is>
          <t>앤써북</t>
        </is>
      </c>
      <c r="D18" s="22" t="inlineStr">
        <is>
          <t>2024년 12월</t>
        </is>
      </c>
      <c r="E18" s="28" t="n">
        <v>25500</v>
      </c>
      <c r="F18" s="28" t="n">
        <v>22950</v>
      </c>
      <c r="G18" s="29" t="n">
        <v>3</v>
      </c>
      <c r="H18" s="29" t="n">
        <v>1632</v>
      </c>
      <c r="I18" s="21" t="inlineStr">
        <is>
          <t>2024</t>
        </is>
      </c>
      <c r="J18" s="21" t="inlineStr">
        <is>
          <t xml:space="preserve"> 1</t>
        </is>
      </c>
      <c r="K18" s="30">
        <f>(E18-F18)/IF(E18&gt;0,E18,1)</f>
        <v/>
      </c>
    </row>
    <row r="19">
      <c r="A19" s="22" t="inlineStr">
        <is>
          <t>만들면서 배우는 라즈베리파이 5와 40개의 작품들</t>
        </is>
      </c>
      <c r="B19" s="22" t="inlineStr">
        <is>
          <t>장문철, 다두이노</t>
        </is>
      </c>
      <c r="C19" s="22" t="inlineStr">
        <is>
          <t>앤써북</t>
        </is>
      </c>
      <c r="D19" s="22" t="inlineStr">
        <is>
          <t>2024년 03월</t>
        </is>
      </c>
      <c r="E19" s="28" t="n">
        <v>22000</v>
      </c>
      <c r="F19" s="28" t="n">
        <v>19800</v>
      </c>
      <c r="G19" s="29" t="n">
        <v>3</v>
      </c>
      <c r="H19" s="29" t="n">
        <v>1266</v>
      </c>
      <c r="I19" s="21" t="inlineStr">
        <is>
          <t>2024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선생님을 위한 교육용 AI 챗봇 활용법</t>
        </is>
      </c>
      <c r="B20" s="22" t="inlineStr">
        <is>
          <t>임세범, 박지은, 나희정, 조정연</t>
        </is>
      </c>
      <c r="C20" s="22" t="inlineStr">
        <is>
          <t>앤써북</t>
        </is>
      </c>
      <c r="D20" s="22" t="inlineStr">
        <is>
          <t>2025년 06월</t>
        </is>
      </c>
      <c r="E20" s="28" t="n">
        <v>22500</v>
      </c>
      <c r="F20" s="28" t="n">
        <v>20250</v>
      </c>
      <c r="G20" s="29" t="n">
        <v>10</v>
      </c>
      <c r="H20" s="29" t="n">
        <v>1980</v>
      </c>
      <c r="I20" s="21" t="inlineStr">
        <is>
          <t>2025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바로 배워 바로 쓰는 챗봇 수업디자인 A~Z</t>
        </is>
      </c>
      <c r="B21" s="22" t="inlineStr">
        <is>
          <t>김은현, 박소현, 백진희, 이서연, 이유진, 정보 더 보기/감추기, 김은현, 박소현, 백진희, 이서연, 이유진, 이효진, 정은서</t>
        </is>
      </c>
      <c r="C21" s="22" t="inlineStr">
        <is>
          <t>앤써북</t>
        </is>
      </c>
      <c r="D21" s="22" t="inlineStr">
        <is>
          <t>2026년 01월</t>
        </is>
      </c>
      <c r="E21" s="28" t="n">
        <v>24000</v>
      </c>
      <c r="F21" s="28" t="n">
        <v>21600</v>
      </c>
      <c r="G21" s="29" t="n">
        <v>9</v>
      </c>
      <c r="H21" s="29" t="n">
        <v>564</v>
      </c>
      <c r="I21" s="21" t="inlineStr">
        <is>
          <t>2026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라즈베리파이 5로 배우는 AI 인공지능 자율주행 자동차 만들기 + 데이터 수집 · 학습 + 딥러닝</t>
        </is>
      </c>
      <c r="B22" s="22" t="inlineStr">
        <is>
          <t>장문철</t>
        </is>
      </c>
      <c r="C22" s="22" t="inlineStr">
        <is>
          <t>앤써북</t>
        </is>
      </c>
      <c r="D22" s="22" t="inlineStr">
        <is>
          <t>2026년 06월</t>
        </is>
      </c>
      <c r="E22" s="28" t="n">
        <v>24400</v>
      </c>
      <c r="F22" s="28" t="n">
        <v>21960</v>
      </c>
      <c r="G22" s="29" t="n">
        <v>0</v>
      </c>
      <c r="H22" s="29" t="n">
        <v>60</v>
      </c>
      <c r="I22" s="21" t="inlineStr">
        <is>
          <t>2026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만들면서 배우는 아두이노 IoT 사물인터넷과 40개의 작품들</t>
        </is>
      </c>
      <c r="B23" s="22" t="inlineStr">
        <is>
          <t>장문철</t>
        </is>
      </c>
      <c r="C23" s="22" t="inlineStr">
        <is>
          <t>앤써북</t>
        </is>
      </c>
      <c r="D23" s="22" t="inlineStr">
        <is>
          <t>2024년 04월</t>
        </is>
      </c>
      <c r="E23" s="28" t="n">
        <v>26600</v>
      </c>
      <c r="F23" s="28" t="n">
        <v>23940</v>
      </c>
      <c r="G23" s="29" t="n">
        <v>3</v>
      </c>
      <c r="H23" s="29" t="n">
        <v>672</v>
      </c>
      <c r="I23" s="21" t="inlineStr">
        <is>
          <t>2024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파이썬 데이터 분석 &amp; 시각화 + 웹 대시보드 제작하기</t>
        </is>
      </c>
      <c r="B24" s="22" t="inlineStr">
        <is>
          <t>박찬의</t>
        </is>
      </c>
      <c r="C24" s="22" t="inlineStr">
        <is>
          <t>앤써북</t>
        </is>
      </c>
      <c r="D24" s="22" t="inlineStr">
        <is>
          <t>2024년 01월</t>
        </is>
      </c>
      <c r="E24" s="28" t="n">
        <v>17700</v>
      </c>
      <c r="F24" s="28" t="n">
        <v>15930</v>
      </c>
      <c r="G24" s="29" t="n">
        <v>13</v>
      </c>
      <c r="H24" s="29" t="n">
        <v>564</v>
      </c>
      <c r="I24" s="21" t="inlineStr">
        <is>
          <t>2024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만들면서 배우는 지속가능한 인공지능 AI 18개 작품 만들기</t>
        </is>
      </c>
      <c r="B25" s="22" t="inlineStr">
        <is>
          <t>박준원, 권은정, 권지선</t>
        </is>
      </c>
      <c r="C25" s="22" t="inlineStr">
        <is>
          <t>앤써북</t>
        </is>
      </c>
      <c r="D25" s="22" t="inlineStr">
        <is>
          <t>2023년 01월</t>
        </is>
      </c>
      <c r="E25" s="28" t="n">
        <v>16600</v>
      </c>
      <c r="F25" s="28" t="n">
        <v>14940</v>
      </c>
      <c r="G25" s="29" t="n">
        <v>12</v>
      </c>
      <c r="H25" s="29" t="n">
        <v>228</v>
      </c>
      <c r="I25" s="21" t="inlineStr">
        <is>
          <t>2023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챗GPT를 활용한 아두이노 입문</t>
        </is>
      </c>
      <c r="B26" s="22" t="inlineStr">
        <is>
          <t>장문철, 박준원</t>
        </is>
      </c>
      <c r="C26" s="22" t="inlineStr">
        <is>
          <t>앤써북</t>
        </is>
      </c>
      <c r="D26" s="22" t="inlineStr">
        <is>
          <t>2023년 04월</t>
        </is>
      </c>
      <c r="E26" s="28" t="n">
        <v>17700</v>
      </c>
      <c r="F26" s="28" t="n">
        <v>15930</v>
      </c>
      <c r="G26" s="29" t="n">
        <v>6</v>
      </c>
      <c r="H26" s="29" t="n">
        <v>156</v>
      </c>
      <c r="I26" s="21" t="inlineStr">
        <is>
          <t>2023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교실에서 바로 통하는 배움중심수업 에듀테크와 AI로 확!잡자</t>
        </is>
      </c>
      <c r="B27" s="22" t="inlineStr">
        <is>
          <t>유수근</t>
        </is>
      </c>
      <c r="C27" s="22" t="inlineStr">
        <is>
          <t>앤써북</t>
        </is>
      </c>
      <c r="D27" s="22" t="inlineStr">
        <is>
          <t>2024년 06월</t>
        </is>
      </c>
      <c r="E27" s="28" t="n">
        <v>15500</v>
      </c>
      <c r="F27" s="28" t="n">
        <v>13950</v>
      </c>
      <c r="G27" s="29" t="n">
        <v>16</v>
      </c>
      <c r="H27" s="29" t="n">
        <v>1194</v>
      </c>
      <c r="I27" s="21" t="inlineStr">
        <is>
          <t>2024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챗GPT와 파이썬으로 주식 자동매매 앱 및 웹 투자 리포트 만들기</t>
        </is>
      </c>
      <c r="B28" s="22" t="inlineStr">
        <is>
          <t>박찬의</t>
        </is>
      </c>
      <c r="C28" s="22" t="inlineStr">
        <is>
          <t>앤써북</t>
        </is>
      </c>
      <c r="D28" s="22" t="inlineStr">
        <is>
          <t>2024년 05월</t>
        </is>
      </c>
      <c r="E28" s="28" t="n">
        <v>16800</v>
      </c>
      <c r="F28" s="28" t="n">
        <v>15120</v>
      </c>
      <c r="G28" s="29" t="n">
        <v>15</v>
      </c>
      <c r="H28" s="29" t="n">
        <v>774</v>
      </c>
      <c r="I28" s="21" t="inlineStr">
        <is>
          <t>2024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교실에서 바로 통하는 하이테크 에듀테크 미래교육 실전활용법</t>
        </is>
      </c>
      <c r="B29" s="22" t="inlineStr">
        <is>
          <t>김병남, 유경윤, 이종상, 박민, 박준원</t>
        </is>
      </c>
      <c r="C29" s="22" t="inlineStr">
        <is>
          <t>앤써북</t>
        </is>
      </c>
      <c r="D29" s="22" t="inlineStr">
        <is>
          <t>2024년 06월</t>
        </is>
      </c>
      <c r="E29" s="28" t="n">
        <v>18800</v>
      </c>
      <c r="F29" s="28" t="n">
        <v>16920</v>
      </c>
      <c r="G29" s="29" t="n">
        <v>13</v>
      </c>
      <c r="H29" s="29" t="n">
        <v>702</v>
      </c>
      <c r="I29" s="21" t="inlineStr">
        <is>
          <t>2024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챗GPT &amp; AI 31가지 실전 활용</t>
        </is>
      </c>
      <c r="B30" s="22" t="inlineStr">
        <is>
          <t>권지선, 박지해, 서산화, 한지아</t>
        </is>
      </c>
      <c r="C30" s="22" t="inlineStr">
        <is>
          <t>앤써북</t>
        </is>
      </c>
      <c r="D30" s="22" t="inlineStr">
        <is>
          <t>2023년 04월</t>
        </is>
      </c>
      <c r="E30" s="28" t="n">
        <v>17700</v>
      </c>
      <c r="F30" s="28" t="n">
        <v>15930</v>
      </c>
      <c r="G30" s="29" t="n">
        <v>23</v>
      </c>
      <c r="H30" s="29" t="n">
        <v>498</v>
      </c>
      <c r="I30" s="21" t="inlineStr">
        <is>
          <t>2023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마이크로비트 IoT 사물인터넷 정복</t>
        </is>
      </c>
      <c r="B31" s="22" t="inlineStr">
        <is>
          <t>이연곤</t>
        </is>
      </c>
      <c r="C31" s="22" t="inlineStr">
        <is>
          <t>앤써북</t>
        </is>
      </c>
      <c r="D31" s="22" t="inlineStr">
        <is>
          <t>2022년 08월</t>
        </is>
      </c>
      <c r="E31" s="28" t="n">
        <v>18800</v>
      </c>
      <c r="F31" s="28" t="n">
        <v>16920</v>
      </c>
      <c r="G31" s="29" t="n">
        <v>10</v>
      </c>
      <c r="H31" s="29" t="n">
        <v>354</v>
      </c>
      <c r="I31" s="21" t="inlineStr">
        <is>
          <t>2022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아두이노로 코딩하며 배우는 딥러닝</t>
        </is>
      </c>
      <c r="B32" s="22" t="inlineStr">
        <is>
          <t>서민우</t>
        </is>
      </c>
      <c r="C32" s="22" t="inlineStr">
        <is>
          <t>앤써북</t>
        </is>
      </c>
      <c r="D32" s="22" t="inlineStr">
        <is>
          <t>2021년 06월</t>
        </is>
      </c>
      <c r="E32" s="28" t="n">
        <v>20800</v>
      </c>
      <c r="F32" s="28" t="n">
        <v>18720</v>
      </c>
      <c r="G32" s="29" t="n">
        <v>6</v>
      </c>
      <c r="H32" s="29" t="n">
        <v>66</v>
      </c>
      <c r="I32" s="21" t="inlineStr">
        <is>
          <t>2021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코딩 1도 몰라도 커서 AI와 대화하며 7가지 프로그램 만들기</t>
        </is>
      </c>
      <c r="B33" s="22" t="inlineStr">
        <is>
          <t>이상용, 정동진</t>
        </is>
      </c>
      <c r="C33" s="22" t="inlineStr">
        <is>
          <t>앤써북</t>
        </is>
      </c>
      <c r="D33" s="22" t="inlineStr">
        <is>
          <t>2025년 10월</t>
        </is>
      </c>
      <c r="E33" s="28" t="n">
        <v>18000</v>
      </c>
      <c r="F33" s="28" t="n">
        <v>16200</v>
      </c>
      <c r="G33" s="29" t="n">
        <v>21</v>
      </c>
      <c r="H33" s="29" t="n">
        <v>870</v>
      </c>
      <c r="I33" s="21" t="inlineStr">
        <is>
          <t>2025</t>
        </is>
      </c>
      <c r="J33" s="21" t="inlineStr">
        <is>
          <t xml:space="preserve"> 1</t>
        </is>
      </c>
      <c r="K33" s="30">
        <f>(E33-F33)/IF(E33&gt;0,E33,1)</f>
        <v/>
      </c>
    </row>
    <row r="34">
      <c r="A34" s="22" t="inlineStr">
        <is>
          <t>라즈베리파이 5로 배우는 AI 인공지능 자율주행 자동차 만들기 + 데이터 수집 · 학습 + 딥러닝</t>
        </is>
      </c>
      <c r="B34" s="22" t="inlineStr">
        <is>
          <t>장문철</t>
        </is>
      </c>
      <c r="C34" s="22" t="inlineStr">
        <is>
          <t>앤써북</t>
        </is>
      </c>
      <c r="D34" s="22" t="inlineStr">
        <is>
          <t>2024년 06월</t>
        </is>
      </c>
      <c r="E34" s="28" t="n">
        <v>24400</v>
      </c>
      <c r="F34" s="28" t="n">
        <v>21960</v>
      </c>
      <c r="G34" s="29" t="n">
        <v>2</v>
      </c>
      <c r="H34" s="29" t="n">
        <v>690</v>
      </c>
      <c r="I34" s="21" t="inlineStr">
        <is>
          <t>2024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만들면서 배우는 40개의 엔트리 게임 + 인공지능 게임</t>
        </is>
      </c>
      <c r="B35" s="22" t="inlineStr">
        <is>
          <t>전진아, 김수연</t>
        </is>
      </c>
      <c r="C35" s="22" t="inlineStr">
        <is>
          <t>앤써북</t>
        </is>
      </c>
      <c r="D35" s="22" t="inlineStr">
        <is>
          <t>2024년 09월</t>
        </is>
      </c>
      <c r="E35" s="28" t="n">
        <v>21000</v>
      </c>
      <c r="F35" s="28" t="n">
        <v>18900</v>
      </c>
      <c r="G35" s="29" t="n">
        <v>6</v>
      </c>
      <c r="H35" s="29" t="n">
        <v>582</v>
      </c>
      <c r="I35" s="21" t="inlineStr">
        <is>
          <t>2024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챗GPT를 활용한 40가지 파이썬 프로그램 만들기</t>
        </is>
      </c>
      <c r="B36" s="22" t="inlineStr">
        <is>
          <t>장문철</t>
        </is>
      </c>
      <c r="C36" s="22" t="inlineStr">
        <is>
          <t>앤써북</t>
        </is>
      </c>
      <c r="D36" s="22" t="inlineStr">
        <is>
          <t>2023년 04월</t>
        </is>
      </c>
      <c r="E36" s="28" t="n">
        <v>17700</v>
      </c>
      <c r="F36" s="28" t="n">
        <v>15930</v>
      </c>
      <c r="G36" s="29" t="n">
        <v>16</v>
      </c>
      <c r="H36" s="29" t="n">
        <v>378</v>
      </c>
      <c r="I36" s="21" t="inlineStr">
        <is>
          <t>2023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AI 인공지능 드론 만들고 날리고 딥러닝 구현하기</t>
        </is>
      </c>
      <c r="B37" s="22" t="inlineStr">
        <is>
          <t>서민우</t>
        </is>
      </c>
      <c r="C37" s="22" t="inlineStr">
        <is>
          <t>앤써북</t>
        </is>
      </c>
      <c r="D37" s="22" t="inlineStr">
        <is>
          <t>2023년 05월</t>
        </is>
      </c>
      <c r="E37" s="28" t="n">
        <v>26000</v>
      </c>
      <c r="F37" s="28" t="n">
        <v>23400</v>
      </c>
      <c r="G37" s="29" t="n">
        <v>0</v>
      </c>
      <c r="H37" s="29" t="n">
        <v>306</v>
      </c>
      <c r="I37" s="21" t="inlineStr">
        <is>
          <t>2023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파이썬과 AI 인공지능 카메라를 활용한 자율주행 자동차</t>
        </is>
      </c>
      <c r="B38" s="22" t="inlineStr">
        <is>
          <t>장문철</t>
        </is>
      </c>
      <c r="C38" s="22" t="inlineStr">
        <is>
          <t>앤써북</t>
        </is>
      </c>
      <c r="D38" s="22" t="inlineStr">
        <is>
          <t>2024년 08월</t>
        </is>
      </c>
      <c r="E38" s="28" t="n">
        <v>25500</v>
      </c>
      <c r="F38" s="28" t="n">
        <v>22950</v>
      </c>
      <c r="G38" s="29" t="n">
        <v>2</v>
      </c>
      <c r="H38" s="29" t="n">
        <v>312</v>
      </c>
      <c r="I38" s="21" t="inlineStr">
        <is>
          <t>2024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3" t="inlineStr">
        <is>
          <t>합계 및 평균 요약</t>
        </is>
      </c>
      <c r="B39" s="31" t="n"/>
      <c r="C39" s="31" t="n"/>
      <c r="D39" s="31" t="n"/>
      <c r="E39" s="25">
        <f>AVERAGE(E2:E38)</f>
        <v/>
      </c>
      <c r="F39" s="25">
        <f>AVERAGE(F2:F38)</f>
        <v/>
      </c>
      <c r="G39" s="24">
        <f>SUM(G2:G38)</f>
        <v/>
      </c>
      <c r="H39" s="24">
        <f>SUM(H2:H38)</f>
        <v/>
      </c>
      <c r="I39" s="31" t="n"/>
      <c r="J39" s="31" t="n"/>
      <c r="K39" s="26">
        <f>AVERAGE(K2:K38)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14" customWidth="1" min="4" max="4"/>
    <col width="19" customWidth="1" min="5" max="5"/>
    <col width="19" customWidth="1" min="6" max="6"/>
    <col width="15" customWidth="1" min="7" max="7"/>
    <col width="15" customWidth="1" min="8" max="8"/>
    <col width="11" customWidth="1" min="9" max="9"/>
    <col width="10" customWidth="1" min="10" max="10"/>
    <col width="29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클로드 코드를 활용한 바이브 코딩 완벽 입문</t>
        </is>
      </c>
      <c r="B2" s="22" t="inlineStr">
        <is>
          <t>히라카와 토모히데, 최용</t>
        </is>
      </c>
      <c r="C2" s="22" t="inlineStr">
        <is>
          <t>위키북스</t>
        </is>
      </c>
      <c r="D2" s="22" t="inlineStr">
        <is>
          <t>2026년 03월</t>
        </is>
      </c>
      <c r="E2" s="28" t="n">
        <v>26000</v>
      </c>
      <c r="F2" s="28" t="n">
        <v>23400</v>
      </c>
      <c r="G2" s="29" t="n">
        <v>8</v>
      </c>
      <c r="H2" s="29" t="n">
        <v>15519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AI 에이전트 개발 완벽 입문</t>
        </is>
      </c>
      <c r="B3" s="22" t="inlineStr">
        <is>
          <t>에디 유, 김대규, 조경아, 김현지</t>
        </is>
      </c>
      <c r="C3" s="22" t="inlineStr">
        <is>
          <t>위키북스</t>
        </is>
      </c>
      <c r="D3" s="22" t="inlineStr">
        <is>
          <t>2026년 04월</t>
        </is>
      </c>
      <c r="E3" s="28" t="n">
        <v>42000</v>
      </c>
      <c r="F3" s="28" t="n">
        <v>37800</v>
      </c>
      <c r="G3" s="29" t="n">
        <v>21</v>
      </c>
      <c r="H3" s="29" t="n">
        <v>6285</v>
      </c>
      <c r="I3" s="21" t="inlineStr">
        <is>
          <t>2026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MCP 실전 활용 &amp; 서버 개발 핵심 가이드</t>
        </is>
      </c>
      <c r="B4" s="22" t="inlineStr">
        <is>
          <t>AI튜터랩</t>
        </is>
      </c>
      <c r="C4" s="22" t="inlineStr">
        <is>
          <t>위키북스</t>
        </is>
      </c>
      <c r="D4" s="22" t="inlineStr">
        <is>
          <t>2025년 11월</t>
        </is>
      </c>
      <c r="E4" s="28" t="n">
        <v>28000</v>
      </c>
      <c r="F4" s="28" t="n">
        <v>25200</v>
      </c>
      <c r="G4" s="29" t="n">
        <v>1</v>
      </c>
      <c r="H4" s="29" t="n">
        <v>2871</v>
      </c>
      <c r="I4" s="21" t="inlineStr">
        <is>
          <t>2025</t>
        </is>
      </c>
      <c r="J4" s="21" t="inlineStr">
        <is>
          <t xml:space="preserve"> 1</t>
        </is>
      </c>
      <c r="K4" s="30">
        <f>(E4-F4)/IF(E4&gt;0,E4,1)</f>
        <v/>
      </c>
    </row>
    <row r="5">
      <c r="A5" s="22" t="inlineStr">
        <is>
          <t>UX/UI 디자인 워크숍 with AI</t>
        </is>
      </c>
      <c r="B5" s="22" t="inlineStr">
        <is>
          <t>윤하린</t>
        </is>
      </c>
      <c r="C5" s="22" t="inlineStr">
        <is>
          <t>위키북스</t>
        </is>
      </c>
      <c r="D5" s="22" t="inlineStr">
        <is>
          <t>2025년 10월</t>
        </is>
      </c>
      <c r="E5" s="28" t="n">
        <v>25000</v>
      </c>
      <c r="F5" s="28" t="n">
        <v>22500</v>
      </c>
      <c r="G5" s="29" t="n">
        <v>0</v>
      </c>
      <c r="H5" s="29" t="n">
        <v>840</v>
      </c>
      <c r="I5" s="21" t="inlineStr">
        <is>
          <t>2025</t>
        </is>
      </c>
      <c r="J5" s="21" t="inlineStr">
        <is>
          <t xml:space="preserve"> 1</t>
        </is>
      </c>
      <c r="K5" s="30">
        <f>(E5-F5)/IF(E5&gt;0,E5,1)</f>
        <v/>
      </c>
    </row>
    <row r="6">
      <c r="A6" s="22" t="inlineStr">
        <is>
          <t>나야, 구글 에듀테크. 질문이 답이 되는 제미나이 수업 솔루션</t>
        </is>
      </c>
      <c r="B6" s="22" t="inlineStr">
        <is>
          <t>장승아, 조원정</t>
        </is>
      </c>
      <c r="C6" s="22" t="inlineStr">
        <is>
          <t>위키북스</t>
        </is>
      </c>
      <c r="D6" s="22" t="inlineStr">
        <is>
          <t>2026년 03월</t>
        </is>
      </c>
      <c r="E6" s="28" t="n">
        <v>24000</v>
      </c>
      <c r="F6" s="28" t="n">
        <v>21600</v>
      </c>
      <c r="G6" s="29" t="n">
        <v>0</v>
      </c>
      <c r="H6" s="29" t="n">
        <v>885</v>
      </c>
      <c r="I6" s="21" t="inlineStr">
        <is>
          <t>2026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올라마와 오픈소스 LLM을 활용한 AI 에이전트 개발 입문</t>
        </is>
      </c>
      <c r="B7" s="22" t="inlineStr">
        <is>
          <t>서영배, 김병규, 임재봉</t>
        </is>
      </c>
      <c r="C7" s="22" t="inlineStr">
        <is>
          <t>위키북스</t>
        </is>
      </c>
      <c r="D7" s="22" t="inlineStr">
        <is>
          <t>2026년 01월</t>
        </is>
      </c>
      <c r="E7" s="28" t="n">
        <v>28000</v>
      </c>
      <c r="F7" s="28" t="n">
        <v>25200</v>
      </c>
      <c r="G7" s="29" t="n">
        <v>2</v>
      </c>
      <c r="H7" s="29" t="n">
        <v>2109</v>
      </c>
      <c r="I7" s="21" t="inlineStr">
        <is>
          <t>2026</t>
        </is>
      </c>
      <c r="J7" s="21" t="inlineStr">
        <is>
          <t xml:space="preserve"> 0</t>
        </is>
      </c>
      <c r="K7" s="30">
        <f>(E7-F7)/IF(E7&gt;0,E7,1)</f>
        <v/>
      </c>
    </row>
    <row r="8">
      <c r="A8" s="22" t="inlineStr">
        <is>
          <t>스프링 AI 인 액션</t>
        </is>
      </c>
      <c r="B8" s="22" t="inlineStr">
        <is>
          <t>크레이그 월즈, 류광, 307번역랩</t>
        </is>
      </c>
      <c r="C8" s="22" t="inlineStr">
        <is>
          <t>위키북스</t>
        </is>
      </c>
      <c r="D8" s="22" t="inlineStr">
        <is>
          <t>2026년 04월</t>
        </is>
      </c>
      <c r="E8" s="28" t="n">
        <v>32000</v>
      </c>
      <c r="F8" s="28" t="n">
        <v>28800</v>
      </c>
      <c r="G8" s="29" t="n">
        <v>0</v>
      </c>
      <c r="H8" s="29" t="n">
        <v>426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한 권으로 끝내는 실전 LLM 파인튜닝</t>
        </is>
      </c>
      <c r="B9" s="22" t="inlineStr">
        <is>
          <t>강다솔</t>
        </is>
      </c>
      <c r="C9" s="22" t="inlineStr">
        <is>
          <t>위키북스</t>
        </is>
      </c>
      <c r="D9" s="22" t="inlineStr">
        <is>
          <t>2026년 02월</t>
        </is>
      </c>
      <c r="E9" s="28" t="n">
        <v>32000</v>
      </c>
      <c r="F9" s="28" t="n">
        <v>28800</v>
      </c>
      <c r="G9" s="29" t="n">
        <v>0</v>
      </c>
      <c r="H9" s="29" t="n">
        <v>1014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OpenAI API와 파이썬으로 나만의 챗GPT 만들기</t>
        </is>
      </c>
      <c r="B10" s="22" t="inlineStr">
        <is>
          <t>후루카와 쇼이치, 오기와라 유이, 최용</t>
        </is>
      </c>
      <c r="C10" s="22" t="inlineStr">
        <is>
          <t>위키북스</t>
        </is>
      </c>
      <c r="D10" s="22" t="inlineStr">
        <is>
          <t>2024년 04월</t>
        </is>
      </c>
      <c r="E10" s="28" t="n">
        <v>24000</v>
      </c>
      <c r="F10" s="28" t="n">
        <v>21600</v>
      </c>
      <c r="G10" s="29" t="n">
        <v>7</v>
      </c>
      <c r="H10" s="29" t="n">
        <v>366</v>
      </c>
      <c r="I10" s="21" t="inlineStr">
        <is>
          <t>2024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랭체인과 랭그래프로 구현하는 RAG·AI 에이전트 실전 입문</t>
        </is>
      </c>
      <c r="B11" s="22" t="inlineStr">
        <is>
          <t>니시미 마사히로, 요시다 신고, 오시마 유키, 최용</t>
        </is>
      </c>
      <c r="C11" s="22" t="inlineStr">
        <is>
          <t>위키북스</t>
        </is>
      </c>
      <c r="D11" s="22" t="inlineStr">
        <is>
          <t>2025년 06월</t>
        </is>
      </c>
      <c r="E11" s="28" t="n">
        <v>35000</v>
      </c>
      <c r="F11" s="28" t="n">
        <v>31500</v>
      </c>
      <c r="G11" s="29" t="n">
        <v>0</v>
      </c>
      <c r="H11" s="29" t="n">
        <v>1974</v>
      </c>
      <c r="I11" s="21" t="inlineStr">
        <is>
          <t>2025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챗GPT는 거들 뿐, 생기부는 내가 쓴다</t>
        </is>
      </c>
      <c r="B12" s="22" t="inlineStr">
        <is>
          <t>장승아, 조원정</t>
        </is>
      </c>
      <c r="C12" s="22" t="inlineStr">
        <is>
          <t>위키북스</t>
        </is>
      </c>
      <c r="D12" s="22" t="inlineStr">
        <is>
          <t>2025년 09월</t>
        </is>
      </c>
      <c r="E12" s="28" t="n">
        <v>16000</v>
      </c>
      <c r="F12" s="28" t="n">
        <v>14400</v>
      </c>
      <c r="G12" s="29" t="n">
        <v>0</v>
      </c>
      <c r="H12" s="29" t="n">
        <v>2160</v>
      </c>
      <c r="I12" s="21" t="inlineStr">
        <is>
          <t>2025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리액트 인터뷰 가이드</t>
        </is>
      </c>
      <c r="B13" s="22" t="inlineStr">
        <is>
          <t>수디르 조나, 앤드류 바이스덴, 김용찬, 강주희</t>
        </is>
      </c>
      <c r="C13" s="22" t="inlineStr">
        <is>
          <t>위키북스</t>
        </is>
      </c>
      <c r="D13" s="22" t="inlineStr">
        <is>
          <t>2024년 08월</t>
        </is>
      </c>
      <c r="E13" s="28" t="n">
        <v>28000</v>
      </c>
      <c r="F13" s="28" t="n">
        <v>25200</v>
      </c>
      <c r="G13" s="29" t="n">
        <v>5</v>
      </c>
      <c r="H13" s="29" t="n">
        <v>150</v>
      </c>
      <c r="I13" s="21" t="inlineStr">
        <is>
          <t>2024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머신러닝 시스템 디자인 패턴</t>
        </is>
      </c>
      <c r="B14" s="22" t="inlineStr">
        <is>
          <t>시부이 유우스케, 하승민</t>
        </is>
      </c>
      <c r="C14" s="22" t="inlineStr">
        <is>
          <t>위키북스</t>
        </is>
      </c>
      <c r="D14" s="22" t="inlineStr">
        <is>
          <t>2021년 11월</t>
        </is>
      </c>
      <c r="E14" s="28" t="n">
        <v>32000</v>
      </c>
      <c r="F14" s="28" t="n">
        <v>28800</v>
      </c>
      <c r="G14" s="29" t="n">
        <v>1</v>
      </c>
      <c r="H14" s="29" t="n">
        <v>84</v>
      </c>
      <c r="I14" s="21" t="inlineStr">
        <is>
          <t>2021</t>
        </is>
      </c>
      <c r="J14" s="21" t="inlineStr">
        <is>
          <t xml:space="preserve"> 1</t>
        </is>
      </c>
      <c r="K14" s="30">
        <f>(E14-F14)/IF(E14&gt;0,E14,1)</f>
        <v/>
      </c>
    </row>
    <row r="15">
      <c r="A15" s="22" t="inlineStr">
        <is>
          <t>실전! 딥러닝</t>
        </is>
      </c>
      <c r="B15" s="22" t="inlineStr">
        <is>
          <t>오타 미쯔히사, 수도 코다이, 쿠로사와 타쿠마, 오다 다이스케, 손민규</t>
        </is>
      </c>
      <c r="C15" s="22" t="inlineStr">
        <is>
          <t>위키북스</t>
        </is>
      </c>
      <c r="D15" s="22" t="inlineStr">
        <is>
          <t>2019년 02월</t>
        </is>
      </c>
      <c r="E15" s="28" t="n">
        <v>25000</v>
      </c>
      <c r="F15" s="28" t="n">
        <v>22500</v>
      </c>
      <c r="G15" s="29" t="n">
        <v>0</v>
      </c>
      <c r="H15" s="29" t="n">
        <v>60</v>
      </c>
      <c r="I15" s="21" t="inlineStr">
        <is>
          <t>2019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실전! 프로젝트로 배우는 딥러닝 컴퓨터비전</t>
        </is>
      </c>
      <c r="B16" s="22" t="inlineStr">
        <is>
          <t>김혜진, 왕진영</t>
        </is>
      </c>
      <c r="C16" s="22" t="inlineStr">
        <is>
          <t>위키북스</t>
        </is>
      </c>
      <c r="D16" s="22" t="inlineStr">
        <is>
          <t>2025년 08월</t>
        </is>
      </c>
      <c r="E16" s="28" t="n">
        <v>35000</v>
      </c>
      <c r="F16" s="28" t="n">
        <v>31500</v>
      </c>
      <c r="G16" s="29" t="n">
        <v>2</v>
      </c>
      <c r="H16" s="29" t="n">
        <v>912</v>
      </c>
      <c r="I16" s="21" t="inlineStr">
        <is>
          <t>2025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AI 코딩 어시스턴트 깃허브 코파일럿 제대로 활용하기</t>
        </is>
      </c>
      <c r="B17" s="22" t="inlineStr">
        <is>
          <t>레오 포터, 다니엘 진가로, 김연지</t>
        </is>
      </c>
      <c r="C17" s="22" t="inlineStr">
        <is>
          <t>위키북스</t>
        </is>
      </c>
      <c r="D17" s="22" t="inlineStr">
        <is>
          <t>2024년 05월</t>
        </is>
      </c>
      <c r="E17" s="28" t="n">
        <v>28000</v>
      </c>
      <c r="F17" s="28" t="n">
        <v>25200</v>
      </c>
      <c r="G17" s="29" t="n">
        <v>2</v>
      </c>
      <c r="H17" s="29" t="n">
        <v>684</v>
      </c>
      <c r="I17" s="21" t="inlineStr">
        <is>
          <t>2024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AI가 훔쳐간 인문학</t>
        </is>
      </c>
      <c r="B18" s="22" t="inlineStr">
        <is>
          <t>김철수</t>
        </is>
      </c>
      <c r="C18" s="22" t="inlineStr">
        <is>
          <t>위키북스</t>
        </is>
      </c>
      <c r="D18" s="22" t="inlineStr">
        <is>
          <t>2024년 06월</t>
        </is>
      </c>
      <c r="E18" s="28" t="n">
        <v>16000</v>
      </c>
      <c r="F18" s="28" t="n">
        <v>14400</v>
      </c>
      <c r="G18" s="29" t="n">
        <v>10</v>
      </c>
      <c r="H18" s="29" t="n">
        <v>345</v>
      </c>
      <c r="I18" s="21" t="inlineStr">
        <is>
          <t>2024</t>
        </is>
      </c>
      <c r="J18" s="21" t="inlineStr">
        <is>
          <t xml:space="preserve"> 0</t>
        </is>
      </c>
      <c r="K18" s="30">
        <f>(E18-F18)/IF(E18&gt;0,E18,1)</f>
        <v/>
      </c>
    </row>
    <row r="19">
      <c r="A19" s="22" t="inlineStr">
        <is>
          <t>LLM과 RAG로 구현하는 AI 애플리케이션</t>
        </is>
      </c>
      <c r="B19" s="22" t="inlineStr">
        <is>
          <t>에디 유, 대니얼 김, 김현지</t>
        </is>
      </c>
      <c r="C19" s="22" t="inlineStr">
        <is>
          <t>위키북스</t>
        </is>
      </c>
      <c r="D19" s="22" t="inlineStr">
        <is>
          <t>2025년 07월</t>
        </is>
      </c>
      <c r="E19" s="28" t="n">
        <v>30000</v>
      </c>
      <c r="F19" s="28" t="n">
        <v>27000</v>
      </c>
      <c r="G19" s="29" t="n">
        <v>3</v>
      </c>
      <c r="H19" s="29" t="n">
        <v>1353</v>
      </c>
      <c r="I19" s="21" t="inlineStr">
        <is>
          <t>2025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파이토치 트랜스포머를 활용한 자연어 처리와 컴퓨터비전 심층학습</t>
        </is>
      </c>
      <c r="B20" s="22" t="inlineStr">
        <is>
          <t>윤대희, 김동화, 송종민, 진현두</t>
        </is>
      </c>
      <c r="C20" s="22" t="inlineStr">
        <is>
          <t>위키북스</t>
        </is>
      </c>
      <c r="D20" s="22" t="inlineStr">
        <is>
          <t>2023년 10월</t>
        </is>
      </c>
      <c r="E20" s="28" t="n">
        <v>48000</v>
      </c>
      <c r="F20" s="28" t="n">
        <v>43200</v>
      </c>
      <c r="G20" s="29" t="n">
        <v>11</v>
      </c>
      <c r="H20" s="29" t="n">
        <v>822</v>
      </c>
      <c r="I20" s="21" t="inlineStr">
        <is>
          <t>2023</t>
        </is>
      </c>
      <c r="J20" s="21" t="inlineStr">
        <is>
          <t xml:space="preserve"> 1</t>
        </is>
      </c>
      <c r="K20" s="30">
        <f>(E20-F20)/IF(E20&gt;0,E20,1)</f>
        <v/>
      </c>
    </row>
    <row r="21">
      <c r="A21" s="22" t="inlineStr">
        <is>
          <t>LLM 디자인 패턴</t>
        </is>
      </c>
      <c r="B21" s="22" t="inlineStr">
        <is>
          <t>켄 황, 최용</t>
        </is>
      </c>
      <c r="C21" s="22" t="inlineStr">
        <is>
          <t>위키북스</t>
        </is>
      </c>
      <c r="D21" s="22" t="inlineStr">
        <is>
          <t>2025년 11월</t>
        </is>
      </c>
      <c r="E21" s="28" t="n">
        <v>35000</v>
      </c>
      <c r="F21" s="28" t="n">
        <v>31500</v>
      </c>
      <c r="G21" s="29" t="n">
        <v>0</v>
      </c>
      <c r="H21" s="29" t="n">
        <v>498</v>
      </c>
      <c r="I21" s="21" t="inlineStr">
        <is>
          <t>2025</t>
        </is>
      </c>
      <c r="J21" s="21" t="inlineStr">
        <is>
          <t xml:space="preserve"> 1</t>
        </is>
      </c>
      <c r="K21" s="30">
        <f>(E21-F21)/IF(E21&gt;0,E21,1)</f>
        <v/>
      </c>
    </row>
    <row r="22">
      <c r="A22" s="22" t="inlineStr">
        <is>
          <t>딥러닝을 위한 수학</t>
        </is>
      </c>
      <c r="B22" s="22" t="inlineStr">
        <is>
          <t>아카이시 마사노리, 신상재</t>
        </is>
      </c>
      <c r="C22" s="22" t="inlineStr">
        <is>
          <t>위키북스</t>
        </is>
      </c>
      <c r="D22" s="22" t="inlineStr">
        <is>
          <t>2020년 03월</t>
        </is>
      </c>
      <c r="E22" s="28" t="n">
        <v>25000</v>
      </c>
      <c r="F22" s="28" t="n">
        <v>22500</v>
      </c>
      <c r="G22" s="29" t="n">
        <v>1</v>
      </c>
      <c r="H22" s="29" t="n">
        <v>438</v>
      </c>
      <c r="I22" s="21" t="inlineStr">
        <is>
          <t>2020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실전! LLM을 활용한 생성형 AI 애플리케이션 개발</t>
        </is>
      </c>
      <c r="B23" s="22" t="inlineStr">
        <is>
          <t>발렌티나 알토, 최용</t>
        </is>
      </c>
      <c r="C23" s="22" t="inlineStr">
        <is>
          <t>위키북스</t>
        </is>
      </c>
      <c r="D23" s="22" t="inlineStr">
        <is>
          <t>2024년 11월</t>
        </is>
      </c>
      <c r="E23" s="28" t="n">
        <v>28000</v>
      </c>
      <c r="F23" s="28" t="n">
        <v>25200</v>
      </c>
      <c r="G23" s="29" t="n">
        <v>1</v>
      </c>
      <c r="H23" s="29" t="n">
        <v>354</v>
      </c>
      <c r="I23" s="21" t="inlineStr">
        <is>
          <t>2024</t>
        </is>
      </c>
      <c r="J23" s="21" t="inlineStr">
        <is>
          <t xml:space="preserve"> 1</t>
        </is>
      </c>
      <c r="K23" s="30">
        <f>(E23-F23)/IF(E23&gt;0,E23,1)</f>
        <v/>
      </c>
    </row>
    <row r="24">
      <c r="A24" s="22" t="inlineStr">
        <is>
          <t>AI 에이전트 인 액션</t>
        </is>
      </c>
      <c r="B24" s="22" t="inlineStr">
        <is>
          <t>마이클 래넘, 307번역랩, 류광</t>
        </is>
      </c>
      <c r="C24" s="22" t="inlineStr">
        <is>
          <t>위키북스</t>
        </is>
      </c>
      <c r="D24" s="22" t="inlineStr">
        <is>
          <t>2025년 07월</t>
        </is>
      </c>
      <c r="E24" s="28" t="n">
        <v>30000</v>
      </c>
      <c r="F24" s="28" t="n">
        <v>27000</v>
      </c>
      <c r="G24" s="29" t="n">
        <v>1</v>
      </c>
      <c r="H24" s="29" t="n">
        <v>1398</v>
      </c>
      <c r="I24" s="21" t="inlineStr">
        <is>
          <t>2025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LLM 인 프로덕션</t>
        </is>
      </c>
      <c r="B25" s="22" t="inlineStr">
        <is>
          <t>크리스토퍼 브루소, 매슈 샤프, 307번역랩, 류광</t>
        </is>
      </c>
      <c r="C25" s="22" t="inlineStr">
        <is>
          <t>위키북스</t>
        </is>
      </c>
      <c r="D25" s="22" t="inlineStr">
        <is>
          <t>2025년 06월</t>
        </is>
      </c>
      <c r="E25" s="28" t="n">
        <v>35000</v>
      </c>
      <c r="F25" s="28" t="n">
        <v>31500</v>
      </c>
      <c r="G25" s="29" t="n">
        <v>4</v>
      </c>
      <c r="H25" s="29" t="n">
        <v>906</v>
      </c>
      <c r="I25" s="21" t="inlineStr">
        <is>
          <t>2025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랭체인과 RAG로 배우는 실전 LLM 애플리케이션 개발</t>
        </is>
      </c>
      <c r="B26" s="22" t="inlineStr">
        <is>
          <t>양기빈, 조국일, 장지선, 조수현</t>
        </is>
      </c>
      <c r="C26" s="22" t="inlineStr">
        <is>
          <t>위키북스</t>
        </is>
      </c>
      <c r="D26" s="22" t="inlineStr">
        <is>
          <t>2025년 04월</t>
        </is>
      </c>
      <c r="E26" s="28" t="n">
        <v>28000</v>
      </c>
      <c r="F26" s="28" t="n">
        <v>25200</v>
      </c>
      <c r="G26" s="29" t="n">
        <v>4</v>
      </c>
      <c r="H26" s="29" t="n">
        <v>732</v>
      </c>
      <c r="I26" s="21" t="inlineStr">
        <is>
          <t>2025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OpenAI, 구글 Gemini, 업스테이지 Solar API를 활용한 실전 LLM 앱 개발</t>
        </is>
      </c>
      <c r="B27" s="22" t="inlineStr">
        <is>
          <t>최용, 이승우</t>
        </is>
      </c>
      <c r="C27" s="22" t="inlineStr">
        <is>
          <t>위키북스</t>
        </is>
      </c>
      <c r="D27" s="22" t="inlineStr">
        <is>
          <t>2025년 01월</t>
        </is>
      </c>
      <c r="E27" s="28" t="n">
        <v>35000</v>
      </c>
      <c r="F27" s="28" t="n">
        <v>31500</v>
      </c>
      <c r="G27" s="29" t="n">
        <v>5</v>
      </c>
      <c r="H27" s="29" t="n">
        <v>654</v>
      </c>
      <c r="I27" s="21" t="inlineStr">
        <is>
          <t>2025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한 권으로 끝내는 실전 LLM 파인튜닝</t>
        </is>
      </c>
      <c r="B28" s="22" t="inlineStr">
        <is>
          <t>강다솔</t>
        </is>
      </c>
      <c r="C28" s="22" t="inlineStr">
        <is>
          <t>위키북스</t>
        </is>
      </c>
      <c r="D28" s="22" t="inlineStr">
        <is>
          <t>2024년 12월</t>
        </is>
      </c>
      <c r="E28" s="28" t="n">
        <v>28000</v>
      </c>
      <c r="F28" s="28" t="n">
        <v>25200</v>
      </c>
      <c r="G28" s="29" t="n">
        <v>10</v>
      </c>
      <c r="H28" s="29" t="n">
        <v>1788</v>
      </c>
      <c r="I28" s="21" t="inlineStr">
        <is>
          <t>2024</t>
        </is>
      </c>
      <c r="J28" s="21" t="inlineStr">
        <is>
          <t xml:space="preserve"> 1</t>
        </is>
      </c>
      <c r="K28" s="30">
        <f>(E28-F28)/IF(E28&gt;0,E28,1)</f>
        <v/>
      </c>
    </row>
    <row r="29">
      <c r="A29" s="22" t="inlineStr">
        <is>
          <t>LLMOps를 활용한 LLM 엔지니어링</t>
        </is>
      </c>
      <c r="B29" s="22" t="inlineStr">
        <is>
          <t>박슬기</t>
        </is>
      </c>
      <c r="C29" s="22" t="inlineStr">
        <is>
          <t>위키북스</t>
        </is>
      </c>
      <c r="D29" s="22" t="inlineStr">
        <is>
          <t>2025년 04월</t>
        </is>
      </c>
      <c r="E29" s="28" t="n">
        <v>28000</v>
      </c>
      <c r="F29" s="28" t="n">
        <v>25200</v>
      </c>
      <c r="G29" s="29" t="n">
        <v>0</v>
      </c>
      <c r="H29" s="29" t="n">
        <v>546</v>
      </c>
      <c r="I29" s="21" t="inlineStr">
        <is>
          <t>2025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딥러닝 프로젝트를 위한 허깅페이스 실전 가이드</t>
        </is>
      </c>
      <c r="B30" s="22" t="inlineStr">
        <is>
          <t>윤대희, 김동화, 송종민, 진현두</t>
        </is>
      </c>
      <c r="C30" s="22" t="inlineStr">
        <is>
          <t>위키북스</t>
        </is>
      </c>
      <c r="D30" s="22" t="inlineStr">
        <is>
          <t>2024년 09월</t>
        </is>
      </c>
      <c r="E30" s="28" t="n">
        <v>32000</v>
      </c>
      <c r="F30" s="28" t="n">
        <v>28800</v>
      </c>
      <c r="G30" s="29" t="n">
        <v>2</v>
      </c>
      <c r="H30" s="29" t="n">
        <v>510</v>
      </c>
      <c r="I30" s="21" t="inlineStr">
        <is>
          <t>2024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실전! RAG 기반 생성형 AI 개발</t>
        </is>
      </c>
      <c r="B31" s="22" t="inlineStr">
        <is>
          <t>데니스 로스먼, 307번역랩, 류광</t>
        </is>
      </c>
      <c r="C31" s="22" t="inlineStr">
        <is>
          <t>위키북스</t>
        </is>
      </c>
      <c r="D31" s="22" t="inlineStr">
        <is>
          <t>2025년 03월</t>
        </is>
      </c>
      <c r="E31" s="28" t="n">
        <v>32000</v>
      </c>
      <c r="F31" s="28" t="n">
        <v>28800</v>
      </c>
      <c r="G31" s="29" t="n">
        <v>0</v>
      </c>
      <c r="H31" s="29" t="n">
        <v>246</v>
      </c>
      <c r="I31" s="21" t="inlineStr">
        <is>
          <t>2025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시스템 설계 면접 완벽 가이드</t>
        </is>
      </c>
      <c r="B32" s="22" t="inlineStr">
        <is>
          <t>지용 탄, 나정호</t>
        </is>
      </c>
      <c r="C32" s="22" t="inlineStr">
        <is>
          <t>위키북스</t>
        </is>
      </c>
      <c r="D32" s="22" t="inlineStr">
        <is>
          <t>2025년 05월</t>
        </is>
      </c>
      <c r="E32" s="28" t="n">
        <v>35000</v>
      </c>
      <c r="F32" s="28" t="n">
        <v>31500</v>
      </c>
      <c r="G32" s="29" t="n">
        <v>4</v>
      </c>
      <c r="H32" s="29" t="n">
        <v>894</v>
      </c>
      <c r="I32" s="21" t="inlineStr">
        <is>
          <t>2025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생활코딩 머신러닝 이론편</t>
        </is>
      </c>
      <c r="B33" s="22" t="inlineStr">
        <is>
          <t>이고잉, 이숙번, 오픈튜토리얼스</t>
        </is>
      </c>
      <c r="C33" s="22" t="inlineStr">
        <is>
          <t>위키북스</t>
        </is>
      </c>
      <c r="D33" s="22" t="inlineStr">
        <is>
          <t>2021년 07월</t>
        </is>
      </c>
      <c r="E33" s="28" t="n">
        <v>13000</v>
      </c>
      <c r="F33" s="28" t="n">
        <v>11700</v>
      </c>
      <c r="G33" s="29" t="n">
        <v>5</v>
      </c>
      <c r="H33" s="29" t="n">
        <v>606</v>
      </c>
      <c r="I33" s="21" t="inlineStr">
        <is>
          <t>2021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생성형 AI 인 액션</t>
        </is>
      </c>
      <c r="B34" s="22" t="inlineStr">
        <is>
          <t>아미트 바리, 이준</t>
        </is>
      </c>
      <c r="C34" s="22" t="inlineStr">
        <is>
          <t>위키북스</t>
        </is>
      </c>
      <c r="D34" s="22" t="inlineStr">
        <is>
          <t>2025년 08월</t>
        </is>
      </c>
      <c r="E34" s="28" t="n">
        <v>35000</v>
      </c>
      <c r="F34" s="28" t="n">
        <v>31500</v>
      </c>
      <c r="G34" s="29" t="n">
        <v>1</v>
      </c>
      <c r="H34" s="29" t="n">
        <v>444</v>
      </c>
      <c r="I34" s="21" t="inlineStr">
        <is>
          <t>2025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AI와 함께 일하는 법</t>
        </is>
      </c>
      <c r="B35" s="22" t="inlineStr">
        <is>
          <t>김철수</t>
        </is>
      </c>
      <c r="C35" s="22" t="inlineStr">
        <is>
          <t>위키북스</t>
        </is>
      </c>
      <c r="D35" s="22" t="inlineStr">
        <is>
          <t>2025년 03월</t>
        </is>
      </c>
      <c r="E35" s="28" t="n">
        <v>18000</v>
      </c>
      <c r="F35" s="28" t="n">
        <v>16200</v>
      </c>
      <c r="G35" s="29" t="n">
        <v>4</v>
      </c>
      <c r="H35" s="29" t="n">
        <v>744</v>
      </c>
      <c r="I35" s="21" t="inlineStr">
        <is>
          <t>2025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Amazon Bedrock 실전 생성형 AI 앱 개발</t>
        </is>
      </c>
      <c r="B36" s="22" t="inlineStr">
        <is>
          <t>온다 미노루, 쿠마다 칸, 모리타 카즈아키, 김영진, 임연욱, 정보 더 보기/감추기, 온다 미노루, 쿠마다 칸, 모리타 카즈아키, 김영진, 임연욱, 김기철, 김휘경</t>
        </is>
      </c>
      <c r="C36" s="22" t="inlineStr">
        <is>
          <t>위키북스</t>
        </is>
      </c>
      <c r="D36" s="22" t="inlineStr">
        <is>
          <t>2025년 11월</t>
        </is>
      </c>
      <c r="E36" s="28" t="n">
        <v>35000</v>
      </c>
      <c r="F36" s="28" t="n">
        <v>31500</v>
      </c>
      <c r="G36" s="29" t="n">
        <v>0</v>
      </c>
      <c r="H36" s="29" t="n">
        <v>288</v>
      </c>
      <c r="I36" s="21" t="inlineStr">
        <is>
          <t>2025</t>
        </is>
      </c>
      <c r="J36" s="21" t="inlineStr">
        <is>
          <t xml:space="preserve"> 1</t>
        </is>
      </c>
      <c r="K36" s="30">
        <f>(E36-F36)/IF(E36&gt;0,E36,1)</f>
        <v/>
      </c>
    </row>
    <row r="37">
      <c r="A37" s="22" t="inlineStr">
        <is>
          <t>생성형 AI 업무 혁신 2</t>
        </is>
      </c>
      <c r="B37" s="22" t="inlineStr">
        <is>
          <t>박찬규, 윤가희</t>
        </is>
      </c>
      <c r="C37" s="22" t="inlineStr">
        <is>
          <t>위키북스</t>
        </is>
      </c>
      <c r="D37" s="22" t="inlineStr">
        <is>
          <t>2024년 08월</t>
        </is>
      </c>
      <c r="E37" s="28" t="n">
        <v>22000</v>
      </c>
      <c r="F37" s="28" t="n">
        <v>19800</v>
      </c>
      <c r="G37" s="29" t="n">
        <v>3</v>
      </c>
      <c r="H37" s="29" t="n">
        <v>288</v>
      </c>
      <c r="I37" s="21" t="inlineStr">
        <is>
          <t>2024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파이토치와 유니티 ML-Agents로 배우는 강화학습 [응용편]</t>
        </is>
      </c>
      <c r="B38" s="22" t="inlineStr">
        <is>
          <t>민규식, 이현호, 박유민</t>
        </is>
      </c>
      <c r="C38" s="22" t="inlineStr">
        <is>
          <t>위키북스</t>
        </is>
      </c>
      <c r="D38" s="22" t="inlineStr">
        <is>
          <t>2025년 01월</t>
        </is>
      </c>
      <c r="E38" s="28" t="n">
        <v>38000</v>
      </c>
      <c r="F38" s="28" t="n">
        <v>34200</v>
      </c>
      <c r="G38" s="29" t="n">
        <v>1</v>
      </c>
      <c r="H38" s="29" t="n">
        <v>288</v>
      </c>
      <c r="I38" s="21" t="inlineStr">
        <is>
          <t>2025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3" t="inlineStr">
        <is>
          <t>합계 및 평균 요약</t>
        </is>
      </c>
      <c r="B39" s="31" t="n"/>
      <c r="C39" s="31" t="n"/>
      <c r="D39" s="31" t="n"/>
      <c r="E39" s="25">
        <f>AVERAGE(E2:E38)</f>
        <v/>
      </c>
      <c r="F39" s="25">
        <f>AVERAGE(F2:F38)</f>
        <v/>
      </c>
      <c r="G39" s="24">
        <f>SUM(G2:G38)</f>
        <v/>
      </c>
      <c r="H39" s="24">
        <f>SUM(H2:H38)</f>
        <v/>
      </c>
      <c r="I39" s="31" t="n"/>
      <c r="J39" s="31" t="n"/>
      <c r="K39" s="26">
        <f>AVERAGE(K2:K38)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9" customWidth="1" min="3" max="3"/>
    <col width="14" customWidth="1" min="4" max="4"/>
    <col width="20" customWidth="1" min="5" max="5"/>
    <col width="20" customWidth="1" min="6" max="6"/>
    <col width="16" customWidth="1" min="7" max="7"/>
    <col width="16" customWidth="1" min="8" max="8"/>
    <col width="11" customWidth="1" min="9" max="9"/>
    <col width="10" customWidth="1" min="10" max="10"/>
    <col width="33" customWidth="1" min="11" max="11"/>
  </cols>
  <sheetData>
    <row r="1">
      <c r="A1" s="27" t="inlineStr">
        <is>
          <t>제목</t>
        </is>
      </c>
      <c r="B1" s="27" t="inlineStr">
        <is>
          <t>저자</t>
        </is>
      </c>
      <c r="C1" s="27" t="inlineStr">
        <is>
          <t>출판사</t>
        </is>
      </c>
      <c r="D1" s="27" t="inlineStr">
        <is>
          <t>발행일</t>
        </is>
      </c>
      <c r="E1" s="27" t="inlineStr">
        <is>
          <t>정가</t>
        </is>
      </c>
      <c r="F1" s="27" t="inlineStr">
        <is>
          <t>판매가</t>
        </is>
      </c>
      <c r="G1" s="27" t="inlineStr">
        <is>
          <t>리뷰 수</t>
        </is>
      </c>
      <c r="H1" s="27" t="inlineStr">
        <is>
          <t>판매지수</t>
        </is>
      </c>
      <c r="I1" s="27" t="inlineStr">
        <is>
          <t>발행연도</t>
        </is>
      </c>
      <c r="J1" s="27" t="inlineStr">
        <is>
          <t>발행월</t>
        </is>
      </c>
      <c r="K1" s="27" t="inlineStr">
        <is>
          <t>할인율</t>
        </is>
      </c>
    </row>
    <row r="2">
      <c r="A2" s="22" t="inlineStr">
        <is>
          <t>클로드 코드로 시작하는 실전 에이전틱 코딩</t>
        </is>
      </c>
      <c r="B2" s="22" t="inlineStr">
        <is>
          <t>Goos Kim</t>
        </is>
      </c>
      <c r="C2" s="22" t="inlineStr">
        <is>
          <t>더 타이즈</t>
        </is>
      </c>
      <c r="D2" s="22" t="inlineStr">
        <is>
          <t>2026년 05월</t>
        </is>
      </c>
      <c r="E2" s="28" t="n">
        <v>33000</v>
      </c>
      <c r="F2" s="28" t="n">
        <v>29700</v>
      </c>
      <c r="G2" s="29" t="n">
        <v>11</v>
      </c>
      <c r="H2" s="29" t="n">
        <v>24912</v>
      </c>
      <c r="I2" s="21" t="inlineStr">
        <is>
          <t>2026</t>
        </is>
      </c>
      <c r="J2" s="21" t="inlineStr">
        <is>
          <t xml:space="preserve"> 0</t>
        </is>
      </c>
      <c r="K2" s="30">
        <f>(E2-F2)/IF(E2&gt;0,E2,1)</f>
        <v/>
      </c>
    </row>
    <row r="3">
      <c r="A3" s="22" t="inlineStr">
        <is>
          <t>AI 시대의 질문력, 프롬프트 엔지니어링</t>
        </is>
      </c>
      <c r="B3" s="22" t="inlineStr">
        <is>
          <t>류한석</t>
        </is>
      </c>
      <c r="C3" s="22" t="inlineStr">
        <is>
          <t>코리아닷컴(Korea.com)</t>
        </is>
      </c>
      <c r="D3" s="22" t="inlineStr">
        <is>
          <t>2025년 08월</t>
        </is>
      </c>
      <c r="E3" s="28" t="n">
        <v>27000</v>
      </c>
      <c r="F3" s="28" t="n">
        <v>24300</v>
      </c>
      <c r="G3" s="29" t="n">
        <v>61</v>
      </c>
      <c r="H3" s="29" t="n">
        <v>68079</v>
      </c>
      <c r="I3" s="21" t="inlineStr">
        <is>
          <t>2025</t>
        </is>
      </c>
      <c r="J3" s="21" t="inlineStr">
        <is>
          <t xml:space="preserve"> 0</t>
        </is>
      </c>
      <c r="K3" s="30">
        <f>(E3-F3)/IF(E3&gt;0,E3,1)</f>
        <v/>
      </c>
    </row>
    <row r="4">
      <c r="A4" s="22" t="inlineStr">
        <is>
          <t>된다! 캡컷 영상 편집</t>
        </is>
      </c>
      <c r="B4" s="22" t="inlineStr">
        <is>
          <t>지민이</t>
        </is>
      </c>
      <c r="C4" s="22" t="inlineStr">
        <is>
          <t>이지스퍼블리싱</t>
        </is>
      </c>
      <c r="D4" s="22" t="inlineStr">
        <is>
          <t>2026년 05월</t>
        </is>
      </c>
      <c r="E4" s="28" t="n">
        <v>22000</v>
      </c>
      <c r="F4" s="28" t="n">
        <v>19800</v>
      </c>
      <c r="G4" s="29" t="n">
        <v>17</v>
      </c>
      <c r="H4" s="29" t="n">
        <v>10254</v>
      </c>
      <c r="I4" s="21" t="inlineStr">
        <is>
          <t>2026</t>
        </is>
      </c>
      <c r="J4" s="21" t="inlineStr">
        <is>
          <t xml:space="preserve"> 0</t>
        </is>
      </c>
      <c r="K4" s="30">
        <f>(E4-F4)/IF(E4&gt;0,E4,1)</f>
        <v/>
      </c>
    </row>
    <row r="5">
      <c r="A5" s="22" t="inlineStr">
        <is>
          <t>바쁜 교사를 위한 바로 쓰는 AI</t>
        </is>
      </c>
      <c r="B5" s="22" t="inlineStr">
        <is>
          <t>전소영, 이태화, 조두연</t>
        </is>
      </c>
      <c r="C5" s="22" t="inlineStr">
        <is>
          <t>사회평론아카데미</t>
        </is>
      </c>
      <c r="D5" s="22" t="inlineStr">
        <is>
          <t>2026년 04월</t>
        </is>
      </c>
      <c r="E5" s="28" t="n">
        <v>24000</v>
      </c>
      <c r="F5" s="28" t="n">
        <v>21600</v>
      </c>
      <c r="G5" s="29" t="n">
        <v>17</v>
      </c>
      <c r="H5" s="29" t="n">
        <v>17976</v>
      </c>
      <c r="I5" s="21" t="inlineStr">
        <is>
          <t>2026</t>
        </is>
      </c>
      <c r="J5" s="21" t="inlineStr">
        <is>
          <t xml:space="preserve"> 0</t>
        </is>
      </c>
      <c r="K5" s="30">
        <f>(E5-F5)/IF(E5&gt;0,E5,1)</f>
        <v/>
      </c>
    </row>
    <row r="6">
      <c r="A6" s="22" t="inlineStr">
        <is>
          <t>AI 실전 마스터 칼릭스의 프롬프트 디테일</t>
        </is>
      </c>
      <c r="B6" s="22" t="inlineStr">
        <is>
          <t>칼릭스(손윤석)</t>
        </is>
      </c>
      <c r="C6" s="22" t="inlineStr">
        <is>
          <t>한빛비즈</t>
        </is>
      </c>
      <c r="D6" s="22" t="inlineStr">
        <is>
          <t>2026년 04월</t>
        </is>
      </c>
      <c r="E6" s="28" t="n">
        <v>22000</v>
      </c>
      <c r="F6" s="28" t="n">
        <v>19800</v>
      </c>
      <c r="G6" s="29" t="n">
        <v>12</v>
      </c>
      <c r="H6" s="29" t="n">
        <v>9570</v>
      </c>
      <c r="I6" s="21" t="inlineStr">
        <is>
          <t>2026</t>
        </is>
      </c>
      <c r="J6" s="21" t="inlineStr">
        <is>
          <t xml:space="preserve"> 0</t>
        </is>
      </c>
      <c r="K6" s="30">
        <f>(E6-F6)/IF(E6&gt;0,E6,1)</f>
        <v/>
      </c>
    </row>
    <row r="7">
      <c r="A7" s="22" t="inlineStr">
        <is>
          <t>된다! 하루 만에 끝내는 제미나이 활용법</t>
        </is>
      </c>
      <c r="B7" s="22" t="inlineStr">
        <is>
          <t>권서림</t>
        </is>
      </c>
      <c r="C7" s="22" t="inlineStr">
        <is>
          <t>이지스퍼블리싱</t>
        </is>
      </c>
      <c r="D7" s="22" t="inlineStr">
        <is>
          <t>2025년 11월</t>
        </is>
      </c>
      <c r="E7" s="28" t="n">
        <v>20000</v>
      </c>
      <c r="F7" s="28" t="n">
        <v>18000</v>
      </c>
      <c r="G7" s="29" t="n">
        <v>78</v>
      </c>
      <c r="H7" s="29" t="n">
        <v>73338</v>
      </c>
      <c r="I7" s="21" t="inlineStr">
        <is>
          <t>2025</t>
        </is>
      </c>
      <c r="J7" s="21" t="inlineStr">
        <is>
          <t xml:space="preserve"> 1</t>
        </is>
      </c>
      <c r="K7" s="30">
        <f>(E7-F7)/IF(E7&gt;0,E7,1)</f>
        <v/>
      </c>
    </row>
    <row r="8">
      <c r="A8" s="22" t="inlineStr">
        <is>
          <t>자연은 왜 이토록 단순하면서도 아름다운가</t>
        </is>
      </c>
      <c r="B8" s="22" t="inlineStr">
        <is>
          <t>로버트 칸, 크리스 퀴그, 박병철</t>
        </is>
      </c>
      <c r="C8" s="22" t="inlineStr">
        <is>
          <t>알에이치코리아(RHK)</t>
        </is>
      </c>
      <c r="D8" s="22" t="inlineStr">
        <is>
          <t>2026년 04월</t>
        </is>
      </c>
      <c r="E8" s="28" t="n">
        <v>35000</v>
      </c>
      <c r="F8" s="28" t="n">
        <v>31500</v>
      </c>
      <c r="G8" s="29" t="n">
        <v>12</v>
      </c>
      <c r="H8" s="29" t="n">
        <v>8523</v>
      </c>
      <c r="I8" s="21" t="inlineStr">
        <is>
          <t>2026</t>
        </is>
      </c>
      <c r="J8" s="21" t="inlineStr">
        <is>
          <t xml:space="preserve"> 0</t>
        </is>
      </c>
      <c r="K8" s="30">
        <f>(E8-F8)/IF(E8&gt;0,E8,1)</f>
        <v/>
      </c>
    </row>
    <row r="9">
      <c r="A9" s="22" t="inlineStr">
        <is>
          <t>다시, 소프트웨어 엔지니어</t>
        </is>
      </c>
      <c r="B9" s="22" t="inlineStr">
        <is>
          <t>네서니얼 슈타, 댄 베가, 박성철</t>
        </is>
      </c>
      <c r="C9" s="22" t="inlineStr">
        <is>
          <t>책만</t>
        </is>
      </c>
      <c r="D9" s="22" t="inlineStr">
        <is>
          <t>2026년 05월</t>
        </is>
      </c>
      <c r="E9" s="28" t="n">
        <v>30000</v>
      </c>
      <c r="F9" s="28" t="n">
        <v>27000</v>
      </c>
      <c r="G9" s="29" t="n">
        <v>0</v>
      </c>
      <c r="H9" s="29" t="n">
        <v>5025</v>
      </c>
      <c r="I9" s="21" t="inlineStr">
        <is>
          <t>2026</t>
        </is>
      </c>
      <c r="J9" s="21" t="inlineStr">
        <is>
          <t xml:space="preserve"> 0</t>
        </is>
      </c>
      <c r="K9" s="30">
        <f>(E9-F9)/IF(E9&gt;0,E9,1)</f>
        <v/>
      </c>
    </row>
    <row r="10">
      <c r="A10" s="22" t="inlineStr">
        <is>
          <t>제미나이 교사 마스터 플랜 (2026년 최신판)</t>
        </is>
      </c>
      <c r="B10" s="22" t="inlineStr">
        <is>
          <t>한민철</t>
        </is>
      </c>
      <c r="C10" s="22" t="inlineStr">
        <is>
          <t>책바세</t>
        </is>
      </c>
      <c r="D10" s="22" t="inlineStr">
        <is>
          <t>2026년 04월</t>
        </is>
      </c>
      <c r="E10" s="28" t="n">
        <v>30000</v>
      </c>
      <c r="F10" s="28" t="n">
        <v>27000</v>
      </c>
      <c r="G10" s="29" t="n">
        <v>26</v>
      </c>
      <c r="H10" s="29" t="n">
        <v>9459</v>
      </c>
      <c r="I10" s="21" t="inlineStr">
        <is>
          <t>2026</t>
        </is>
      </c>
      <c r="J10" s="21" t="inlineStr">
        <is>
          <t xml:space="preserve"> 0</t>
        </is>
      </c>
      <c r="K10" s="30">
        <f>(E10-F10)/IF(E10&gt;0,E10,1)</f>
        <v/>
      </c>
    </row>
    <row r="11">
      <c r="A11" s="22" t="inlineStr">
        <is>
          <t>학교에서 바로 쓰는 제미나이 &amp; 노트북LM</t>
        </is>
      </c>
      <c r="B11" s="22" t="inlineStr">
        <is>
          <t>손성호, 김민, 김상백, 송유미, 박권, 정보 더 보기/감추기, 손성호, 김민, 김상백, 송유미, 박권, 최동욱</t>
        </is>
      </c>
      <c r="C11" s="22" t="inlineStr">
        <is>
          <t>학교도서관저널</t>
        </is>
      </c>
      <c r="D11" s="22" t="inlineStr">
        <is>
          <t>2026년 04월</t>
        </is>
      </c>
      <c r="E11" s="28" t="n">
        <v>19000</v>
      </c>
      <c r="F11" s="28" t="n">
        <v>17100</v>
      </c>
      <c r="G11" s="29" t="n">
        <v>13</v>
      </c>
      <c r="H11" s="29" t="n">
        <v>11061</v>
      </c>
      <c r="I11" s="21" t="inlineStr">
        <is>
          <t>2026</t>
        </is>
      </c>
      <c r="J11" s="21" t="inlineStr">
        <is>
          <t xml:space="preserve"> 0</t>
        </is>
      </c>
      <c r="K11" s="30">
        <f>(E11-F11)/IF(E11&gt;0,E11,1)</f>
        <v/>
      </c>
    </row>
    <row r="12">
      <c r="A12" s="22" t="inlineStr">
        <is>
          <t>일 잘하는 직장인의 AI 활용법</t>
        </is>
      </c>
      <c r="B12" s="22" t="inlineStr">
        <is>
          <t>김덕중, 김민정, 김인선</t>
        </is>
      </c>
      <c r="C12" s="22" t="inlineStr">
        <is>
          <t>디지털북스</t>
        </is>
      </c>
      <c r="D12" s="22" t="inlineStr">
        <is>
          <t>2026년 05월</t>
        </is>
      </c>
      <c r="E12" s="28" t="n">
        <v>22000</v>
      </c>
      <c r="F12" s="28" t="n">
        <v>19800</v>
      </c>
      <c r="G12" s="29" t="n">
        <v>0</v>
      </c>
      <c r="H12" s="29" t="n">
        <v>3702</v>
      </c>
      <c r="I12" s="21" t="inlineStr">
        <is>
          <t>2026</t>
        </is>
      </c>
      <c r="J12" s="21" t="inlineStr">
        <is>
          <t xml:space="preserve"> 0</t>
        </is>
      </c>
      <c r="K12" s="30">
        <f>(E12-F12)/IF(E12&gt;0,E12,1)</f>
        <v/>
      </c>
    </row>
    <row r="13">
      <c r="A13" s="22" t="inlineStr">
        <is>
          <t>누구나 쉽게 AI 작사 &amp; 작곡 with 생성형 인공지능, 챗GPT, 수노, 유디오</t>
        </is>
      </c>
      <c r="B13" s="22" t="inlineStr">
        <is>
          <t>현병욱(오땡큐), 신수진</t>
        </is>
      </c>
      <c r="C13" s="22" t="inlineStr">
        <is>
          <t>시프트</t>
        </is>
      </c>
      <c r="D13" s="22" t="inlineStr">
        <is>
          <t>2025년 09월</t>
        </is>
      </c>
      <c r="E13" s="28" t="n">
        <v>20000</v>
      </c>
      <c r="F13" s="28" t="n">
        <v>18000</v>
      </c>
      <c r="G13" s="29" t="n">
        <v>30</v>
      </c>
      <c r="H13" s="29" t="n">
        <v>19986</v>
      </c>
      <c r="I13" s="21" t="inlineStr">
        <is>
          <t>2025</t>
        </is>
      </c>
      <c r="J13" s="21" t="inlineStr">
        <is>
          <t xml:space="preserve"> 0</t>
        </is>
      </c>
      <c r="K13" s="30">
        <f>(E13-F13)/IF(E13&gt;0,E13,1)</f>
        <v/>
      </c>
    </row>
    <row r="14">
      <c r="A14" s="22" t="inlineStr">
        <is>
          <t>AI 생존 지도</t>
        </is>
      </c>
      <c r="B14" s="22" t="inlineStr">
        <is>
          <t>이석현</t>
        </is>
      </c>
      <c r="C14" s="22" t="inlineStr">
        <is>
          <t>여림재</t>
        </is>
      </c>
      <c r="D14" s="22" t="inlineStr">
        <is>
          <t>2026년 06월</t>
        </is>
      </c>
      <c r="E14" s="28" t="n">
        <v>20000</v>
      </c>
      <c r="F14" s="28" t="n">
        <v>18000</v>
      </c>
      <c r="G14" s="29" t="n">
        <v>0</v>
      </c>
      <c r="H14" s="29" t="n">
        <v>1830</v>
      </c>
      <c r="I14" s="21" t="inlineStr">
        <is>
          <t>2026</t>
        </is>
      </c>
      <c r="J14" s="21" t="inlineStr">
        <is>
          <t xml:space="preserve"> 0</t>
        </is>
      </c>
      <c r="K14" s="30">
        <f>(E14-F14)/IF(E14&gt;0,E14,1)</f>
        <v/>
      </c>
    </row>
    <row r="15">
      <c r="A15" s="22" t="inlineStr">
        <is>
          <t>기계가 언어를 사용한다는 것에 대한 인문학적 사유</t>
        </is>
      </c>
      <c r="B15" s="22" t="inlineStr">
        <is>
          <t>마크 코켈버그, 데이비드 J.건컬, 신동숙, 손화철</t>
        </is>
      </c>
      <c r="C15" s="22" t="inlineStr">
        <is>
          <t>생각이음</t>
        </is>
      </c>
      <c r="D15" s="22" t="inlineStr">
        <is>
          <t>2026년 04월</t>
        </is>
      </c>
      <c r="E15" s="28" t="n">
        <v>19000</v>
      </c>
      <c r="F15" s="28" t="n">
        <v>17100</v>
      </c>
      <c r="G15" s="29" t="n">
        <v>0</v>
      </c>
      <c r="H15" s="29" t="n">
        <v>3000</v>
      </c>
      <c r="I15" s="21" t="inlineStr">
        <is>
          <t>2026</t>
        </is>
      </c>
      <c r="J15" s="21" t="inlineStr">
        <is>
          <t xml:space="preserve"> 0</t>
        </is>
      </c>
      <c r="K15" s="30">
        <f>(E15-F15)/IF(E15&gt;0,E15,1)</f>
        <v/>
      </c>
    </row>
    <row r="16">
      <c r="A16" s="22" t="inlineStr">
        <is>
          <t>클로드 디자인 시작하기</t>
        </is>
      </c>
      <c r="B16" s="22" t="inlineStr">
        <is>
          <t>조남경</t>
        </is>
      </c>
      <c r="C16" s="22" t="inlineStr">
        <is>
          <t>비엘북스</t>
        </is>
      </c>
      <c r="D16" s="22" t="inlineStr">
        <is>
          <t>2026년 05월</t>
        </is>
      </c>
      <c r="E16" s="28" t="n">
        <v>25000</v>
      </c>
      <c r="F16" s="28" t="n">
        <v>22500</v>
      </c>
      <c r="G16" s="29" t="n">
        <v>0</v>
      </c>
      <c r="H16" s="29" t="n">
        <v>3546</v>
      </c>
      <c r="I16" s="21" t="inlineStr">
        <is>
          <t>2026</t>
        </is>
      </c>
      <c r="J16" s="21" t="inlineStr">
        <is>
          <t xml:space="preserve"> 0</t>
        </is>
      </c>
      <c r="K16" s="30">
        <f>(E16-F16)/IF(E16&gt;0,E16,1)</f>
        <v/>
      </c>
    </row>
    <row r="17">
      <c r="A17" s="22" t="inlineStr">
        <is>
          <t>AI로 10배 빠르게 일하는 법</t>
        </is>
      </c>
      <c r="B17" s="22" t="inlineStr">
        <is>
          <t>이도혜, 고신복, 김경태, 박소희, 박은혜, 정보 더 보기/감추기, 이도혜, 고신복, 김경태, 박소희, 박은혜, 양유직, 오세종, 정광우, 조난영, 진효식, 허난희, 김진선</t>
        </is>
      </c>
      <c r="C17" s="22" t="inlineStr">
        <is>
          <t>미디어북</t>
        </is>
      </c>
      <c r="D17" s="22" t="inlineStr">
        <is>
          <t>2026년 05월</t>
        </is>
      </c>
      <c r="E17" s="28" t="n">
        <v>20000</v>
      </c>
      <c r="F17" s="28" t="n">
        <v>20000</v>
      </c>
      <c r="G17" s="29" t="n">
        <v>43</v>
      </c>
      <c r="H17" s="29" t="n">
        <v>3453</v>
      </c>
      <c r="I17" s="21" t="inlineStr">
        <is>
          <t>2026</t>
        </is>
      </c>
      <c r="J17" s="21" t="inlineStr">
        <is>
          <t xml:space="preserve"> 0</t>
        </is>
      </c>
      <c r="K17" s="30">
        <f>(E17-F17)/IF(E17&gt;0,E17,1)</f>
        <v/>
      </c>
    </row>
    <row r="18">
      <c r="A18" s="22" t="inlineStr">
        <is>
          <t>AI 리터러시 플러스+: 인공지능 기본부터 도구 선택, 조합, 실전 활용까지</t>
        </is>
      </c>
      <c r="B18" s="22" t="inlineStr">
        <is>
          <t>김용성</t>
        </is>
      </c>
      <c r="C18" s="22" t="inlineStr">
        <is>
          <t>프리렉</t>
        </is>
      </c>
      <c r="D18" s="22" t="inlineStr">
        <is>
          <t>2026년 04월</t>
        </is>
      </c>
      <c r="E18" s="28" t="n">
        <v>25000</v>
      </c>
      <c r="F18" s="28" t="n">
        <v>22500</v>
      </c>
      <c r="G18" s="29" t="n">
        <v>205</v>
      </c>
      <c r="H18" s="29" t="n">
        <v>3696</v>
      </c>
      <c r="I18" s="21" t="inlineStr">
        <is>
          <t>2026</t>
        </is>
      </c>
      <c r="J18" s="21" t="inlineStr">
        <is>
          <t xml:space="preserve"> 0</t>
        </is>
      </c>
      <c r="K18" s="30">
        <f>(E18-F18)/IF(E18&gt;0,E18,1)</f>
        <v/>
      </c>
    </row>
    <row r="19">
      <c r="A19" s="22" t="inlineStr">
        <is>
          <t>된다! 하루 만에 끝내는 챗GPT 활용법</t>
        </is>
      </c>
      <c r="B19" s="22" t="inlineStr">
        <is>
          <t>프롬프트 크리에이터</t>
        </is>
      </c>
      <c r="C19" s="22" t="inlineStr">
        <is>
          <t>이지스퍼블리싱</t>
        </is>
      </c>
      <c r="D19" s="22" t="inlineStr">
        <is>
          <t>2025년 06월</t>
        </is>
      </c>
      <c r="E19" s="28" t="n">
        <v>20000</v>
      </c>
      <c r="F19" s="28" t="n">
        <v>18000</v>
      </c>
      <c r="G19" s="29" t="n">
        <v>99</v>
      </c>
      <c r="H19" s="29" t="n">
        <v>34329</v>
      </c>
      <c r="I19" s="21" t="inlineStr">
        <is>
          <t>2025</t>
        </is>
      </c>
      <c r="J19" s="21" t="inlineStr">
        <is>
          <t xml:space="preserve"> 0</t>
        </is>
      </c>
      <c r="K19" s="30">
        <f>(E19-F19)/IF(E19&gt;0,E19,1)</f>
        <v/>
      </c>
    </row>
    <row r="20">
      <c r="A20" s="22" t="inlineStr">
        <is>
          <t>초보도 바로 되는 AI 콘텐츠</t>
        </is>
      </c>
      <c r="B20" s="22" t="inlineStr">
        <is>
          <t>이도혜, 김인호, 문정수, 바울, 육화영, 정보 더 보기/감추기, 이도혜, 김인호, 문정수, 바울, 육화영, 이성열, 이수진, 이진영, 정지연, 노수승, 배경수, 김진선</t>
        </is>
      </c>
      <c r="C20" s="22" t="inlineStr">
        <is>
          <t>미디어북</t>
        </is>
      </c>
      <c r="D20" s="22" t="inlineStr">
        <is>
          <t>2026년 05월</t>
        </is>
      </c>
      <c r="E20" s="28" t="n">
        <v>20000</v>
      </c>
      <c r="F20" s="28" t="n">
        <v>20000</v>
      </c>
      <c r="G20" s="29" t="n">
        <v>38</v>
      </c>
      <c r="H20" s="29" t="n">
        <v>1386</v>
      </c>
      <c r="I20" s="21" t="inlineStr">
        <is>
          <t>2026</t>
        </is>
      </c>
      <c r="J20" s="21" t="inlineStr">
        <is>
          <t xml:space="preserve"> 0</t>
        </is>
      </c>
      <c r="K20" s="30">
        <f>(E20-F20)/IF(E20&gt;0,E20,1)</f>
        <v/>
      </c>
    </row>
    <row r="21">
      <c r="A21" s="22" t="inlineStr">
        <is>
          <t>옵시디언 프로페셔널 노트</t>
        </is>
      </c>
      <c r="B21" s="22" t="inlineStr">
        <is>
          <t>구요한</t>
        </is>
      </c>
      <c r="C21" s="22" t="inlineStr">
        <is>
          <t>리코멘드</t>
        </is>
      </c>
      <c r="D21" s="22" t="inlineStr">
        <is>
          <t>2026년 03월</t>
        </is>
      </c>
      <c r="E21" s="28" t="n">
        <v>25000</v>
      </c>
      <c r="F21" s="28" t="n">
        <v>22500</v>
      </c>
      <c r="G21" s="29" t="n">
        <v>34</v>
      </c>
      <c r="H21" s="29" t="n">
        <v>6306</v>
      </c>
      <c r="I21" s="21" t="inlineStr">
        <is>
          <t>2026</t>
        </is>
      </c>
      <c r="J21" s="21" t="inlineStr">
        <is>
          <t xml:space="preserve"> 0</t>
        </is>
      </c>
      <c r="K21" s="30">
        <f>(E21-F21)/IF(E21&gt;0,E21,1)</f>
        <v/>
      </c>
    </row>
    <row r="22">
      <c r="A22" s="22" t="inlineStr">
        <is>
          <t>스토리 엔지니어링</t>
        </is>
      </c>
      <c r="B22" s="22" t="inlineStr">
        <is>
          <t>김우정</t>
        </is>
      </c>
      <c r="C22" s="22" t="inlineStr">
        <is>
          <t>생능북스</t>
        </is>
      </c>
      <c r="D22" s="22" t="inlineStr">
        <is>
          <t>2026년 05월</t>
        </is>
      </c>
      <c r="E22" s="28" t="n">
        <v>16800</v>
      </c>
      <c r="F22" s="28" t="n">
        <v>15120</v>
      </c>
      <c r="G22" s="29" t="n">
        <v>33</v>
      </c>
      <c r="H22" s="29" t="n">
        <v>3429</v>
      </c>
      <c r="I22" s="21" t="inlineStr">
        <is>
          <t>2026</t>
        </is>
      </c>
      <c r="J22" s="21" t="inlineStr">
        <is>
          <t xml:space="preserve"> 0</t>
        </is>
      </c>
      <c r="K22" s="30">
        <f>(E22-F22)/IF(E22&gt;0,E22,1)</f>
        <v/>
      </c>
    </row>
    <row r="23">
      <c r="A23" s="22" t="inlineStr">
        <is>
          <t>베테랑 AI 전문가가 만든 가장 쉬운 제미나이 활용! Gemini(제미나이)로 무엇이든 만들 수 있다 (AI 비서 영상 만들기 · 유튜브 숏폼)</t>
        </is>
      </c>
      <c r="B23" s="22" t="inlineStr">
        <is>
          <t>송상미, 윤소영, 강은정</t>
        </is>
      </c>
      <c r="C23" s="22" t="inlineStr">
        <is>
          <t>광문각출판미디어</t>
        </is>
      </c>
      <c r="D23" s="22" t="inlineStr">
        <is>
          <t>2026년 05월</t>
        </is>
      </c>
      <c r="E23" s="28" t="n">
        <v>19000</v>
      </c>
      <c r="F23" s="28" t="n">
        <v>19000</v>
      </c>
      <c r="G23" s="29" t="n">
        <v>24</v>
      </c>
      <c r="H23" s="29" t="n">
        <v>2418</v>
      </c>
      <c r="I23" s="21" t="inlineStr">
        <is>
          <t>2026</t>
        </is>
      </c>
      <c r="J23" s="21" t="inlineStr">
        <is>
          <t xml:space="preserve"> 0</t>
        </is>
      </c>
      <c r="K23" s="30">
        <f>(E23-F23)/IF(E23&gt;0,E23,1)</f>
        <v/>
      </c>
    </row>
    <row r="24">
      <c r="A24" s="22" t="inlineStr">
        <is>
          <t>바로 배워서 바로 써먹는 바이브 코딩</t>
        </is>
      </c>
      <c r="B24" s="22" t="inlineStr">
        <is>
          <t>박찬, 김병석, 전수연, 김지용, 구현희, 정보 더 보기/감추기, 박찬, 김병석, 전수연, 김지용, 구현희, 전채원, 홍찬우, 이상선</t>
        </is>
      </c>
      <c r="C24" s="22" t="inlineStr">
        <is>
          <t>다빈치books</t>
        </is>
      </c>
      <c r="D24" s="22" t="inlineStr">
        <is>
          <t>2025년 09월</t>
        </is>
      </c>
      <c r="E24" s="28" t="n">
        <v>22000</v>
      </c>
      <c r="F24" s="28" t="n">
        <v>19800</v>
      </c>
      <c r="G24" s="29" t="n">
        <v>43</v>
      </c>
      <c r="H24" s="29" t="n">
        <v>21870</v>
      </c>
      <c r="I24" s="21" t="inlineStr">
        <is>
          <t>2025</t>
        </is>
      </c>
      <c r="J24" s="21" t="inlineStr">
        <is>
          <t xml:space="preserve"> 0</t>
        </is>
      </c>
      <c r="K24" s="30">
        <f>(E24-F24)/IF(E24&gt;0,E24,1)</f>
        <v/>
      </c>
    </row>
    <row r="25">
      <c r="A25" s="22" t="inlineStr">
        <is>
          <t>퇴근이 빨라지는 제미나이 &amp; 노트북LM 업무 자동화 정석 엑셀 X AI</t>
        </is>
      </c>
      <c r="B25" s="22" t="inlineStr">
        <is>
          <t>권현욱</t>
        </is>
      </c>
      <c r="C25" s="22" t="inlineStr">
        <is>
          <t>디지털북스</t>
        </is>
      </c>
      <c r="D25" s="22" t="inlineStr">
        <is>
          <t>2026년 04월</t>
        </is>
      </c>
      <c r="E25" s="28" t="n">
        <v>22000</v>
      </c>
      <c r="F25" s="28" t="n">
        <v>19800</v>
      </c>
      <c r="G25" s="29" t="n">
        <v>5</v>
      </c>
      <c r="H25" s="29" t="n">
        <v>2778</v>
      </c>
      <c r="I25" s="21" t="inlineStr">
        <is>
          <t>2026</t>
        </is>
      </c>
      <c r="J25" s="21" t="inlineStr">
        <is>
          <t xml:space="preserve"> 0</t>
        </is>
      </c>
      <c r="K25" s="30">
        <f>(E25-F25)/IF(E25&gt;0,E25,1)</f>
        <v/>
      </c>
    </row>
    <row r="26">
      <c r="A26" s="22" t="inlineStr">
        <is>
          <t>청소년을 위한 바로 써먹는 필수 AI 활용법</t>
        </is>
      </c>
      <c r="B26" s="22" t="inlineStr">
        <is>
          <t>김환</t>
        </is>
      </c>
      <c r="C26" s="22" t="inlineStr">
        <is>
          <t>알파에듀</t>
        </is>
      </c>
      <c r="D26" s="22" t="inlineStr">
        <is>
          <t>2026년 06월</t>
        </is>
      </c>
      <c r="E26" s="28" t="n">
        <v>16800</v>
      </c>
      <c r="F26" s="28" t="n">
        <v>15120</v>
      </c>
      <c r="G26" s="29" t="n">
        <v>16</v>
      </c>
      <c r="H26" s="29" t="n">
        <v>1752</v>
      </c>
      <c r="I26" s="21" t="inlineStr">
        <is>
          <t>2026</t>
        </is>
      </c>
      <c r="J26" s="21" t="inlineStr">
        <is>
          <t xml:space="preserve"> 0</t>
        </is>
      </c>
      <c r="K26" s="30">
        <f>(E26-F26)/IF(E26&gt;0,E26,1)</f>
        <v/>
      </c>
    </row>
    <row r="27">
      <c r="A27" s="22" t="inlineStr">
        <is>
          <t>딸깍! 바이브 코딩 by 안티그래비티</t>
        </is>
      </c>
      <c r="B27" s="22" t="inlineStr">
        <is>
          <t>반병현</t>
        </is>
      </c>
      <c r="C27" s="22" t="inlineStr">
        <is>
          <t>생능북스</t>
        </is>
      </c>
      <c r="D27" s="22" t="inlineStr">
        <is>
          <t>2026년 04월</t>
        </is>
      </c>
      <c r="E27" s="28" t="n">
        <v>25000</v>
      </c>
      <c r="F27" s="28" t="n">
        <v>22500</v>
      </c>
      <c r="G27" s="29" t="n">
        <v>30</v>
      </c>
      <c r="H27" s="29" t="n">
        <v>4086</v>
      </c>
      <c r="I27" s="21" t="inlineStr">
        <is>
          <t>2026</t>
        </is>
      </c>
      <c r="J27" s="21" t="inlineStr">
        <is>
          <t xml:space="preserve"> 0</t>
        </is>
      </c>
      <c r="K27" s="30">
        <f>(E27-F27)/IF(E27&gt;0,E27,1)</f>
        <v/>
      </c>
    </row>
    <row r="28">
      <c r="A28" s="22" t="inlineStr">
        <is>
          <t>AI 시대 서·논술형 평가 설계 바이블</t>
        </is>
      </c>
      <c r="B28" s="22" t="inlineStr">
        <is>
          <t>조현준, 이근숙, 권좌실, 이슬기, 엄주연, 정보 더 보기/감추기, 조현준, 이근숙, 권좌실, 이슬기, 엄주연, 오덕수</t>
        </is>
      </c>
      <c r="C28" s="22" t="inlineStr">
        <is>
          <t>에듀니티교육연구소(에듀니티)</t>
        </is>
      </c>
      <c r="D28" s="22" t="inlineStr">
        <is>
          <t>2026년 03월</t>
        </is>
      </c>
      <c r="E28" s="28" t="n">
        <v>22000</v>
      </c>
      <c r="F28" s="28" t="n">
        <v>19800</v>
      </c>
      <c r="G28" s="29" t="n">
        <v>9</v>
      </c>
      <c r="H28" s="29" t="n">
        <v>5172</v>
      </c>
      <c r="I28" s="21" t="inlineStr">
        <is>
          <t>2026</t>
        </is>
      </c>
      <c r="J28" s="21" t="inlineStr">
        <is>
          <t xml:space="preserve"> 0</t>
        </is>
      </c>
      <c r="K28" s="30">
        <f>(E28-F28)/IF(E28&gt;0,E28,1)</f>
        <v/>
      </c>
    </row>
    <row r="29">
      <c r="A29" s="22" t="inlineStr">
        <is>
          <t>된다! AI 상위 노출</t>
        </is>
      </c>
      <c r="B29" s="22" t="inlineStr">
        <is>
          <t>이중대</t>
        </is>
      </c>
      <c r="C29" s="22" t="inlineStr">
        <is>
          <t>이지스퍼블리싱</t>
        </is>
      </c>
      <c r="D29" s="22" t="inlineStr">
        <is>
          <t>2026년 03월</t>
        </is>
      </c>
      <c r="E29" s="28" t="n">
        <v>19000</v>
      </c>
      <c r="F29" s="28" t="n">
        <v>17100</v>
      </c>
      <c r="G29" s="29" t="n">
        <v>28</v>
      </c>
      <c r="H29" s="29" t="n">
        <v>4236</v>
      </c>
      <c r="I29" s="21" t="inlineStr">
        <is>
          <t>2026</t>
        </is>
      </c>
      <c r="J29" s="21" t="inlineStr">
        <is>
          <t xml:space="preserve"> 0</t>
        </is>
      </c>
      <c r="K29" s="30">
        <f>(E29-F29)/IF(E29&gt;0,E29,1)</f>
        <v/>
      </c>
    </row>
    <row r="30">
      <c r="A30" s="22" t="inlineStr">
        <is>
          <t>오픈클로</t>
        </is>
      </c>
      <c r="B30" s="22" t="inlineStr">
        <is>
          <t>오창근</t>
        </is>
      </c>
      <c r="C30" s="22" t="inlineStr">
        <is>
          <t>생능북스</t>
        </is>
      </c>
      <c r="D30" s="22" t="inlineStr">
        <is>
          <t>2026년 05월</t>
        </is>
      </c>
      <c r="E30" s="28" t="n">
        <v>22000</v>
      </c>
      <c r="F30" s="28" t="n">
        <v>19800</v>
      </c>
      <c r="G30" s="29" t="n">
        <v>10</v>
      </c>
      <c r="H30" s="29" t="n">
        <v>1596</v>
      </c>
      <c r="I30" s="21" t="inlineStr">
        <is>
          <t>2026</t>
        </is>
      </c>
      <c r="J30" s="21" t="inlineStr">
        <is>
          <t xml:space="preserve"> 0</t>
        </is>
      </c>
      <c r="K30" s="30">
        <f>(E30-F30)/IF(E30&gt;0,E30,1)</f>
        <v/>
      </c>
    </row>
    <row r="31">
      <c r="A31" s="22" t="inlineStr">
        <is>
          <t>모던 데이터 아키텍처 설계와 구현</t>
        </is>
      </c>
      <c r="B31" s="22" t="inlineStr">
        <is>
          <t>피트하인 스트렝홀트, 김영기, 김현진</t>
        </is>
      </c>
      <c r="C31" s="22" t="inlineStr">
        <is>
          <t>책만</t>
        </is>
      </c>
      <c r="D31" s="22" t="inlineStr">
        <is>
          <t>2026년 05월</t>
        </is>
      </c>
      <c r="E31" s="28" t="n">
        <v>33000</v>
      </c>
      <c r="F31" s="28" t="n">
        <v>29700</v>
      </c>
      <c r="G31" s="29" t="n">
        <v>1</v>
      </c>
      <c r="H31" s="29" t="n">
        <v>1743</v>
      </c>
      <c r="I31" s="21" t="inlineStr">
        <is>
          <t>2026</t>
        </is>
      </c>
      <c r="J31" s="21" t="inlineStr">
        <is>
          <t xml:space="preserve"> 0</t>
        </is>
      </c>
      <c r="K31" s="30">
        <f>(E31-F31)/IF(E31&gt;0,E31,1)</f>
        <v/>
      </c>
    </row>
    <row r="32">
      <c r="A32" s="22" t="inlineStr">
        <is>
          <t>앗싸 나도 되네! 오늘부터 바로 써먹는 AI 보험영업 활용법</t>
        </is>
      </c>
      <c r="B32" s="22" t="inlineStr">
        <is>
          <t>조대수</t>
        </is>
      </c>
      <c r="C32" s="22" t="inlineStr">
        <is>
          <t>재노북스</t>
        </is>
      </c>
      <c r="D32" s="22" t="inlineStr">
        <is>
          <t>2026년 03월</t>
        </is>
      </c>
      <c r="E32" s="28" t="n">
        <v>28000</v>
      </c>
      <c r="F32" s="28" t="n">
        <v>25200</v>
      </c>
      <c r="G32" s="29" t="n">
        <v>1</v>
      </c>
      <c r="H32" s="29" t="n">
        <v>2553</v>
      </c>
      <c r="I32" s="21" t="inlineStr">
        <is>
          <t>2026</t>
        </is>
      </c>
      <c r="J32" s="21" t="inlineStr">
        <is>
          <t xml:space="preserve"> 0</t>
        </is>
      </c>
      <c r="K32" s="30">
        <f>(E32-F32)/IF(E32&gt;0,E32,1)</f>
        <v/>
      </c>
    </row>
    <row r="33">
      <c r="A33" s="22" t="inlineStr">
        <is>
          <t>베테랑 AI 전문가가 만든 가장 쉬운 그록 AI 활용! Grok(그록)으로 무엇이든 만들 수 있다 (AI 비서 · 영상 만들기, 유튜브 수익화)</t>
        </is>
      </c>
      <c r="B33" s="22" t="inlineStr">
        <is>
          <t>이현, 이민정, 이승현, 이나윤, 김성희</t>
        </is>
      </c>
      <c r="C33" s="22" t="inlineStr">
        <is>
          <t>광문각출판미디어</t>
        </is>
      </c>
      <c r="D33" s="22" t="inlineStr">
        <is>
          <t>2026년 04월</t>
        </is>
      </c>
      <c r="E33" s="28" t="n">
        <v>19000</v>
      </c>
      <c r="F33" s="28" t="n">
        <v>19000</v>
      </c>
      <c r="G33" s="29" t="n">
        <v>49</v>
      </c>
      <c r="H33" s="29" t="n">
        <v>2232</v>
      </c>
      <c r="I33" s="21" t="inlineStr">
        <is>
          <t>2026</t>
        </is>
      </c>
      <c r="J33" s="21" t="inlineStr">
        <is>
          <t xml:space="preserve"> 0</t>
        </is>
      </c>
      <c r="K33" s="30">
        <f>(E33-F33)/IF(E33&gt;0,E33,1)</f>
        <v/>
      </c>
    </row>
    <row r="34">
      <c r="A34" s="22" t="inlineStr">
        <is>
          <t>클로드 코워크</t>
        </is>
      </c>
      <c r="B34" s="22" t="inlineStr">
        <is>
          <t>신승희</t>
        </is>
      </c>
      <c r="C34" s="22" t="inlineStr">
        <is>
          <t>생능북스</t>
        </is>
      </c>
      <c r="D34" s="22" t="inlineStr">
        <is>
          <t>2026년 06월</t>
        </is>
      </c>
      <c r="E34" s="28" t="n">
        <v>24000</v>
      </c>
      <c r="F34" s="28" t="n">
        <v>21600</v>
      </c>
      <c r="G34" s="29" t="n">
        <v>1</v>
      </c>
      <c r="H34" s="29" t="n">
        <v>780</v>
      </c>
      <c r="I34" s="21" t="inlineStr">
        <is>
          <t>2026</t>
        </is>
      </c>
      <c r="J34" s="21" t="inlineStr">
        <is>
          <t xml:space="preserve"> 0</t>
        </is>
      </c>
      <c r="K34" s="30">
        <f>(E34-F34)/IF(E34&gt;0,E34,1)</f>
        <v/>
      </c>
    </row>
    <row r="35">
      <c r="A35" s="22" t="inlineStr">
        <is>
          <t>Do it! LLM을 활용한 AI 에이전트 개발 입문</t>
        </is>
      </c>
      <c r="B35" s="22" t="inlineStr">
        <is>
          <t>이성용</t>
        </is>
      </c>
      <c r="C35" s="22" t="inlineStr">
        <is>
          <t>이지스퍼블리싱</t>
        </is>
      </c>
      <c r="D35" s="22" t="inlineStr">
        <is>
          <t>2025년 05월</t>
        </is>
      </c>
      <c r="E35" s="28" t="n">
        <v>35000</v>
      </c>
      <c r="F35" s="28" t="n">
        <v>31500</v>
      </c>
      <c r="G35" s="29" t="n">
        <v>22</v>
      </c>
      <c r="H35" s="29" t="n">
        <v>17469</v>
      </c>
      <c r="I35" s="21" t="inlineStr">
        <is>
          <t>2025</t>
        </is>
      </c>
      <c r="J35" s="21" t="inlineStr">
        <is>
          <t xml:space="preserve"> 0</t>
        </is>
      </c>
      <c r="K35" s="30">
        <f>(E35-F35)/IF(E35&gt;0,E35,1)</f>
        <v/>
      </c>
    </row>
    <row r="36">
      <c r="A36" s="22" t="inlineStr">
        <is>
          <t>AI 대세전환 안티그래비티 × 바이브 코딩 압도적 업무 역량</t>
        </is>
      </c>
      <c r="B36" s="22" t="inlineStr">
        <is>
          <t>정용범, 손상우, 박성환</t>
        </is>
      </c>
      <c r="C36" s="22" t="inlineStr">
        <is>
          <t>프리렉</t>
        </is>
      </c>
      <c r="D36" s="22" t="inlineStr">
        <is>
          <t>2026년 05월</t>
        </is>
      </c>
      <c r="E36" s="28" t="n">
        <v>30000</v>
      </c>
      <c r="F36" s="28" t="n">
        <v>27000</v>
      </c>
      <c r="G36" s="29" t="n">
        <v>21</v>
      </c>
      <c r="H36" s="29" t="n">
        <v>1548</v>
      </c>
      <c r="I36" s="21" t="inlineStr">
        <is>
          <t>2026</t>
        </is>
      </c>
      <c r="J36" s="21" t="inlineStr">
        <is>
          <t xml:space="preserve"> 0</t>
        </is>
      </c>
      <c r="K36" s="30">
        <f>(E36-F36)/IF(E36&gt;0,E36,1)</f>
        <v/>
      </c>
    </row>
    <row r="37">
      <c r="A37" s="22" t="inlineStr">
        <is>
          <t>Do it! 바이브 코딩 + 안티그래비티</t>
        </is>
      </c>
      <c r="B37" s="22" t="inlineStr">
        <is>
          <t>조준수</t>
        </is>
      </c>
      <c r="C37" s="22" t="inlineStr">
        <is>
          <t>이지스퍼블리싱</t>
        </is>
      </c>
      <c r="D37" s="22" t="inlineStr">
        <is>
          <t>2026년 05월</t>
        </is>
      </c>
      <c r="E37" s="28" t="n">
        <v>24000</v>
      </c>
      <c r="F37" s="28" t="n">
        <v>21600</v>
      </c>
      <c r="G37" s="29" t="n">
        <v>10</v>
      </c>
      <c r="H37" s="29" t="n">
        <v>1599</v>
      </c>
      <c r="I37" s="21" t="inlineStr">
        <is>
          <t>2026</t>
        </is>
      </c>
      <c r="J37" s="21" t="inlineStr">
        <is>
          <t xml:space="preserve"> 0</t>
        </is>
      </c>
      <c r="K37" s="30">
        <f>(E37-F37)/IF(E37&gt;0,E37,1)</f>
        <v/>
      </c>
    </row>
    <row r="38">
      <c r="A38" s="22" t="inlineStr">
        <is>
          <t>된다! 제미나이, 클로드, 챗GPT AI 챗봇 만들기</t>
        </is>
      </c>
      <c r="B38" s="22" t="inlineStr">
        <is>
          <t>이재윤, 정해준</t>
        </is>
      </c>
      <c r="C38" s="22" t="inlineStr">
        <is>
          <t>이지스퍼블리싱</t>
        </is>
      </c>
      <c r="D38" s="22" t="inlineStr">
        <is>
          <t>2026년 03월</t>
        </is>
      </c>
      <c r="E38" s="28" t="n">
        <v>21000</v>
      </c>
      <c r="F38" s="28" t="n">
        <v>18900</v>
      </c>
      <c r="G38" s="29" t="n">
        <v>15</v>
      </c>
      <c r="H38" s="29" t="n">
        <v>4320</v>
      </c>
      <c r="I38" s="21" t="inlineStr">
        <is>
          <t>2026</t>
        </is>
      </c>
      <c r="J38" s="21" t="inlineStr">
        <is>
          <t xml:space="preserve"> 0</t>
        </is>
      </c>
      <c r="K38" s="30">
        <f>(E38-F38)/IF(E38&gt;0,E38,1)</f>
        <v/>
      </c>
    </row>
    <row r="39">
      <c r="A39" s="22" t="inlineStr">
        <is>
          <t>인공지능이 답할 때 교육은 무엇을 묻는가</t>
        </is>
      </c>
      <c r="B39" s="22" t="inlineStr">
        <is>
          <t>함영기</t>
        </is>
      </c>
      <c r="C39" s="22" t="inlineStr">
        <is>
          <t>에듀니티교육연구소(에듀니티)</t>
        </is>
      </c>
      <c r="D39" s="22" t="inlineStr">
        <is>
          <t>2026년 01월</t>
        </is>
      </c>
      <c r="E39" s="28" t="n">
        <v>20000</v>
      </c>
      <c r="F39" s="28" t="n">
        <v>18000</v>
      </c>
      <c r="G39" s="29" t="n">
        <v>8</v>
      </c>
      <c r="H39" s="29" t="n">
        <v>5394</v>
      </c>
      <c r="I39" s="21" t="inlineStr">
        <is>
          <t>2026</t>
        </is>
      </c>
      <c r="J39" s="21" t="inlineStr">
        <is>
          <t xml:space="preserve"> 0</t>
        </is>
      </c>
      <c r="K39" s="30">
        <f>(E39-F39)/IF(E39&gt;0,E39,1)</f>
        <v/>
      </c>
    </row>
    <row r="40">
      <c r="A40" s="22" t="inlineStr">
        <is>
          <t>크리에이터 김연지의 돈 되는 AI 콘텐츠 설계</t>
        </is>
      </c>
      <c r="B40" s="22" t="inlineStr">
        <is>
          <t>김연지</t>
        </is>
      </c>
      <c r="C40" s="22" t="inlineStr">
        <is>
          <t>한빛비즈</t>
        </is>
      </c>
      <c r="D40" s="22" t="inlineStr">
        <is>
          <t>2026년 05월</t>
        </is>
      </c>
      <c r="E40" s="28" t="n">
        <v>20000</v>
      </c>
      <c r="F40" s="28" t="n">
        <v>18000</v>
      </c>
      <c r="G40" s="29" t="n">
        <v>5</v>
      </c>
      <c r="H40" s="29" t="n">
        <v>1782</v>
      </c>
      <c r="I40" s="21" t="inlineStr">
        <is>
          <t>2026</t>
        </is>
      </c>
      <c r="J40" s="21" t="inlineStr">
        <is>
          <t xml:space="preserve"> 0</t>
        </is>
      </c>
      <c r="K40" s="30">
        <f>(E40-F40)/IF(E40&gt;0,E40,1)</f>
        <v/>
      </c>
    </row>
    <row r="41">
      <c r="A41" s="22" t="inlineStr">
        <is>
          <t>피지컬 AI가 온다</t>
        </is>
      </c>
      <c r="B41" s="22" t="inlineStr">
        <is>
          <t>권군오</t>
        </is>
      </c>
      <c r="C41" s="22" t="inlineStr">
        <is>
          <t>글로벌콘텐츠</t>
        </is>
      </c>
      <c r="D41" s="22" t="inlineStr">
        <is>
          <t>2026년 03월</t>
        </is>
      </c>
      <c r="E41" s="28" t="n">
        <v>25000</v>
      </c>
      <c r="F41" s="28" t="n">
        <v>22500</v>
      </c>
      <c r="G41" s="29" t="n">
        <v>11</v>
      </c>
      <c r="H41" s="29" t="n">
        <v>1074</v>
      </c>
      <c r="I41" s="21" t="inlineStr">
        <is>
          <t>2026</t>
        </is>
      </c>
      <c r="J41" s="21" t="inlineStr">
        <is>
          <t xml:space="preserve"> 0</t>
        </is>
      </c>
      <c r="K41" s="30">
        <f>(E41-F41)/IF(E41&gt;0,E41,1)</f>
        <v/>
      </c>
    </row>
    <row r="42">
      <c r="A42" s="22" t="inlineStr">
        <is>
          <t>챗GPT·퍼플렉시티·클로드·코파일럿·제미나이 다 잘함</t>
        </is>
      </c>
      <c r="B42" s="22" t="inlineStr">
        <is>
          <t>이호정</t>
        </is>
      </c>
      <c r="C42" s="22" t="inlineStr">
        <is>
          <t>리코멘드</t>
        </is>
      </c>
      <c r="D42" s="22" t="inlineStr">
        <is>
          <t>2025년 11월</t>
        </is>
      </c>
      <c r="E42" s="28" t="n">
        <v>28000</v>
      </c>
      <c r="F42" s="28" t="n">
        <v>25200</v>
      </c>
      <c r="G42" s="29" t="n">
        <v>4</v>
      </c>
      <c r="H42" s="29" t="n">
        <v>9042</v>
      </c>
      <c r="I42" s="21" t="inlineStr">
        <is>
          <t>2025</t>
        </is>
      </c>
      <c r="J42" s="21" t="inlineStr">
        <is>
          <t xml:space="preserve"> 1</t>
        </is>
      </c>
      <c r="K42" s="30">
        <f>(E42-F42)/IF(E42&gt;0,E42,1)</f>
        <v/>
      </c>
    </row>
    <row r="43">
      <c r="A43" s="22" t="inlineStr">
        <is>
          <t>대체불가 AI 영상 제작 완전정복</t>
        </is>
      </c>
      <c r="B43" s="22" t="inlineStr">
        <is>
          <t>이용태</t>
        </is>
      </c>
      <c r="C43" s="22" t="inlineStr">
        <is>
          <t>책바세</t>
        </is>
      </c>
      <c r="D43" s="22" t="inlineStr">
        <is>
          <t>2025년 12월</t>
        </is>
      </c>
      <c r="E43" s="28" t="n">
        <v>29000</v>
      </c>
      <c r="F43" s="28" t="n">
        <v>26100</v>
      </c>
      <c r="G43" s="29" t="n">
        <v>14</v>
      </c>
      <c r="H43" s="29" t="n">
        <v>8940</v>
      </c>
      <c r="I43" s="21" t="inlineStr">
        <is>
          <t>2025</t>
        </is>
      </c>
      <c r="J43" s="21" t="inlineStr">
        <is>
          <t xml:space="preserve"> 1</t>
        </is>
      </c>
      <c r="K43" s="30">
        <f>(E43-F43)/IF(E43&gt;0,E43,1)</f>
        <v/>
      </c>
    </row>
    <row r="44">
      <c r="A44" s="22" t="inlineStr">
        <is>
          <t>퇴근을 앞당기는 AI 업무 활용 루틴</t>
        </is>
      </c>
      <c r="B44" s="22" t="inlineStr">
        <is>
          <t>오언주</t>
        </is>
      </c>
      <c r="C44" s="22" t="inlineStr">
        <is>
          <t>시대인</t>
        </is>
      </c>
      <c r="D44" s="22" t="inlineStr">
        <is>
          <t>2026년 06월</t>
        </is>
      </c>
      <c r="E44" s="28" t="n">
        <v>19000</v>
      </c>
      <c r="F44" s="28" t="n">
        <v>17100</v>
      </c>
      <c r="G44" s="29" t="n">
        <v>1</v>
      </c>
      <c r="H44" s="29" t="n">
        <v>900</v>
      </c>
      <c r="I44" s="21" t="inlineStr">
        <is>
          <t>2026</t>
        </is>
      </c>
      <c r="J44" s="21" t="inlineStr">
        <is>
          <t xml:space="preserve"> 0</t>
        </is>
      </c>
      <c r="K44" s="30">
        <f>(E44-F44)/IF(E44&gt;0,E44,1)</f>
        <v/>
      </c>
    </row>
    <row r="45">
      <c r="A45" s="22" t="inlineStr">
        <is>
          <t>된다! 하루 만에 준비하는 AI 학교 수업 활용법</t>
        </is>
      </c>
      <c r="B45" s="22" t="inlineStr">
        <is>
          <t>정인걸, 김경수</t>
        </is>
      </c>
      <c r="C45" s="22" t="inlineStr">
        <is>
          <t>이지스퍼블리싱</t>
        </is>
      </c>
      <c r="D45" s="22" t="inlineStr">
        <is>
          <t>2025년 03월</t>
        </is>
      </c>
      <c r="E45" s="28" t="n">
        <v>19800</v>
      </c>
      <c r="F45" s="28" t="n">
        <v>17820</v>
      </c>
      <c r="G45" s="29" t="n">
        <v>39</v>
      </c>
      <c r="H45" s="29" t="n">
        <v>16953</v>
      </c>
      <c r="I45" s="21" t="inlineStr">
        <is>
          <t>2025</t>
        </is>
      </c>
      <c r="J45" s="21" t="inlineStr">
        <is>
          <t xml:space="preserve"> 0</t>
        </is>
      </c>
      <c r="K45" s="30">
        <f>(E45-F45)/IF(E45&gt;0,E45,1)</f>
        <v/>
      </c>
    </row>
    <row r="46">
      <c r="A46" s="22" t="inlineStr">
        <is>
          <t>리더는 AI에게 질문하지 않는다</t>
        </is>
      </c>
      <c r="B46" s="22" t="inlineStr">
        <is>
          <t>김희연</t>
        </is>
      </c>
      <c r="C46" s="22" t="inlineStr">
        <is>
          <t>북피움</t>
        </is>
      </c>
      <c r="D46" s="22" t="inlineStr">
        <is>
          <t>2026년 01월</t>
        </is>
      </c>
      <c r="E46" s="28" t="n">
        <v>23000</v>
      </c>
      <c r="F46" s="28" t="n">
        <v>20700</v>
      </c>
      <c r="G46" s="29" t="n">
        <v>0</v>
      </c>
      <c r="H46" s="29" t="n">
        <v>3435</v>
      </c>
      <c r="I46" s="21" t="inlineStr">
        <is>
          <t>2026</t>
        </is>
      </c>
      <c r="J46" s="21" t="inlineStr">
        <is>
          <t xml:space="preserve"> 0</t>
        </is>
      </c>
      <c r="K46" s="30">
        <f>(E46-F46)/IF(E46&gt;0,E46,1)</f>
        <v/>
      </c>
    </row>
    <row r="47">
      <c r="A47" s="22" t="inlineStr">
        <is>
          <t>AI 에이전트 생태계</t>
        </is>
      </c>
      <c r="B47" s="22" t="inlineStr">
        <is>
          <t>조쉬</t>
        </is>
      </c>
      <c r="C47" s="22" t="inlineStr">
        <is>
          <t>로드북</t>
        </is>
      </c>
      <c r="D47" s="22" t="inlineStr">
        <is>
          <t>2025년 08월</t>
        </is>
      </c>
      <c r="E47" s="28" t="n">
        <v>27000</v>
      </c>
      <c r="F47" s="28" t="n">
        <v>24300</v>
      </c>
      <c r="G47" s="29" t="n">
        <v>15</v>
      </c>
      <c r="H47" s="29" t="n">
        <v>17076</v>
      </c>
      <c r="I47" s="21" t="inlineStr">
        <is>
          <t>2025</t>
        </is>
      </c>
      <c r="J47" s="21" t="inlineStr">
        <is>
          <t xml:space="preserve"> 0</t>
        </is>
      </c>
      <c r="K47" s="30">
        <f>(E47-F47)/IF(E47&gt;0,E47,1)</f>
        <v/>
      </c>
    </row>
    <row r="48">
      <c r="A48" s="22" t="inlineStr">
        <is>
          <t>된다! AI 디자인 2026</t>
        </is>
      </c>
      <c r="B48" s="22" t="inlineStr">
        <is>
          <t>김희재</t>
        </is>
      </c>
      <c r="C48" s="22" t="inlineStr">
        <is>
          <t>이지스퍼블리싱</t>
        </is>
      </c>
      <c r="D48" s="22" t="inlineStr">
        <is>
          <t>2026년 04월</t>
        </is>
      </c>
      <c r="E48" s="28" t="n">
        <v>29800</v>
      </c>
      <c r="F48" s="28" t="n">
        <v>26820</v>
      </c>
      <c r="G48" s="29" t="n">
        <v>11</v>
      </c>
      <c r="H48" s="29" t="n">
        <v>1632</v>
      </c>
      <c r="I48" s="21" t="inlineStr">
        <is>
          <t>2026</t>
        </is>
      </c>
      <c r="J48" s="21" t="inlineStr">
        <is>
          <t xml:space="preserve"> 0</t>
        </is>
      </c>
      <c r="K48" s="30">
        <f>(E48-F48)/IF(E48&gt;0,E48,1)</f>
        <v/>
      </c>
    </row>
    <row r="49">
      <c r="A49" s="22" t="inlineStr">
        <is>
          <t>RAG 마스터 : 랭체인으로 완성하는 LLM 서비스</t>
        </is>
      </c>
      <c r="B49" s="22" t="inlineStr">
        <is>
          <t>브라이스 유, 조경아, 박수진, 김재웅</t>
        </is>
      </c>
      <c r="C49" s="22" t="inlineStr">
        <is>
          <t>프리렉</t>
        </is>
      </c>
      <c r="D49" s="22" t="inlineStr">
        <is>
          <t>2025년 04월</t>
        </is>
      </c>
      <c r="E49" s="28" t="n">
        <v>32000</v>
      </c>
      <c r="F49" s="28" t="n">
        <v>28800</v>
      </c>
      <c r="G49" s="29" t="n">
        <v>5</v>
      </c>
      <c r="H49" s="29" t="n">
        <v>2940</v>
      </c>
      <c r="I49" s="21" t="inlineStr">
        <is>
          <t>2025</t>
        </is>
      </c>
      <c r="J49" s="21" t="inlineStr">
        <is>
          <t xml:space="preserve"> 0</t>
        </is>
      </c>
      <c r="K49" s="30">
        <f>(E49-F49)/IF(E49&gt;0,E49,1)</f>
        <v/>
      </c>
    </row>
    <row r="50">
      <c r="A50" s="22" t="inlineStr">
        <is>
          <t>AI 지도책</t>
        </is>
      </c>
      <c r="B50" s="22" t="inlineStr">
        <is>
          <t>케이트 크로퍼드, 노승영</t>
        </is>
      </c>
      <c r="C50" s="22" t="inlineStr">
        <is>
          <t>소소의책</t>
        </is>
      </c>
      <c r="D50" s="22" t="inlineStr">
        <is>
          <t>2022년 11월</t>
        </is>
      </c>
      <c r="E50" s="28" t="n">
        <v>21000</v>
      </c>
      <c r="F50" s="28" t="n">
        <v>18900</v>
      </c>
      <c r="G50" s="29" t="n">
        <v>63</v>
      </c>
      <c r="H50" s="29" t="n">
        <v>2130</v>
      </c>
      <c r="I50" s="21" t="inlineStr">
        <is>
          <t>2022</t>
        </is>
      </c>
      <c r="J50" s="21" t="inlineStr">
        <is>
          <t xml:space="preserve"> 1</t>
        </is>
      </c>
      <c r="K50" s="30">
        <f>(E50-F50)/IF(E50&gt;0,E50,1)</f>
        <v/>
      </c>
    </row>
    <row r="51">
      <c r="A51" s="22" t="inlineStr">
        <is>
          <t>최고의 n8n AI 자동화 강의</t>
        </is>
      </c>
      <c r="B51" s="22" t="inlineStr">
        <is>
          <t>박정기</t>
        </is>
      </c>
      <c r="C51" s="22" t="inlineStr">
        <is>
          <t>리코멘드</t>
        </is>
      </c>
      <c r="D51" s="22" t="inlineStr">
        <is>
          <t>2026년 05월</t>
        </is>
      </c>
      <c r="E51" s="28" t="n">
        <v>22000</v>
      </c>
      <c r="F51" s="28" t="n">
        <v>19800</v>
      </c>
      <c r="G51" s="29" t="n">
        <v>12</v>
      </c>
      <c r="H51" s="29" t="n">
        <v>1425</v>
      </c>
      <c r="I51" s="21" t="inlineStr">
        <is>
          <t>2026</t>
        </is>
      </c>
      <c r="J51" s="21" t="inlineStr">
        <is>
          <t xml:space="preserve"> 0</t>
        </is>
      </c>
      <c r="K51" s="30">
        <f>(E51-F51)/IF(E51&gt;0,E51,1)</f>
        <v/>
      </c>
    </row>
    <row r="52">
      <c r="A52" s="22" t="inlineStr">
        <is>
          <t>인공지능 구조 원리 교과서</t>
        </is>
      </c>
      <c r="B52" s="22" t="inlineStr">
        <is>
          <t>송경빈, 남지우</t>
        </is>
      </c>
      <c r="C52" s="22" t="inlineStr">
        <is>
          <t>보누스</t>
        </is>
      </c>
      <c r="D52" s="22" t="inlineStr">
        <is>
          <t>2024년 03월</t>
        </is>
      </c>
      <c r="E52" s="28" t="n">
        <v>19800</v>
      </c>
      <c r="F52" s="28" t="n">
        <v>17820</v>
      </c>
      <c r="G52" s="29" t="n">
        <v>25</v>
      </c>
      <c r="H52" s="29" t="n">
        <v>1380</v>
      </c>
      <c r="I52" s="21" t="inlineStr">
        <is>
          <t>2024</t>
        </is>
      </c>
      <c r="J52" s="21" t="inlineStr">
        <is>
          <t xml:space="preserve"> 0</t>
        </is>
      </c>
      <c r="K52" s="30">
        <f>(E52-F52)/IF(E52&gt;0,E52,1)</f>
        <v/>
      </c>
    </row>
    <row r="53">
      <c r="A53" s="22" t="inlineStr">
        <is>
          <t>그냥 따라하다 배우는, 나노바나나 100선</t>
        </is>
      </c>
      <c r="B53" s="22" t="inlineStr">
        <is>
          <t>이재용</t>
        </is>
      </c>
      <c r="C53" s="22" t="inlineStr">
        <is>
          <t>비엘북스</t>
        </is>
      </c>
      <c r="D53" s="22" t="inlineStr">
        <is>
          <t>2026년 04월</t>
        </is>
      </c>
      <c r="E53" s="28" t="n">
        <v>22000</v>
      </c>
      <c r="F53" s="28" t="n">
        <v>19800</v>
      </c>
      <c r="G53" s="29" t="n">
        <v>0</v>
      </c>
      <c r="H53" s="29" t="n">
        <v>1110</v>
      </c>
      <c r="I53" s="21" t="inlineStr">
        <is>
          <t>2026</t>
        </is>
      </c>
      <c r="J53" s="21" t="inlineStr">
        <is>
          <t xml:space="preserve"> 0</t>
        </is>
      </c>
      <c r="K53" s="30">
        <f>(E53-F53)/IF(E53&gt;0,E53,1)</f>
        <v/>
      </c>
    </row>
    <row r="54">
      <c r="A54" s="22" t="inlineStr">
        <is>
          <t>AI, 글쓰기, 저작권</t>
        </is>
      </c>
      <c r="B54" s="22" t="inlineStr">
        <is>
          <t>정지우</t>
        </is>
      </c>
      <c r="C54" s="22" t="inlineStr">
        <is>
          <t>마름모</t>
        </is>
      </c>
      <c r="D54" s="22" t="inlineStr">
        <is>
          <t>2026년 05월</t>
        </is>
      </c>
      <c r="E54" s="28" t="n">
        <v>12000</v>
      </c>
      <c r="F54" s="28" t="n">
        <v>10800</v>
      </c>
      <c r="G54" s="29" t="n">
        <v>2</v>
      </c>
      <c r="H54" s="29" t="n">
        <v>1098</v>
      </c>
      <c r="I54" s="21" t="inlineStr">
        <is>
          <t>2026</t>
        </is>
      </c>
      <c r="J54" s="21" t="inlineStr">
        <is>
          <t xml:space="preserve"> 0</t>
        </is>
      </c>
      <c r="K54" s="30">
        <f>(E54-F54)/IF(E54&gt;0,E54,1)</f>
        <v/>
      </c>
    </row>
    <row r="55">
      <c r="A55" s="22" t="inlineStr">
        <is>
          <t>프로 일잘러의 AI 실무 바이블</t>
        </is>
      </c>
      <c r="B55" s="22" t="inlineStr">
        <is>
          <t>양일동, 이안정, 박희현, 나한주, 이나윤, 정보 더 보기/감추기, 양일동, 이안정, 박희현, 나한주, 이나윤, 임채용, 임효경</t>
        </is>
      </c>
      <c r="C55" s="22" t="inlineStr">
        <is>
          <t>교육과학사</t>
        </is>
      </c>
      <c r="D55" s="22" t="inlineStr">
        <is>
          <t>2026년 04월</t>
        </is>
      </c>
      <c r="E55" s="28" t="n">
        <v>34000</v>
      </c>
      <c r="F55" s="28" t="n">
        <v>34000</v>
      </c>
      <c r="G55" s="29" t="n">
        <v>38</v>
      </c>
      <c r="H55" s="29" t="n">
        <v>3930</v>
      </c>
      <c r="I55" s="21" t="inlineStr">
        <is>
          <t>2026</t>
        </is>
      </c>
      <c r="J55" s="21" t="inlineStr">
        <is>
          <t xml:space="preserve"> 0</t>
        </is>
      </c>
      <c r="K55" s="30">
        <f>(E55-F55)/IF(E55&gt;0,E55,1)</f>
        <v/>
      </c>
    </row>
    <row r="56">
      <c r="A56" s="22" t="inlineStr">
        <is>
          <t>AI 이해력</t>
        </is>
      </c>
      <c r="B56" s="22" t="inlineStr">
        <is>
          <t>박민경</t>
        </is>
      </c>
      <c r="C56" s="22" t="inlineStr">
        <is>
          <t>로드북</t>
        </is>
      </c>
      <c r="D56" s="22" t="inlineStr">
        <is>
          <t>2026년 05월</t>
        </is>
      </c>
      <c r="E56" s="28" t="n">
        <v>25000</v>
      </c>
      <c r="F56" s="28" t="n">
        <v>22500</v>
      </c>
      <c r="G56" s="29" t="n">
        <v>0</v>
      </c>
      <c r="H56" s="29" t="n">
        <v>876</v>
      </c>
      <c r="I56" s="21" t="inlineStr">
        <is>
          <t>2026</t>
        </is>
      </c>
      <c r="J56" s="21" t="inlineStr">
        <is>
          <t xml:space="preserve"> 0</t>
        </is>
      </c>
      <c r="K56" s="30">
        <f>(E56-F56)/IF(E56&gt;0,E56,1)</f>
        <v/>
      </c>
    </row>
    <row r="57">
      <c r="A57" s="22" t="inlineStr">
        <is>
          <t>LLM을 활용한 실전 AI 애플리케이션 개발</t>
        </is>
      </c>
      <c r="B57" s="22" t="inlineStr">
        <is>
          <t>허정준, 정진호, 박재호</t>
        </is>
      </c>
      <c r="C57" s="22" t="inlineStr">
        <is>
          <t>책만</t>
        </is>
      </c>
      <c r="D57" s="22" t="inlineStr">
        <is>
          <t>2024년 07월</t>
        </is>
      </c>
      <c r="E57" s="28" t="n">
        <v>32000</v>
      </c>
      <c r="F57" s="28" t="n">
        <v>28800</v>
      </c>
      <c r="G57" s="29" t="n">
        <v>31</v>
      </c>
      <c r="H57" s="29" t="n">
        <v>4884</v>
      </c>
      <c r="I57" s="21" t="inlineStr">
        <is>
          <t>2024</t>
        </is>
      </c>
      <c r="J57" s="21" t="inlineStr">
        <is>
          <t xml:space="preserve"> 0</t>
        </is>
      </c>
      <c r="K57" s="30">
        <f>(E57-F57)/IF(E57&gt;0,E57,1)</f>
        <v/>
      </c>
    </row>
    <row r="58">
      <c r="A58" s="22" t="inlineStr">
        <is>
          <t>Do it! 오토캐드 2027 + AI</t>
        </is>
      </c>
      <c r="B58" s="22" t="inlineStr">
        <is>
          <t>박한울</t>
        </is>
      </c>
      <c r="C58" s="22" t="inlineStr">
        <is>
          <t>이지스퍼블리싱</t>
        </is>
      </c>
      <c r="D58" s="22" t="inlineStr">
        <is>
          <t>2026년 06월</t>
        </is>
      </c>
      <c r="E58" s="28" t="n">
        <v>31000</v>
      </c>
      <c r="F58" s="28" t="n">
        <v>27900</v>
      </c>
      <c r="G58" s="29" t="n">
        <v>6</v>
      </c>
      <c r="H58" s="29" t="n">
        <v>360</v>
      </c>
      <c r="I58" s="21" t="inlineStr">
        <is>
          <t>2026</t>
        </is>
      </c>
      <c r="J58" s="21" t="inlineStr">
        <is>
          <t xml:space="preserve"> 0</t>
        </is>
      </c>
      <c r="K58" s="30">
        <f>(E58-F58)/IF(E58&gt;0,E58,1)</f>
        <v/>
      </c>
    </row>
    <row r="59">
      <c r="A59" s="22" t="inlineStr">
        <is>
          <t>인공지능 활용능력 평가 AICE FUTURE 3급</t>
        </is>
      </c>
      <c r="B59" s="22" t="inlineStr">
        <is>
          <t>DIGICO KT</t>
        </is>
      </c>
      <c r="C59" s="22" t="inlineStr">
        <is>
          <t>한국경제매거진</t>
        </is>
      </c>
      <c r="D59" s="22" t="inlineStr">
        <is>
          <t>2022년 11월</t>
        </is>
      </c>
      <c r="E59" s="28" t="n">
        <v>16000</v>
      </c>
      <c r="F59" s="28" t="n">
        <v>16000</v>
      </c>
      <c r="G59" s="29" t="n">
        <v>4</v>
      </c>
      <c r="H59" s="29" t="n">
        <v>2934</v>
      </c>
      <c r="I59" s="21" t="inlineStr">
        <is>
          <t>2022</t>
        </is>
      </c>
      <c r="J59" s="21" t="inlineStr">
        <is>
          <t xml:space="preserve"> 1</t>
        </is>
      </c>
      <c r="K59" s="30">
        <f>(E59-F59)/IF(E59&gt;0,E59,1)</f>
        <v/>
      </c>
    </row>
    <row r="60">
      <c r="A60" s="22" t="inlineStr">
        <is>
          <t>중국 휴머노이드 로봇</t>
        </is>
      </c>
      <c r="B60" s="22" t="inlineStr">
        <is>
          <t>김종문</t>
        </is>
      </c>
      <c r="C60" s="22" t="inlineStr">
        <is>
          <t>다빈치books</t>
        </is>
      </c>
      <c r="D60" s="22" t="inlineStr">
        <is>
          <t>2026년 05월</t>
        </is>
      </c>
      <c r="E60" s="28" t="n">
        <v>22000</v>
      </c>
      <c r="F60" s="28" t="n">
        <v>19800</v>
      </c>
      <c r="G60" s="29" t="n">
        <v>7</v>
      </c>
      <c r="H60" s="29" t="n">
        <v>1080</v>
      </c>
      <c r="I60" s="21" t="inlineStr">
        <is>
          <t>2026</t>
        </is>
      </c>
      <c r="J60" s="21" t="inlineStr">
        <is>
          <t xml:space="preserve"> 0</t>
        </is>
      </c>
      <c r="K60" s="30">
        <f>(E60-F60)/IF(E60&gt;0,E60,1)</f>
        <v/>
      </c>
    </row>
    <row r="61">
      <c r="A61" s="22" t="inlineStr">
        <is>
          <t>인공지능이 다 해주는 브루 Vrew 영상 편집</t>
        </is>
      </c>
      <c r="B61" s="22" t="inlineStr">
        <is>
          <t>지현이, 브루 개발팀</t>
        </is>
      </c>
      <c r="C61" s="22" t="inlineStr">
        <is>
          <t>시프트</t>
        </is>
      </c>
      <c r="D61" s="22" t="inlineStr">
        <is>
          <t>2024년 10월</t>
        </is>
      </c>
      <c r="E61" s="28" t="n">
        <v>20000</v>
      </c>
      <c r="F61" s="28" t="n">
        <v>18000</v>
      </c>
      <c r="G61" s="29" t="n">
        <v>19</v>
      </c>
      <c r="H61" s="29" t="n">
        <v>7848</v>
      </c>
      <c r="I61" s="21" t="inlineStr">
        <is>
          <t>2024</t>
        </is>
      </c>
      <c r="J61" s="21" t="inlineStr">
        <is>
          <t xml:space="preserve"> 1</t>
        </is>
      </c>
      <c r="K61" s="30">
        <f>(E61-F61)/IF(E61&gt;0,E61,1)</f>
        <v/>
      </c>
    </row>
    <row r="62">
      <c r="A62" s="22" t="inlineStr">
        <is>
          <t>AI 프로젝트 100% 성공을 위한 체크리스트 17</t>
        </is>
      </c>
      <c r="B62" s="22" t="inlineStr">
        <is>
          <t>유진호</t>
        </is>
      </c>
      <c r="C62" s="22" t="inlineStr">
        <is>
          <t>책만</t>
        </is>
      </c>
      <c r="D62" s="22" t="inlineStr">
        <is>
          <t>2026년 01월</t>
        </is>
      </c>
      <c r="E62" s="28" t="n">
        <v>28000</v>
      </c>
      <c r="F62" s="28" t="n">
        <v>25200</v>
      </c>
      <c r="G62" s="29" t="n">
        <v>18</v>
      </c>
      <c r="H62" s="29" t="n">
        <v>3606</v>
      </c>
      <c r="I62" s="21" t="inlineStr">
        <is>
          <t>2026</t>
        </is>
      </c>
      <c r="J62" s="21" t="inlineStr">
        <is>
          <t xml:space="preserve"> 0</t>
        </is>
      </c>
      <c r="K62" s="30">
        <f>(E62-F62)/IF(E62&gt;0,E62,1)</f>
        <v/>
      </c>
    </row>
    <row r="63">
      <c r="A63" s="22" t="inlineStr">
        <is>
          <t>바이브 코딩 with 구글 안티그래비티</t>
        </is>
      </c>
      <c r="B63" s="22" t="inlineStr">
        <is>
          <t>노성환</t>
        </is>
      </c>
      <c r="C63" s="22" t="inlineStr">
        <is>
          <t>영진닷컴</t>
        </is>
      </c>
      <c r="D63" s="22" t="inlineStr">
        <is>
          <t>2026년 04월</t>
        </is>
      </c>
      <c r="E63" s="28" t="n">
        <v>18000</v>
      </c>
      <c r="F63" s="28" t="n">
        <v>16200</v>
      </c>
      <c r="G63" s="29" t="n">
        <v>33</v>
      </c>
      <c r="H63" s="29" t="n">
        <v>984</v>
      </c>
      <c r="I63" s="21" t="inlineStr">
        <is>
          <t>2026</t>
        </is>
      </c>
      <c r="J63" s="21" t="inlineStr">
        <is>
          <t xml:space="preserve"> 0</t>
        </is>
      </c>
      <c r="K63" s="30">
        <f>(E63-F63)/IF(E63&gt;0,E63,1)</f>
        <v/>
      </c>
    </row>
    <row r="64">
      <c r="A64" s="22" t="inlineStr">
        <is>
          <t>베테랑 AI 전문교사가 만든 가장 쉬운 패들렛 활용! Padlet(패들렛)으로 무엇이든 만들 수 있다 (교사를 위한 패들렛 수업 활용)</t>
        </is>
      </c>
      <c r="B64" s="22" t="inlineStr">
        <is>
          <t>봉우리, 윤상준, 이호준, 황호연</t>
        </is>
      </c>
      <c r="C64" s="22" t="inlineStr">
        <is>
          <t>광문각출판미디어</t>
        </is>
      </c>
      <c r="D64" s="22" t="inlineStr">
        <is>
          <t>2026년 05월</t>
        </is>
      </c>
      <c r="E64" s="28" t="n">
        <v>17000</v>
      </c>
      <c r="F64" s="28" t="n">
        <v>17000</v>
      </c>
      <c r="G64" s="29" t="n">
        <v>6</v>
      </c>
      <c r="H64" s="29" t="n">
        <v>828</v>
      </c>
      <c r="I64" s="21" t="inlineStr">
        <is>
          <t>2026</t>
        </is>
      </c>
      <c r="J64" s="21" t="inlineStr">
        <is>
          <t xml:space="preserve"> 0</t>
        </is>
      </c>
      <c r="K64" s="30">
        <f>(E64-F64)/IF(E64&gt;0,E64,1)</f>
        <v/>
      </c>
    </row>
    <row r="65">
      <c r="A65" s="22" t="inlineStr">
        <is>
          <t>기업 AI자동화를 위한 클로드 AI활용</t>
        </is>
      </c>
      <c r="B65" s="22" t="inlineStr">
        <is>
          <t>최재용, 박경희, 신진주, 임기정, 권혁용, 정보 더 보기/감추기, 최재용, 박경희, 신진주, 임기정, 권혁용, 김진수, 최동진, 김진선</t>
        </is>
      </c>
      <c r="C65" s="22" t="inlineStr">
        <is>
          <t>미디어북</t>
        </is>
      </c>
      <c r="D65" s="22" t="inlineStr">
        <is>
          <t>2026년 05월</t>
        </is>
      </c>
      <c r="E65" s="28" t="n">
        <v>20000</v>
      </c>
      <c r="F65" s="28" t="n">
        <v>20000</v>
      </c>
      <c r="G65" s="29" t="n">
        <v>0</v>
      </c>
      <c r="H65" s="29" t="n">
        <v>390</v>
      </c>
      <c r="I65" s="21" t="inlineStr">
        <is>
          <t>2026</t>
        </is>
      </c>
      <c r="J65" s="21" t="inlineStr">
        <is>
          <t xml:space="preserve"> 0</t>
        </is>
      </c>
      <c r="K65" s="30">
        <f>(E65-F65)/IF(E65&gt;0,E65,1)</f>
        <v/>
      </c>
    </row>
    <row r="66">
      <c r="A66" s="22" t="inlineStr">
        <is>
          <t>AI 로봇 구조 교과서</t>
        </is>
      </c>
      <c r="B66" s="22" t="inlineStr">
        <is>
          <t>유승남</t>
        </is>
      </c>
      <c r="C66" s="22" t="inlineStr">
        <is>
          <t>보누스</t>
        </is>
      </c>
      <c r="D66" s="22" t="inlineStr">
        <is>
          <t>2026년 01월</t>
        </is>
      </c>
      <c r="E66" s="28" t="n">
        <v>23000</v>
      </c>
      <c r="F66" s="28" t="n">
        <v>20700</v>
      </c>
      <c r="G66" s="29" t="n">
        <v>15</v>
      </c>
      <c r="H66" s="29" t="n">
        <v>1668</v>
      </c>
      <c r="I66" s="21" t="inlineStr">
        <is>
          <t>2026</t>
        </is>
      </c>
      <c r="J66" s="21" t="inlineStr">
        <is>
          <t xml:space="preserve"> 0</t>
        </is>
      </c>
      <c r="K66" s="30">
        <f>(E66-F66)/IF(E66&gt;0,E66,1)</f>
        <v/>
      </c>
    </row>
    <row r="67">
      <c r="A67" s="22" t="inlineStr">
        <is>
          <t>피지컬 AI와 에이전틱 AI가 바꾸는 미래</t>
        </is>
      </c>
      <c r="B67" s="22" t="inlineStr">
        <is>
          <t>권오형, 최재용, 김보성, 김은희, 김재연, 정보 더 보기/감추기, 권오형, 최재용, 김보성, 김은희, 김재연, 나병인, 유채린, 임기정, 차승희, 최소은, 김진선</t>
        </is>
      </c>
      <c r="C67" s="22" t="inlineStr">
        <is>
          <t>미디어북</t>
        </is>
      </c>
      <c r="D67" s="22" t="inlineStr">
        <is>
          <t>2026년 04월</t>
        </is>
      </c>
      <c r="E67" s="28" t="n">
        <v>20000</v>
      </c>
      <c r="F67" s="28" t="n">
        <v>20000</v>
      </c>
      <c r="G67" s="29" t="n">
        <v>19</v>
      </c>
      <c r="H67" s="29" t="n">
        <v>1458</v>
      </c>
      <c r="I67" s="21" t="inlineStr">
        <is>
          <t>2026</t>
        </is>
      </c>
      <c r="J67" s="21" t="inlineStr">
        <is>
          <t xml:space="preserve"> 0</t>
        </is>
      </c>
      <c r="K67" s="30">
        <f>(E67-F67)/IF(E67&gt;0,E67,1)</f>
        <v/>
      </c>
    </row>
    <row r="68">
      <c r="A68" s="22" t="inlineStr">
        <is>
          <t>LangGraph로 만드는 AI 에이전트 서비스</t>
        </is>
      </c>
      <c r="B68" s="22" t="inlineStr">
        <is>
          <t>전상우, 정영훈, 서평원, 이정훈, 이민혁</t>
        </is>
      </c>
      <c r="C68" s="22" t="inlineStr">
        <is>
          <t>성안당</t>
        </is>
      </c>
      <c r="D68" s="22" t="inlineStr">
        <is>
          <t>2026년 05월</t>
        </is>
      </c>
      <c r="E68" s="28" t="n">
        <v>29000</v>
      </c>
      <c r="F68" s="28" t="n">
        <v>26100</v>
      </c>
      <c r="G68" s="29" t="n">
        <v>8</v>
      </c>
      <c r="H68" s="29" t="n">
        <v>1374</v>
      </c>
      <c r="I68" s="21" t="inlineStr">
        <is>
          <t>2026</t>
        </is>
      </c>
      <c r="J68" s="21" t="inlineStr">
        <is>
          <t xml:space="preserve"> 0</t>
        </is>
      </c>
      <c r="K68" s="30">
        <f>(E68-F68)/IF(E68&gt;0,E68,1)</f>
        <v/>
      </c>
    </row>
    <row r="69">
      <c r="A69" s="22" t="inlineStr">
        <is>
          <t>나노바나나로 AI툰 제작하기</t>
        </is>
      </c>
      <c r="B69" s="22" t="inlineStr">
        <is>
          <t>김한재</t>
        </is>
      </c>
      <c r="C69" s="22" t="inlineStr">
        <is>
          <t>비엘북스</t>
        </is>
      </c>
      <c r="D69" s="22" t="inlineStr">
        <is>
          <t>2026년 02월</t>
        </is>
      </c>
      <c r="E69" s="28" t="n">
        <v>32000</v>
      </c>
      <c r="F69" s="28" t="n">
        <v>28800</v>
      </c>
      <c r="G69" s="29" t="n">
        <v>14</v>
      </c>
      <c r="H69" s="29" t="n">
        <v>2343</v>
      </c>
      <c r="I69" s="21" t="inlineStr">
        <is>
          <t>2026</t>
        </is>
      </c>
      <c r="J69" s="21" t="inlineStr">
        <is>
          <t xml:space="preserve"> 0</t>
        </is>
      </c>
      <c r="K69" s="30">
        <f>(E69-F69)/IF(E69&gt;0,E69,1)</f>
        <v/>
      </c>
    </row>
    <row r="70">
      <c r="A70" s="22" t="inlineStr">
        <is>
          <t>나는 오렌지3로 인공지능한다</t>
        </is>
      </c>
      <c r="B70" s="22" t="inlineStr">
        <is>
          <t>장병철, 서미란, 박지훈, 정종호</t>
        </is>
      </c>
      <c r="C70" s="22" t="inlineStr">
        <is>
          <t>씨마스</t>
        </is>
      </c>
      <c r="D70" s="22" t="inlineStr">
        <is>
          <t>2025년 12월</t>
        </is>
      </c>
      <c r="E70" s="28" t="n">
        <v>23000</v>
      </c>
      <c r="F70" s="28" t="n">
        <v>20700</v>
      </c>
      <c r="G70" s="29" t="n">
        <v>41</v>
      </c>
      <c r="H70" s="29" t="n">
        <v>3462</v>
      </c>
      <c r="I70" s="21" t="inlineStr">
        <is>
          <t>2025</t>
        </is>
      </c>
      <c r="J70" s="21" t="inlineStr">
        <is>
          <t xml:space="preserve"> 1</t>
        </is>
      </c>
      <c r="K70" s="30">
        <f>(E70-F70)/IF(E70&gt;0,E70,1)</f>
        <v/>
      </c>
    </row>
    <row r="71">
      <c r="A71" s="22" t="inlineStr">
        <is>
          <t>Do it! 커서로 시작하는 AI 코딩 입문</t>
        </is>
      </c>
      <c r="B71" s="22" t="inlineStr">
        <is>
          <t>고경희</t>
        </is>
      </c>
      <c r="C71" s="22" t="inlineStr">
        <is>
          <t>이지스퍼블리싱</t>
        </is>
      </c>
      <c r="D71" s="22" t="inlineStr">
        <is>
          <t>2025년 09월</t>
        </is>
      </c>
      <c r="E71" s="28" t="n">
        <v>23000</v>
      </c>
      <c r="F71" s="28" t="n">
        <v>20700</v>
      </c>
      <c r="G71" s="29" t="n">
        <v>20</v>
      </c>
      <c r="H71" s="29" t="n">
        <v>4452</v>
      </c>
      <c r="I71" s="21" t="inlineStr">
        <is>
          <t>2025</t>
        </is>
      </c>
      <c r="J71" s="21" t="inlineStr">
        <is>
          <t xml:space="preserve"> 0</t>
        </is>
      </c>
      <c r="K71" s="30">
        <f>(E71-F71)/IF(E71&gt;0,E71,1)</f>
        <v/>
      </c>
    </row>
    <row r="72">
      <c r="A72" s="22" t="inlineStr">
        <is>
          <t>구조를 읽는 눈, 도구를 지배한다</t>
        </is>
      </c>
      <c r="B72" s="22" t="inlineStr">
        <is>
          <t>김도균</t>
        </is>
      </c>
      <c r="C72" s="22" t="inlineStr">
        <is>
          <t>ADK FIRST</t>
        </is>
      </c>
      <c r="D72" s="22" t="inlineStr">
        <is>
          <t>2026년 05월</t>
        </is>
      </c>
      <c r="E72" s="28" t="n">
        <v>24000</v>
      </c>
      <c r="F72" s="28" t="n">
        <v>21600</v>
      </c>
      <c r="G72" s="29" t="n">
        <v>0</v>
      </c>
      <c r="H72" s="29" t="n">
        <v>342</v>
      </c>
      <c r="I72" s="21" t="inlineStr">
        <is>
          <t>2026</t>
        </is>
      </c>
      <c r="J72" s="21" t="inlineStr">
        <is>
          <t xml:space="preserve"> 0</t>
        </is>
      </c>
      <c r="K72" s="30">
        <f>(E72-F72)/IF(E72&gt;0,E72,1)</f>
        <v/>
      </c>
    </row>
    <row r="73">
      <c r="A73" s="22" t="inlineStr">
        <is>
          <t>된다! 피그마 디자인 10분 레시피</t>
        </is>
      </c>
      <c r="B73" s="22" t="inlineStr">
        <is>
          <t>하이서, 김대일, 김시원, 최유빈</t>
        </is>
      </c>
      <c r="C73" s="22" t="inlineStr">
        <is>
          <t>이지스퍼블리싱</t>
        </is>
      </c>
      <c r="D73" s="22" t="inlineStr">
        <is>
          <t>2026년 02월</t>
        </is>
      </c>
      <c r="E73" s="28" t="n">
        <v>28000</v>
      </c>
      <c r="F73" s="28" t="n">
        <v>25200</v>
      </c>
      <c r="G73" s="29" t="n">
        <v>27</v>
      </c>
      <c r="H73" s="29" t="n">
        <v>2838</v>
      </c>
      <c r="I73" s="21" t="inlineStr">
        <is>
          <t>2026</t>
        </is>
      </c>
      <c r="J73" s="21" t="inlineStr">
        <is>
          <t xml:space="preserve"> 0</t>
        </is>
      </c>
      <c r="K73" s="30">
        <f>(E73-F73)/IF(E73&gt;0,E73,1)</f>
        <v/>
      </c>
    </row>
    <row r="74">
      <c r="A74" s="22" t="inlineStr">
        <is>
          <t>예제가 가득한 제미나이 길라잡이</t>
        </is>
      </c>
      <c r="B74" s="22" t="inlineStr">
        <is>
          <t>이승우</t>
        </is>
      </c>
      <c r="C74" s="22" t="inlineStr">
        <is>
          <t>정보문화사</t>
        </is>
      </c>
      <c r="D74" s="22" t="inlineStr">
        <is>
          <t>2026년 04월</t>
        </is>
      </c>
      <c r="E74" s="28" t="n">
        <v>16800</v>
      </c>
      <c r="F74" s="28" t="n">
        <v>15120</v>
      </c>
      <c r="G74" s="29" t="n">
        <v>25</v>
      </c>
      <c r="H74" s="29" t="n">
        <v>1131</v>
      </c>
      <c r="I74" s="21" t="inlineStr">
        <is>
          <t>2026</t>
        </is>
      </c>
      <c r="J74" s="21" t="inlineStr">
        <is>
          <t xml:space="preserve"> 0</t>
        </is>
      </c>
      <c r="K74" s="30">
        <f>(E74-F74)/IF(E74&gt;0,E74,1)</f>
        <v/>
      </c>
    </row>
    <row r="75">
      <c r="A75" s="22" t="inlineStr">
        <is>
          <t>AI로 차트, 그래프, 인포그래픽 한 번에 끝내기</t>
        </is>
      </c>
      <c r="B75" s="22" t="inlineStr">
        <is>
          <t>이현</t>
        </is>
      </c>
      <c r="C75" s="22" t="inlineStr">
        <is>
          <t>천그루숲</t>
        </is>
      </c>
      <c r="D75" s="22" t="inlineStr">
        <is>
          <t>2026년 01월</t>
        </is>
      </c>
      <c r="E75" s="28" t="n">
        <v>18000</v>
      </c>
      <c r="F75" s="28" t="n">
        <v>16200</v>
      </c>
      <c r="G75" s="29" t="n">
        <v>16</v>
      </c>
      <c r="H75" s="29" t="n">
        <v>1206</v>
      </c>
      <c r="I75" s="21" t="inlineStr">
        <is>
          <t>2026</t>
        </is>
      </c>
      <c r="J75" s="21" t="inlineStr">
        <is>
          <t xml:space="preserve"> 0</t>
        </is>
      </c>
      <c r="K75" s="30">
        <f>(E75-F75)/IF(E75&gt;0,E75,1)</f>
        <v/>
      </c>
    </row>
    <row r="76">
      <c r="A76" s="22" t="inlineStr">
        <is>
          <t>AI 시대 사수 없는 마케터의 질문 수업</t>
        </is>
      </c>
      <c r="B76" s="22" t="inlineStr">
        <is>
          <t>이효정</t>
        </is>
      </c>
      <c r="C76" s="22" t="inlineStr">
        <is>
          <t>리코멘드</t>
        </is>
      </c>
      <c r="D76" s="22" t="inlineStr">
        <is>
          <t>2026년 05월</t>
        </is>
      </c>
      <c r="E76" s="28" t="n">
        <v>22000</v>
      </c>
      <c r="F76" s="28" t="n">
        <v>19800</v>
      </c>
      <c r="G76" s="29" t="n">
        <v>7</v>
      </c>
      <c r="H76" s="29" t="n">
        <v>663</v>
      </c>
      <c r="I76" s="21" t="inlineStr">
        <is>
          <t>2026</t>
        </is>
      </c>
      <c r="J76" s="21" t="inlineStr">
        <is>
          <t xml:space="preserve"> 0</t>
        </is>
      </c>
      <c r="K76" s="30">
        <f>(E76-F76)/IF(E76&gt;0,E76,1)</f>
        <v/>
      </c>
    </row>
    <row r="77">
      <c r="A77" s="22" t="inlineStr">
        <is>
          <t>수학대백과사전</t>
        </is>
      </c>
      <c r="B77" s="22" t="inlineStr">
        <is>
          <t>구라모토 다카후미, 린커넥터</t>
        </is>
      </c>
      <c r="C77" s="22" t="inlineStr">
        <is>
          <t>동양북스(동양books)</t>
        </is>
      </c>
      <c r="D77" s="22" t="inlineStr">
        <is>
          <t>2020년 12월</t>
        </is>
      </c>
      <c r="E77" s="28" t="n">
        <v>18000</v>
      </c>
      <c r="F77" s="28" t="n">
        <v>16200</v>
      </c>
      <c r="G77" s="29" t="n">
        <v>30</v>
      </c>
      <c r="H77" s="29" t="n">
        <v>1725</v>
      </c>
      <c r="I77" s="21" t="inlineStr">
        <is>
          <t>2020</t>
        </is>
      </c>
      <c r="J77" s="21" t="inlineStr">
        <is>
          <t xml:space="preserve"> 1</t>
        </is>
      </c>
      <c r="K77" s="30">
        <f>(E77-F77)/IF(E77&gt;0,E77,1)</f>
        <v/>
      </c>
    </row>
    <row r="78">
      <c r="A78" s="22" t="inlineStr">
        <is>
          <t>구글 스프레드시트 &amp; 앱스스크립트 업무 자동화</t>
        </is>
      </c>
      <c r="B78" s="22" t="inlineStr">
        <is>
          <t>천용민</t>
        </is>
      </c>
      <c r="C78" s="22" t="inlineStr">
        <is>
          <t>아이콕스(iCox)</t>
        </is>
      </c>
      <c r="D78" s="22" t="inlineStr">
        <is>
          <t>2025년 07월</t>
        </is>
      </c>
      <c r="E78" s="28" t="n">
        <v>35000</v>
      </c>
      <c r="F78" s="28" t="n">
        <v>31500</v>
      </c>
      <c r="G78" s="29" t="n">
        <v>3</v>
      </c>
      <c r="H78" s="29" t="n">
        <v>1818</v>
      </c>
      <c r="I78" s="21" t="inlineStr">
        <is>
          <t>2025</t>
        </is>
      </c>
      <c r="J78" s="21" t="inlineStr">
        <is>
          <t xml:space="preserve"> 0</t>
        </is>
      </c>
      <c r="K78" s="30">
        <f>(E78-F78)/IF(E78&gt;0,E78,1)</f>
        <v/>
      </c>
    </row>
    <row r="79">
      <c r="A79" s="22" t="inlineStr">
        <is>
          <t>AI로 나만의 3D 애니메이션 만들기</t>
        </is>
      </c>
      <c r="B79" s="22" t="inlineStr">
        <is>
          <t>김희령</t>
        </is>
      </c>
      <c r="C79" s="22" t="inlineStr">
        <is>
          <t>로드북</t>
        </is>
      </c>
      <c r="D79" s="22" t="inlineStr">
        <is>
          <t>2026년 05월</t>
        </is>
      </c>
      <c r="E79" s="28" t="n">
        <v>27000</v>
      </c>
      <c r="F79" s="28" t="n">
        <v>24300</v>
      </c>
      <c r="G79" s="29" t="n">
        <v>0</v>
      </c>
      <c r="H79" s="29" t="n">
        <v>732</v>
      </c>
      <c r="I79" s="21" t="inlineStr">
        <is>
          <t>2026</t>
        </is>
      </c>
      <c r="J79" s="21" t="inlineStr">
        <is>
          <t xml:space="preserve"> 0</t>
        </is>
      </c>
      <c r="K79" s="30">
        <f>(E79-F79)/IF(E79&gt;0,E79,1)</f>
        <v/>
      </c>
    </row>
    <row r="80">
      <c r="A80" s="22" t="inlineStr">
        <is>
          <t>AI 잘 쓰는 디자이너</t>
        </is>
      </c>
      <c r="B80" s="22" t="inlineStr">
        <is>
          <t>전하린</t>
        </is>
      </c>
      <c r="C80" s="22" t="inlineStr">
        <is>
          <t>이지스퍼블리싱</t>
        </is>
      </c>
      <c r="D80" s="22" t="inlineStr">
        <is>
          <t>2025년 12월</t>
        </is>
      </c>
      <c r="E80" s="28" t="n">
        <v>21000</v>
      </c>
      <c r="F80" s="28" t="n">
        <v>18900</v>
      </c>
      <c r="G80" s="29" t="n">
        <v>11</v>
      </c>
      <c r="H80" s="29" t="n">
        <v>2784</v>
      </c>
      <c r="I80" s="21" t="inlineStr">
        <is>
          <t>2025</t>
        </is>
      </c>
      <c r="J80" s="21" t="inlineStr">
        <is>
          <t xml:space="preserve"> 1</t>
        </is>
      </c>
      <c r="K80" s="30">
        <f>(E80-F80)/IF(E80&gt;0,E80,1)</f>
        <v/>
      </c>
    </row>
    <row r="81">
      <c r="A81" s="22" t="inlineStr">
        <is>
          <t>AI로 만드는 나만의 그림책</t>
        </is>
      </c>
      <c r="B81" s="22" t="inlineStr">
        <is>
          <t>민진홍, 국난아</t>
        </is>
      </c>
      <c r="C81" s="22" t="inlineStr">
        <is>
          <t>성안당</t>
        </is>
      </c>
      <c r="D81" s="22" t="inlineStr">
        <is>
          <t>2025년 10월</t>
        </is>
      </c>
      <c r="E81" s="28" t="n">
        <v>25000</v>
      </c>
      <c r="F81" s="28" t="n">
        <v>22500</v>
      </c>
      <c r="G81" s="29" t="n">
        <v>29</v>
      </c>
      <c r="H81" s="29" t="n">
        <v>1614</v>
      </c>
      <c r="I81" s="21" t="inlineStr">
        <is>
          <t>2025</t>
        </is>
      </c>
      <c r="J81" s="21" t="inlineStr">
        <is>
          <t xml:space="preserve"> 1</t>
        </is>
      </c>
      <c r="K81" s="30">
        <f>(E81-F81)/IF(E81&gt;0,E81,1)</f>
        <v/>
      </c>
    </row>
    <row r="82">
      <c r="A82" s="22" t="inlineStr">
        <is>
          <t>어쨌든, 바이브 코딩</t>
        </is>
      </c>
      <c r="B82" s="22" t="inlineStr">
        <is>
          <t>코다프레스, 양희은</t>
        </is>
      </c>
      <c r="C82" s="22" t="inlineStr">
        <is>
          <t>인사이트(insight)</t>
        </is>
      </c>
      <c r="D82" s="22" t="inlineStr">
        <is>
          <t>2025년 12월</t>
        </is>
      </c>
      <c r="E82" s="28" t="n">
        <v>22000</v>
      </c>
      <c r="F82" s="28" t="n">
        <v>19800</v>
      </c>
      <c r="G82" s="29" t="n">
        <v>45</v>
      </c>
      <c r="H82" s="29" t="n">
        <v>3816</v>
      </c>
      <c r="I82" s="21" t="inlineStr">
        <is>
          <t>2025</t>
        </is>
      </c>
      <c r="J82" s="21" t="inlineStr">
        <is>
          <t xml:space="preserve"> 1</t>
        </is>
      </c>
      <c r="K82" s="30">
        <f>(E82-F82)/IF(E82&gt;0,E82,1)</f>
        <v/>
      </c>
    </row>
    <row r="83">
      <c r="A83" s="22" t="inlineStr">
        <is>
          <t>AI 투자 버블이 온다</t>
        </is>
      </c>
      <c r="B83" s="22" t="inlineStr">
        <is>
          <t>클라우디아 로드니, Dalgas Lab</t>
        </is>
      </c>
      <c r="C83" s="22" t="inlineStr">
        <is>
          <t>글로벌콘텐츠</t>
        </is>
      </c>
      <c r="D83" s="22" t="inlineStr">
        <is>
          <t>2026년 01월</t>
        </is>
      </c>
      <c r="E83" s="28" t="n">
        <v>25000</v>
      </c>
      <c r="F83" s="28" t="n">
        <v>22500</v>
      </c>
      <c r="G83" s="29" t="n">
        <v>16</v>
      </c>
      <c r="H83" s="29" t="n">
        <v>708</v>
      </c>
      <c r="I83" s="21" t="inlineStr">
        <is>
          <t>2026</t>
        </is>
      </c>
      <c r="J83" s="21" t="inlineStr">
        <is>
          <t xml:space="preserve"> 0</t>
        </is>
      </c>
      <c r="K83" s="30">
        <f>(E83-F83)/IF(E83&gt;0,E83,1)</f>
        <v/>
      </c>
    </row>
    <row r="84">
      <c r="A84" s="22" t="inlineStr">
        <is>
          <t>대체불가 나노 바나나 완전정복</t>
        </is>
      </c>
      <c r="B84" s="22" t="inlineStr">
        <is>
          <t>이용태</t>
        </is>
      </c>
      <c r="C84" s="22" t="inlineStr">
        <is>
          <t>책바세</t>
        </is>
      </c>
      <c r="D84" s="22" t="inlineStr">
        <is>
          <t>2026년 02월</t>
        </is>
      </c>
      <c r="E84" s="28" t="n">
        <v>27000</v>
      </c>
      <c r="F84" s="28" t="n">
        <v>24300</v>
      </c>
      <c r="G84" s="29" t="n">
        <v>5</v>
      </c>
      <c r="H84" s="29" t="n">
        <v>1812</v>
      </c>
      <c r="I84" s="21" t="inlineStr">
        <is>
          <t>2026</t>
        </is>
      </c>
      <c r="J84" s="21" t="inlineStr">
        <is>
          <t xml:space="preserve"> 0</t>
        </is>
      </c>
      <c r="K84" s="30">
        <f>(E84-F84)/IF(E84&gt;0,E84,1)</f>
        <v/>
      </c>
    </row>
    <row r="85">
      <c r="A85" s="22" t="inlineStr">
        <is>
          <t>교실로 온 ON 제미나이</t>
        </is>
      </c>
      <c r="B85" s="22" t="inlineStr">
        <is>
          <t>박찬, 김병석, 전수연, 김지용, 구현희, 정보 더 보기/감추기, 박찬, 김병석, 전수연, 김지용, 구현희, 전채원, 홍찬우, 임채원</t>
        </is>
      </c>
      <c r="C85" s="22" t="inlineStr">
        <is>
          <t>다빈치books</t>
        </is>
      </c>
      <c r="D85" s="22" t="inlineStr">
        <is>
          <t>2026년 03월</t>
        </is>
      </c>
      <c r="E85" s="28" t="n">
        <v>22000</v>
      </c>
      <c r="F85" s="28" t="n">
        <v>19800</v>
      </c>
      <c r="G85" s="29" t="n">
        <v>13</v>
      </c>
      <c r="H85" s="29" t="n">
        <v>3945</v>
      </c>
      <c r="I85" s="21" t="inlineStr">
        <is>
          <t>2026</t>
        </is>
      </c>
      <c r="J85" s="21" t="inlineStr">
        <is>
          <t xml:space="preserve"> 0</t>
        </is>
      </c>
      <c r="K85" s="30">
        <f>(E85-F85)/IF(E85&gt;0,E85,1)</f>
        <v/>
      </c>
    </row>
    <row r="86">
      <c r="A86" s="22" t="inlineStr">
        <is>
          <t>하네스 AI 시대의 새로운 몸</t>
        </is>
      </c>
      <c r="B86" s="22" t="inlineStr">
        <is>
          <t>강국진</t>
        </is>
      </c>
      <c r="C86" s="22" t="inlineStr">
        <is>
          <t>미래상상</t>
        </is>
      </c>
      <c r="D86" s="22" t="inlineStr">
        <is>
          <t>2026년 06월</t>
        </is>
      </c>
      <c r="E86" s="28" t="n">
        <v>17000</v>
      </c>
      <c r="F86" s="28" t="n">
        <v>15300</v>
      </c>
      <c r="G86" s="29" t="n">
        <v>0</v>
      </c>
      <c r="H86" s="29" t="n">
        <v>366</v>
      </c>
      <c r="I86" s="21" t="inlineStr">
        <is>
          <t>2026</t>
        </is>
      </c>
      <c r="J86" s="21" t="inlineStr">
        <is>
          <t xml:space="preserve"> 0</t>
        </is>
      </c>
      <c r="K86" s="30">
        <f>(E86-F86)/IF(E86&gt;0,E86,1)</f>
        <v/>
      </c>
    </row>
    <row r="87">
      <c r="A87" s="22" t="inlineStr">
        <is>
          <t>AI 버블이 온다</t>
        </is>
      </c>
      <c r="B87" s="22" t="inlineStr">
        <is>
          <t>아르빈드 나라야난, 사야시 카푸르, 강미경</t>
        </is>
      </c>
      <c r="C87" s="22" t="inlineStr">
        <is>
          <t>윌북(willbook)</t>
        </is>
      </c>
      <c r="D87" s="22" t="inlineStr">
        <is>
          <t>2025년 12월</t>
        </is>
      </c>
      <c r="E87" s="28" t="n">
        <v>24800</v>
      </c>
      <c r="F87" s="28" t="n">
        <v>22320</v>
      </c>
      <c r="G87" s="29" t="n">
        <v>49</v>
      </c>
      <c r="H87" s="29" t="n">
        <v>9198</v>
      </c>
      <c r="I87" s="21" t="inlineStr">
        <is>
          <t>2025</t>
        </is>
      </c>
      <c r="J87" s="21" t="inlineStr">
        <is>
          <t xml:space="preserve"> 1</t>
        </is>
      </c>
      <c r="K87" s="30">
        <f>(E87-F87)/IF(E87&gt;0,E87,1)</f>
        <v/>
      </c>
    </row>
    <row r="88">
      <c r="A88" s="22" t="inlineStr">
        <is>
          <t>이론부터 실전까지 AI 에이전트 완벽 마스터</t>
        </is>
      </c>
      <c r="B88" s="22" t="inlineStr">
        <is>
          <t>살바토레 라이엘리, 가브리엘레 이우쿨라노, 에디 유, 김대규, 김현지</t>
        </is>
      </c>
      <c r="C88" s="22" t="inlineStr">
        <is>
          <t>프리렉</t>
        </is>
      </c>
      <c r="D88" s="22" t="inlineStr">
        <is>
          <t>2025년 11월</t>
        </is>
      </c>
      <c r="E88" s="28" t="n">
        <v>42000</v>
      </c>
      <c r="F88" s="28" t="n">
        <v>37800</v>
      </c>
      <c r="G88" s="29" t="n">
        <v>3</v>
      </c>
      <c r="H88" s="29" t="n">
        <v>3048</v>
      </c>
      <c r="I88" s="21" t="inlineStr">
        <is>
          <t>2025</t>
        </is>
      </c>
      <c r="J88" s="21" t="inlineStr">
        <is>
          <t xml:space="preserve"> 1</t>
        </is>
      </c>
      <c r="K88" s="30">
        <f>(E88-F88)/IF(E88&gt;0,E88,1)</f>
        <v/>
      </c>
    </row>
    <row r="89">
      <c r="A89" s="22" t="inlineStr">
        <is>
          <t>수학자와 함께하는 인공지능 수학 with 파이썬</t>
        </is>
      </c>
      <c r="B89" s="22" t="inlineStr">
        <is>
          <t>김종락, 원병선</t>
        </is>
      </c>
      <c r="C89" s="22" t="inlineStr">
        <is>
          <t>한빛아카데미</t>
        </is>
      </c>
      <c r="D89" s="22" t="inlineStr">
        <is>
          <t>2024년 01월</t>
        </is>
      </c>
      <c r="E89" s="28" t="n">
        <v>32000</v>
      </c>
      <c r="F89" s="28" t="n">
        <v>32000</v>
      </c>
      <c r="G89" s="29" t="n">
        <v>4</v>
      </c>
      <c r="H89" s="29" t="n">
        <v>2856</v>
      </c>
      <c r="I89" s="21" t="inlineStr">
        <is>
          <t>2024</t>
        </is>
      </c>
      <c r="J89" s="21" t="inlineStr">
        <is>
          <t xml:space="preserve"> 0</t>
        </is>
      </c>
      <c r="K89" s="30">
        <f>(E89-F89)/IF(E89&gt;0,E89,1)</f>
        <v/>
      </c>
    </row>
    <row r="90">
      <c r="A90" s="22" t="inlineStr">
        <is>
          <t>처음 시작하는 바이브 코딩</t>
        </is>
      </c>
      <c r="B90" s="22" t="inlineStr">
        <is>
          <t>사카이 마리코, KEITO, 고범석, 이한나</t>
        </is>
      </c>
      <c r="C90" s="22" t="inlineStr">
        <is>
          <t>영진닷컴</t>
        </is>
      </c>
      <c r="D90" s="22" t="inlineStr">
        <is>
          <t>2026년 06월</t>
        </is>
      </c>
      <c r="E90" s="28" t="n">
        <v>20000</v>
      </c>
      <c r="F90" s="28" t="n">
        <v>18000</v>
      </c>
      <c r="G90" s="29" t="n">
        <v>0</v>
      </c>
      <c r="H90" s="29" t="n">
        <v>456</v>
      </c>
      <c r="I90" s="21" t="inlineStr">
        <is>
          <t>2026</t>
        </is>
      </c>
      <c r="J90" s="21" t="inlineStr">
        <is>
          <t xml:space="preserve"> 0</t>
        </is>
      </c>
      <c r="K90" s="30">
        <f>(E90-F90)/IF(E90&gt;0,E90,1)</f>
        <v/>
      </c>
    </row>
    <row r="91">
      <c r="A91" s="22" t="inlineStr">
        <is>
          <t>스포츠, AI와 동행하다</t>
        </is>
      </c>
      <c r="B91" s="22" t="inlineStr">
        <is>
          <t>크리스 브래디, 카를 튈스, 샤예간 오미드샤피예, 박재현, 이태구, 정보 더 보기/감추기, 크리스 브래디, 카를 튈스, 샤예간 오미드샤피예, 박재현, 이태구, 구멍가게 코딩단</t>
        </is>
      </c>
      <c r="C91" s="22" t="inlineStr">
        <is>
          <t>성안당</t>
        </is>
      </c>
      <c r="D91" s="22" t="inlineStr">
        <is>
          <t>2025년 07월</t>
        </is>
      </c>
      <c r="E91" s="28" t="n">
        <v>20000</v>
      </c>
      <c r="F91" s="28" t="n">
        <v>18000</v>
      </c>
      <c r="G91" s="29" t="n">
        <v>13</v>
      </c>
      <c r="H91" s="29" t="n">
        <v>3108</v>
      </c>
      <c r="I91" s="21" t="inlineStr">
        <is>
          <t>2025</t>
        </is>
      </c>
      <c r="J91" s="21" t="inlineStr">
        <is>
          <t xml:space="preserve"> 0</t>
        </is>
      </c>
      <c r="K91" s="30">
        <f>(E91-F91)/IF(E91&gt;0,E91,1)</f>
        <v/>
      </c>
    </row>
    <row r="92">
      <c r="A92" s="22" t="inlineStr">
        <is>
          <t>온톨로지 과학자를 위한 지식그래프</t>
        </is>
      </c>
      <c r="B92" s="22" t="inlineStr">
        <is>
          <t>딘 알레망, 제임스 핸들러, 파비엔 갠던, 김학래</t>
        </is>
      </c>
      <c r="C92" s="22" t="inlineStr">
        <is>
          <t>한빛아카데미</t>
        </is>
      </c>
      <c r="D92" s="22" t="inlineStr">
        <is>
          <t>2021년 10월</t>
        </is>
      </c>
      <c r="E92" s="28" t="n">
        <v>45000</v>
      </c>
      <c r="F92" s="28" t="n">
        <v>42750</v>
      </c>
      <c r="G92" s="29" t="n">
        <v>0</v>
      </c>
      <c r="H92" s="29" t="n">
        <v>1212</v>
      </c>
      <c r="I92" s="21" t="inlineStr">
        <is>
          <t>2021</t>
        </is>
      </c>
      <c r="J92" s="21" t="inlineStr">
        <is>
          <t xml:space="preserve"> 1</t>
        </is>
      </c>
      <c r="K92" s="30">
        <f>(E92-F92)/IF(E92&gt;0,E92,1)</f>
        <v/>
      </c>
    </row>
    <row r="93">
      <c r="A93" s="22" t="inlineStr">
        <is>
          <t>어쨌든, 에이전틱 코딩</t>
        </is>
      </c>
      <c r="B93" s="22" t="inlineStr">
        <is>
          <t>코다프레스, 양희은</t>
        </is>
      </c>
      <c r="C93" s="22" t="inlineStr">
        <is>
          <t>인사이트(insight)</t>
        </is>
      </c>
      <c r="D93" s="22" t="inlineStr">
        <is>
          <t>2026년 04월</t>
        </is>
      </c>
      <c r="E93" s="28" t="n">
        <v>25000</v>
      </c>
      <c r="F93" s="28" t="n">
        <v>22500</v>
      </c>
      <c r="G93" s="29" t="n">
        <v>2</v>
      </c>
      <c r="H93" s="29" t="n">
        <v>1893</v>
      </c>
      <c r="I93" s="21" t="inlineStr">
        <is>
          <t>2026</t>
        </is>
      </c>
      <c r="J93" s="21" t="inlineStr">
        <is>
          <t xml:space="preserve"> 0</t>
        </is>
      </c>
      <c r="K93" s="30">
        <f>(E93-F93)/IF(E93&gt;0,E93,1)</f>
        <v/>
      </c>
    </row>
    <row r="94">
      <c r="A94" s="22" t="inlineStr">
        <is>
          <t>Do it! 플러터 앱 개발&amp;출시하기</t>
        </is>
      </c>
      <c r="B94" s="22" t="inlineStr">
        <is>
          <t>조준수</t>
        </is>
      </c>
      <c r="C94" s="22" t="inlineStr">
        <is>
          <t>이지스퍼블리싱</t>
        </is>
      </c>
      <c r="D94" s="22" t="inlineStr">
        <is>
          <t>2025년 07월</t>
        </is>
      </c>
      <c r="E94" s="28" t="n">
        <v>36000</v>
      </c>
      <c r="F94" s="28" t="n">
        <v>32400</v>
      </c>
      <c r="G94" s="29" t="n">
        <v>7</v>
      </c>
      <c r="H94" s="29" t="n">
        <v>2712</v>
      </c>
      <c r="I94" s="21" t="inlineStr">
        <is>
          <t>2025</t>
        </is>
      </c>
      <c r="J94" s="21" t="inlineStr">
        <is>
          <t xml:space="preserve"> 0</t>
        </is>
      </c>
      <c r="K94" s="30">
        <f>(E94-F94)/IF(E94&gt;0,E94,1)</f>
        <v/>
      </c>
    </row>
    <row r="95">
      <c r="A95" s="22" t="inlineStr">
        <is>
          <t>생성형 AI 활용 업무혁신</t>
        </is>
      </c>
      <c r="B95" s="22" t="inlineStr">
        <is>
          <t>최재용, 강병규, 강호종, 김유성, 신진주, 정보 더 보기/감추기, 최재용, 강병규, 강호종, 김유성, 신진주, 유미경, 윤지영, 이도혜, 차승희, 김진선</t>
        </is>
      </c>
      <c r="C95" s="22" t="inlineStr">
        <is>
          <t>미디어북</t>
        </is>
      </c>
      <c r="D95" s="22" t="inlineStr">
        <is>
          <t>2026년 01월</t>
        </is>
      </c>
      <c r="E95" s="28" t="n">
        <v>20000</v>
      </c>
      <c r="F95" s="28" t="n">
        <v>20000</v>
      </c>
      <c r="G95" s="29" t="n">
        <v>14</v>
      </c>
      <c r="H95" s="29" t="n">
        <v>1116</v>
      </c>
      <c r="I95" s="21" t="inlineStr">
        <is>
          <t>2026</t>
        </is>
      </c>
      <c r="J95" s="21" t="inlineStr">
        <is>
          <t xml:space="preserve"> 0</t>
        </is>
      </c>
      <c r="K95" s="30">
        <f>(E95-F95)/IF(E95&gt;0,E95,1)</f>
        <v/>
      </c>
    </row>
    <row r="96">
      <c r="A96" s="22" t="inlineStr">
        <is>
          <t>AI 혁명을 이끈 천재들</t>
        </is>
      </c>
      <c r="B96" s="22" t="inlineStr">
        <is>
          <t>이승민</t>
        </is>
      </c>
      <c r="C96" s="22" t="inlineStr">
        <is>
          <t>좋은습관연구소</t>
        </is>
      </c>
      <c r="D96" s="22" t="inlineStr">
        <is>
          <t>2025년 09월</t>
        </is>
      </c>
      <c r="E96" s="28" t="n">
        <v>21000</v>
      </c>
      <c r="F96" s="28" t="n">
        <v>18900</v>
      </c>
      <c r="G96" s="29" t="n">
        <v>4</v>
      </c>
      <c r="H96" s="29" t="n">
        <v>2250</v>
      </c>
      <c r="I96" s="21" t="inlineStr">
        <is>
          <t>2025</t>
        </is>
      </c>
      <c r="J96" s="21" t="inlineStr">
        <is>
          <t xml:space="preserve"> 0</t>
        </is>
      </c>
      <c r="K96" s="30">
        <f>(E96-F96)/IF(E96&gt;0,E96,1)</f>
        <v/>
      </c>
    </row>
    <row r="97">
      <c r="A97" s="22" t="inlineStr">
        <is>
          <t>인공지능을 위한 수학</t>
        </is>
      </c>
      <c r="B97" s="22" t="inlineStr">
        <is>
          <t>이시카와 아키히코, 신상재, 이진희</t>
        </is>
      </c>
      <c r="C97" s="22" t="inlineStr">
        <is>
          <t>프리렉</t>
        </is>
      </c>
      <c r="D97" s="22" t="inlineStr">
        <is>
          <t>2018년 11월</t>
        </is>
      </c>
      <c r="E97" s="28" t="n">
        <v>25000</v>
      </c>
      <c r="F97" s="28" t="n">
        <v>22500</v>
      </c>
      <c r="G97" s="29" t="n">
        <v>33</v>
      </c>
      <c r="H97" s="29" t="n">
        <v>2112</v>
      </c>
      <c r="I97" s="21" t="inlineStr">
        <is>
          <t>2018</t>
        </is>
      </c>
      <c r="J97" s="21" t="inlineStr">
        <is>
          <t xml:space="preserve"> 1</t>
        </is>
      </c>
      <c r="K97" s="30">
        <f>(E97-F97)/IF(E97&gt;0,E97,1)</f>
        <v/>
      </c>
    </row>
    <row r="98">
      <c r="A98" s="22" t="inlineStr">
        <is>
          <t>어디서든 유튜브 프로듀싱 with 아이패드 파이널 컷 프로 + AI</t>
        </is>
      </c>
      <c r="B98" s="22" t="inlineStr">
        <is>
          <t>남시언</t>
        </is>
      </c>
      <c r="C98" s="22" t="inlineStr">
        <is>
          <t>비제이퍼블릭(BJ퍼블릭)</t>
        </is>
      </c>
      <c r="D98" s="22" t="inlineStr">
        <is>
          <t>2026년 05월</t>
        </is>
      </c>
      <c r="E98" s="28" t="n">
        <v>23000</v>
      </c>
      <c r="F98" s="28" t="n">
        <v>20700</v>
      </c>
      <c r="G98" s="29" t="n">
        <v>13</v>
      </c>
      <c r="H98" s="29" t="n">
        <v>420</v>
      </c>
      <c r="I98" s="21" t="inlineStr">
        <is>
          <t>2026</t>
        </is>
      </c>
      <c r="J98" s="21" t="inlineStr">
        <is>
          <t xml:space="preserve"> 0</t>
        </is>
      </c>
      <c r="K98" s="30">
        <f>(E98-F98)/IF(E98&gt;0,E98,1)</f>
        <v/>
      </c>
    </row>
    <row r="99">
      <c r="A99" s="22" t="inlineStr">
        <is>
          <t>제미나이(Gemini) 재미나게 활용하기</t>
        </is>
      </c>
      <c r="B99" s="22" t="inlineStr">
        <is>
          <t>강신진, 서완석, 오정택</t>
        </is>
      </c>
      <c r="C99" s="22" t="inlineStr">
        <is>
          <t>BOOKK(부크크)</t>
        </is>
      </c>
      <c r="D99" s="22" t="inlineStr">
        <is>
          <t>2026년 04월</t>
        </is>
      </c>
      <c r="E99" s="28" t="n">
        <v>18300</v>
      </c>
      <c r="F99" s="28" t="n">
        <v>18300</v>
      </c>
      <c r="G99" s="29" t="n">
        <v>0</v>
      </c>
      <c r="H99" s="29" t="n">
        <v>348</v>
      </c>
      <c r="I99" s="21" t="inlineStr">
        <is>
          <t>2026</t>
        </is>
      </c>
      <c r="J99" s="21" t="inlineStr">
        <is>
          <t xml:space="preserve"> 0</t>
        </is>
      </c>
      <c r="K99" s="30">
        <f>(E99-F99)/IF(E99&gt;0,E99,1)</f>
        <v/>
      </c>
    </row>
    <row r="100">
      <c r="A100" s="22" t="inlineStr">
        <is>
          <t>챗GPT 교사 마스터 플랜</t>
        </is>
      </c>
      <c r="B100" s="22" t="inlineStr">
        <is>
          <t>한민철</t>
        </is>
      </c>
      <c r="C100" s="22" t="inlineStr">
        <is>
          <t>책바세</t>
        </is>
      </c>
      <c r="D100" s="22" t="inlineStr">
        <is>
          <t>2025년 09월</t>
        </is>
      </c>
      <c r="E100" s="28" t="n">
        <v>27000</v>
      </c>
      <c r="F100" s="28" t="n">
        <v>24300</v>
      </c>
      <c r="G100" s="29" t="n">
        <v>24</v>
      </c>
      <c r="H100" s="29" t="n">
        <v>3948</v>
      </c>
      <c r="I100" s="21" t="inlineStr">
        <is>
          <t>2025</t>
        </is>
      </c>
      <c r="J100" s="21" t="inlineStr">
        <is>
          <t xml:space="preserve"> 0</t>
        </is>
      </c>
      <c r="K100" s="30">
        <f>(E100-F100)/IF(E100&gt;0,E100,1)</f>
        <v/>
      </c>
    </row>
    <row r="101">
      <c r="A101" s="22" t="inlineStr">
        <is>
          <t>가상 면접 사례로 배우는 생성형 AI 서비스 설계</t>
        </is>
      </c>
      <c r="B101" s="22" t="inlineStr">
        <is>
          <t>알리 아미니안, 하오 성, 김지호, 조윤민</t>
        </is>
      </c>
      <c r="C101" s="22" t="inlineStr">
        <is>
          <t>인사이트(insight)</t>
        </is>
      </c>
      <c r="D101" s="22" t="inlineStr">
        <is>
          <t>2026년 03월</t>
        </is>
      </c>
      <c r="E101" s="28" t="n">
        <v>34000</v>
      </c>
      <c r="F101" s="28" t="n">
        <v>30600</v>
      </c>
      <c r="G101" s="29" t="n">
        <v>0</v>
      </c>
      <c r="H101" s="29" t="n">
        <v>1146</v>
      </c>
      <c r="I101" s="21" t="inlineStr">
        <is>
          <t>2026</t>
        </is>
      </c>
      <c r="J101" s="21" t="inlineStr">
        <is>
          <t xml:space="preserve"> 0</t>
        </is>
      </c>
      <c r="K101" s="30">
        <f>(E101-F101)/IF(E101&gt;0,E101,1)</f>
        <v/>
      </c>
    </row>
    <row r="102">
      <c r="A102" s="22" t="inlineStr">
        <is>
          <t>AI 교양서 : 인간은 어떻게 인공지능을 진화시키는가</t>
        </is>
      </c>
      <c r="B102" s="22" t="inlineStr">
        <is>
          <t>이영호, 우혜경</t>
        </is>
      </c>
      <c r="C102" s="22" t="inlineStr">
        <is>
          <t>비제이퍼블릭(BJ퍼블릭)</t>
        </is>
      </c>
      <c r="D102" s="22" t="inlineStr">
        <is>
          <t>2026년 04월</t>
        </is>
      </c>
      <c r="E102" s="28" t="n">
        <v>27000</v>
      </c>
      <c r="F102" s="28" t="n">
        <v>24300</v>
      </c>
      <c r="G102" s="29" t="n">
        <v>43</v>
      </c>
      <c r="H102" s="29" t="n">
        <v>900</v>
      </c>
      <c r="I102" s="21" t="inlineStr">
        <is>
          <t>2026</t>
        </is>
      </c>
      <c r="J102" s="21" t="inlineStr">
        <is>
          <t xml:space="preserve"> 0</t>
        </is>
      </c>
      <c r="K102" s="30">
        <f>(E102-F102)/IF(E102&gt;0,E102,1)</f>
        <v/>
      </c>
    </row>
    <row r="103">
      <c r="A103" s="22" t="inlineStr">
        <is>
          <t>젠스파크 Genspark AI 콘텐츠 공장</t>
        </is>
      </c>
      <c r="B103" s="22" t="inlineStr">
        <is>
          <t>조영빈</t>
        </is>
      </c>
      <c r="C103" s="22" t="inlineStr">
        <is>
          <t>디지털북스</t>
        </is>
      </c>
      <c r="D103" s="22" t="inlineStr">
        <is>
          <t>2026년 04월</t>
        </is>
      </c>
      <c r="E103" s="28" t="n">
        <v>20000</v>
      </c>
      <c r="F103" s="28" t="n">
        <v>18000</v>
      </c>
      <c r="G103" s="29" t="n">
        <v>0</v>
      </c>
      <c r="H103" s="29" t="n">
        <v>846</v>
      </c>
      <c r="I103" s="21" t="inlineStr">
        <is>
          <t>2026</t>
        </is>
      </c>
      <c r="J103" s="21" t="inlineStr">
        <is>
          <t xml:space="preserve"> 0</t>
        </is>
      </c>
      <c r="K103" s="30">
        <f>(E103-F103)/IF(E103&gt;0,E103,1)</f>
        <v/>
      </c>
    </row>
    <row r="104">
      <c r="A104" s="22" t="inlineStr">
        <is>
          <t>제미나이로 구글·이미지·영상·자동화 진짜 잘함</t>
        </is>
      </c>
      <c r="B104" s="22" t="inlineStr">
        <is>
          <t>이호정</t>
        </is>
      </c>
      <c r="C104" s="22" t="inlineStr">
        <is>
          <t>리코멘드</t>
        </is>
      </c>
      <c r="D104" s="22" t="inlineStr">
        <is>
          <t>2026년 03월</t>
        </is>
      </c>
      <c r="E104" s="28" t="n">
        <v>18800</v>
      </c>
      <c r="F104" s="28" t="n">
        <v>16920</v>
      </c>
      <c r="G104" s="29" t="n">
        <v>21</v>
      </c>
      <c r="H104" s="29" t="n">
        <v>1836</v>
      </c>
      <c r="I104" s="21" t="inlineStr">
        <is>
          <t>2026</t>
        </is>
      </c>
      <c r="J104" s="21" t="inlineStr">
        <is>
          <t xml:space="preserve"> 0</t>
        </is>
      </c>
      <c r="K104" s="30">
        <f>(E104-F104)/IF(E104&gt;0,E104,1)</f>
        <v/>
      </c>
    </row>
    <row r="105">
      <c r="A105" s="22" t="inlineStr">
        <is>
          <t>교사를 위한 생성형 AI 활용 수업</t>
        </is>
      </c>
      <c r="B105" s="22" t="inlineStr">
        <is>
          <t>김종혜</t>
        </is>
      </c>
      <c r="C105" s="22" t="inlineStr">
        <is>
          <t>생능북스</t>
        </is>
      </c>
      <c r="D105" s="22" t="inlineStr">
        <is>
          <t>2025년 04월</t>
        </is>
      </c>
      <c r="E105" s="28" t="n">
        <v>16000</v>
      </c>
      <c r="F105" s="28" t="n">
        <v>14400</v>
      </c>
      <c r="G105" s="29" t="n">
        <v>15</v>
      </c>
      <c r="H105" s="29" t="n">
        <v>1752</v>
      </c>
      <c r="I105" s="21" t="inlineStr">
        <is>
          <t>2025</t>
        </is>
      </c>
      <c r="J105" s="21" t="inlineStr">
        <is>
          <t xml:space="preserve"> 0</t>
        </is>
      </c>
      <c r="K105" s="30">
        <f>(E105-F105)/IF(E105&gt;0,E105,1)</f>
        <v/>
      </c>
    </row>
    <row r="106">
      <c r="A106" s="22" t="inlineStr">
        <is>
          <t>AI 워커스: 리디자인</t>
        </is>
      </c>
      <c r="B106" s="22" t="inlineStr">
        <is>
          <t>김아람</t>
        </is>
      </c>
      <c r="C106" s="22" t="inlineStr">
        <is>
          <t>스마트북스</t>
        </is>
      </c>
      <c r="D106" s="22" t="inlineStr">
        <is>
          <t>2026년 03월</t>
        </is>
      </c>
      <c r="E106" s="28" t="n">
        <v>25000</v>
      </c>
      <c r="F106" s="28" t="n">
        <v>22500</v>
      </c>
      <c r="G106" s="29" t="n">
        <v>5</v>
      </c>
      <c r="H106" s="29" t="n">
        <v>1152</v>
      </c>
      <c r="I106" s="21" t="inlineStr">
        <is>
          <t>2026</t>
        </is>
      </c>
      <c r="J106" s="21" t="inlineStr">
        <is>
          <t xml:space="preserve"> 0</t>
        </is>
      </c>
      <c r="K106" s="30">
        <f>(E106-F106)/IF(E106&gt;0,E106,1)</f>
        <v/>
      </c>
    </row>
    <row r="107">
      <c r="A107" s="22" t="inlineStr">
        <is>
          <t>기술·가정 교사가 만든 기술·가정 교사를 위한 찐 실전 챗GPT (생성형 AI (에듀테크) 기술·가정 수업 활용하기!)</t>
        </is>
      </c>
      <c r="B107" s="22" t="inlineStr">
        <is>
          <t>봉우리, 이호준, 윤지원, 김보정</t>
        </is>
      </c>
      <c r="C107" s="22" t="inlineStr">
        <is>
          <t>광문각출판미디어</t>
        </is>
      </c>
      <c r="D107" s="22" t="inlineStr">
        <is>
          <t>2025년 08월</t>
        </is>
      </c>
      <c r="E107" s="28" t="n">
        <v>17000</v>
      </c>
      <c r="F107" s="28" t="n">
        <v>17000</v>
      </c>
      <c r="G107" s="29" t="n">
        <v>11</v>
      </c>
      <c r="H107" s="29" t="n">
        <v>2376</v>
      </c>
      <c r="I107" s="21" t="inlineStr">
        <is>
          <t>2025</t>
        </is>
      </c>
      <c r="J107" s="21" t="inlineStr">
        <is>
          <t xml:space="preserve"> 0</t>
        </is>
      </c>
      <c r="K107" s="30">
        <f>(E107-F107)/IF(E107&gt;0,E107,1)</f>
        <v/>
      </c>
    </row>
    <row r="108">
      <c r="A108" s="22" t="inlineStr">
        <is>
          <t>컴퓨터 비전과 딥러닝</t>
        </is>
      </c>
      <c r="B108" s="22" t="inlineStr">
        <is>
          <t>오일석</t>
        </is>
      </c>
      <c r="C108" s="22" t="inlineStr">
        <is>
          <t>한빛아카데미</t>
        </is>
      </c>
      <c r="D108" s="22" t="inlineStr">
        <is>
          <t>2023년 01월</t>
        </is>
      </c>
      <c r="E108" s="28" t="n">
        <v>39000</v>
      </c>
      <c r="F108" s="28" t="n">
        <v>39000</v>
      </c>
      <c r="G108" s="29" t="n">
        <v>9</v>
      </c>
      <c r="H108" s="29" t="n">
        <v>2172</v>
      </c>
      <c r="I108" s="21" t="inlineStr">
        <is>
          <t>2023</t>
        </is>
      </c>
      <c r="J108" s="21" t="inlineStr">
        <is>
          <t xml:space="preserve"> 0</t>
        </is>
      </c>
      <c r="K108" s="30">
        <f>(E108-F108)/IF(E108&gt;0,E108,1)</f>
        <v/>
      </c>
    </row>
    <row r="109">
      <c r="A109" s="22" t="inlineStr">
        <is>
          <t>어떻게 인간과 공존하는 인공지능을 만들 것인가</t>
        </is>
      </c>
      <c r="B109" s="22" t="inlineStr">
        <is>
          <t>스튜어트 러셀, 이한음</t>
        </is>
      </c>
      <c r="C109" s="22" t="inlineStr">
        <is>
          <t>김영사</t>
        </is>
      </c>
      <c r="D109" s="22" t="inlineStr">
        <is>
          <t>2021년 06월</t>
        </is>
      </c>
      <c r="E109" s="28" t="n">
        <v>22000</v>
      </c>
      <c r="F109" s="28" t="n">
        <v>19800</v>
      </c>
      <c r="G109" s="29" t="n">
        <v>28</v>
      </c>
      <c r="H109" s="29" t="n">
        <v>1044</v>
      </c>
      <c r="I109" s="21" t="inlineStr">
        <is>
          <t>2021</t>
        </is>
      </c>
      <c r="J109" s="21" t="inlineStr">
        <is>
          <t xml:space="preserve"> 0</t>
        </is>
      </c>
      <c r="K109" s="30">
        <f>(E109-F109)/IF(E109&gt;0,E109,1)</f>
        <v/>
      </c>
    </row>
    <row r="110">
      <c r="A110" s="22" t="inlineStr">
        <is>
          <t>인공지능은 왜 정치적일 수밖에 없는가</t>
        </is>
      </c>
      <c r="B110" s="22" t="inlineStr">
        <is>
          <t>마크 코켈버그, 배현석</t>
        </is>
      </c>
      <c r="C110" s="22" t="inlineStr">
        <is>
          <t>생각이음</t>
        </is>
      </c>
      <c r="D110" s="22" t="inlineStr">
        <is>
          <t>2023년 07월</t>
        </is>
      </c>
      <c r="E110" s="28" t="n">
        <v>18800</v>
      </c>
      <c r="F110" s="28" t="n">
        <v>16920</v>
      </c>
      <c r="G110" s="29" t="n">
        <v>7</v>
      </c>
      <c r="H110" s="29" t="n">
        <v>1059</v>
      </c>
      <c r="I110" s="21" t="inlineStr">
        <is>
          <t>2023</t>
        </is>
      </c>
      <c r="J110" s="21" t="inlineStr">
        <is>
          <t xml:space="preserve"> 0</t>
        </is>
      </c>
      <c r="K110" s="30">
        <f>(E110-F110)/IF(E110&gt;0,E110,1)</f>
        <v/>
      </c>
    </row>
    <row r="111">
      <c r="A111" s="22" t="inlineStr">
        <is>
          <t>코파일럿+엑셀 업무자동화 정석</t>
        </is>
      </c>
      <c r="B111" s="22" t="inlineStr">
        <is>
          <t>권현욱</t>
        </is>
      </c>
      <c r="C111" s="22" t="inlineStr">
        <is>
          <t>디지털북스</t>
        </is>
      </c>
      <c r="D111" s="22" t="inlineStr">
        <is>
          <t>2024년 08월</t>
        </is>
      </c>
      <c r="E111" s="28" t="n">
        <v>22000</v>
      </c>
      <c r="F111" s="28" t="n">
        <v>19800</v>
      </c>
      <c r="G111" s="29" t="n">
        <v>4</v>
      </c>
      <c r="H111" s="29" t="n">
        <v>858</v>
      </c>
      <c r="I111" s="21" t="inlineStr">
        <is>
          <t>2024</t>
        </is>
      </c>
      <c r="J111" s="21" t="inlineStr">
        <is>
          <t xml:space="preserve"> 0</t>
        </is>
      </c>
      <c r="K111" s="30">
        <f>(E111-F111)/IF(E111&gt;0,E111,1)</f>
        <v/>
      </c>
    </row>
    <row r="112">
      <c r="A112" s="22" t="inlineStr">
        <is>
          <t>AI 바이브 코딩 마스터</t>
        </is>
      </c>
      <c r="B112" s="22" t="inlineStr">
        <is>
          <t>정의석, 정윤식</t>
        </is>
      </c>
      <c r="C112" s="22" t="inlineStr">
        <is>
          <t>영진닷컴</t>
        </is>
      </c>
      <c r="D112" s="22" t="inlineStr">
        <is>
          <t>2026년 05월</t>
        </is>
      </c>
      <c r="E112" s="28" t="n">
        <v>36000</v>
      </c>
      <c r="F112" s="28" t="n">
        <v>32400</v>
      </c>
      <c r="G112" s="29" t="n">
        <v>10</v>
      </c>
      <c r="H112" s="29" t="n">
        <v>540</v>
      </c>
      <c r="I112" s="21" t="inlineStr">
        <is>
          <t>2026</t>
        </is>
      </c>
      <c r="J112" s="21" t="inlineStr">
        <is>
          <t xml:space="preserve"> 0</t>
        </is>
      </c>
      <c r="K112" s="30">
        <f>(E112-F112)/IF(E112&gt;0,E112,1)</f>
        <v/>
      </c>
    </row>
    <row r="113">
      <c r="A113" s="22" t="inlineStr">
        <is>
          <t>LangChain과 LangGraph로 만드는 LLM 애플리케이션 2/e</t>
        </is>
      </c>
      <c r="B113" s="22" t="inlineStr">
        <is>
          <t>벤 아우파스, 레오니드 쿨리긴, 옥경석, 박규성</t>
        </is>
      </c>
      <c r="C113" s="22" t="inlineStr">
        <is>
          <t>에이콘출판사</t>
        </is>
      </c>
      <c r="D113" s="22" t="inlineStr">
        <is>
          <t>2026년 04월</t>
        </is>
      </c>
      <c r="E113" s="28" t="n">
        <v>40000</v>
      </c>
      <c r="F113" s="28" t="n">
        <v>36000</v>
      </c>
      <c r="G113" s="29" t="n">
        <v>5</v>
      </c>
      <c r="H113" s="29" t="n">
        <v>540</v>
      </c>
      <c r="I113" s="21" t="inlineStr">
        <is>
          <t>2026</t>
        </is>
      </c>
      <c r="J113" s="21" t="inlineStr">
        <is>
          <t xml:space="preserve"> 0</t>
        </is>
      </c>
      <c r="K113" s="30">
        <f>(E113-F113)/IF(E113&gt;0,E113,1)</f>
        <v/>
      </c>
    </row>
    <row r="114">
      <c r="A114" s="22" t="inlineStr">
        <is>
          <t>생성형AI 프롬프트 디자인 실무</t>
        </is>
      </c>
      <c r="B114" s="22" t="inlineStr">
        <is>
          <t>한국생성형AI연구원</t>
        </is>
      </c>
      <c r="C114" s="22" t="inlineStr">
        <is>
          <t>광문각출판미디어</t>
        </is>
      </c>
      <c r="D114" s="22" t="inlineStr">
        <is>
          <t>2026년 01월</t>
        </is>
      </c>
      <c r="E114" s="28" t="n">
        <v>30000</v>
      </c>
      <c r="F114" s="28" t="n">
        <v>30000</v>
      </c>
      <c r="G114" s="29" t="n">
        <v>0</v>
      </c>
      <c r="H114" s="29" t="n">
        <v>432</v>
      </c>
      <c r="I114" s="21" t="inlineStr">
        <is>
          <t>2026</t>
        </is>
      </c>
      <c r="J114" s="21" t="inlineStr">
        <is>
          <t xml:space="preserve"> 0</t>
        </is>
      </c>
      <c r="K114" s="30">
        <f>(E114-F114)/IF(E114&gt;0,E114,1)</f>
        <v/>
      </c>
    </row>
    <row r="115">
      <c r="A115" s="22" t="inlineStr">
        <is>
          <t>왕초보 시니어도 쉽게 따라 하는 챗GPT 사용법</t>
        </is>
      </c>
      <c r="B115" s="22" t="inlineStr">
        <is>
          <t>곽민철, 정희철</t>
        </is>
      </c>
      <c r="C115" s="22" t="inlineStr">
        <is>
          <t>생능북스</t>
        </is>
      </c>
      <c r="D115" s="22" t="inlineStr">
        <is>
          <t>2026년 01월</t>
        </is>
      </c>
      <c r="E115" s="28" t="n">
        <v>16800</v>
      </c>
      <c r="F115" s="28" t="n">
        <v>15120</v>
      </c>
      <c r="G115" s="29" t="n">
        <v>40</v>
      </c>
      <c r="H115" s="29" t="n">
        <v>1956</v>
      </c>
      <c r="I115" s="21" t="inlineStr">
        <is>
          <t>2026</t>
        </is>
      </c>
      <c r="J115" s="21" t="inlineStr">
        <is>
          <t xml:space="preserve"> 0</t>
        </is>
      </c>
      <c r="K115" s="30">
        <f>(E115-F115)/IF(E115&gt;0,E115,1)</f>
        <v/>
      </c>
    </row>
    <row r="116">
      <c r="A116" s="22" t="inlineStr">
        <is>
          <t>목사님, AI와 동역하시겠습니까?</t>
        </is>
      </c>
      <c r="B116" s="22" t="inlineStr">
        <is>
          <t>김시준</t>
        </is>
      </c>
      <c r="C116" s="22" t="inlineStr">
        <is>
          <t>세움북스</t>
        </is>
      </c>
      <c r="D116" s="22" t="inlineStr">
        <is>
          <t>2026년 02월</t>
        </is>
      </c>
      <c r="E116" s="28" t="n">
        <v>22000</v>
      </c>
      <c r="F116" s="28" t="n">
        <v>20900</v>
      </c>
      <c r="G116" s="29" t="n">
        <v>10</v>
      </c>
      <c r="H116" s="29" t="n">
        <v>2544</v>
      </c>
      <c r="I116" s="21" t="inlineStr">
        <is>
          <t>2026</t>
        </is>
      </c>
      <c r="J116" s="21" t="inlineStr">
        <is>
          <t xml:space="preserve"> 0</t>
        </is>
      </c>
      <c r="K116" s="30">
        <f>(E116-F116)/IF(E116&gt;0,E116,1)</f>
        <v/>
      </c>
    </row>
    <row r="117">
      <c r="A117" s="22" t="inlineStr">
        <is>
          <t>난생처음 인공지능 입문</t>
        </is>
      </c>
      <c r="B117" s="22" t="inlineStr">
        <is>
          <t>서지영</t>
        </is>
      </c>
      <c r="C117" s="22" t="inlineStr">
        <is>
          <t>한빛아카데미</t>
        </is>
      </c>
      <c r="D117" s="22" t="inlineStr">
        <is>
          <t>2024년 10월</t>
        </is>
      </c>
      <c r="E117" s="28" t="n">
        <v>27000</v>
      </c>
      <c r="F117" s="28" t="n">
        <v>27000</v>
      </c>
      <c r="G117" s="29" t="n">
        <v>3</v>
      </c>
      <c r="H117" s="29" t="n">
        <v>4554</v>
      </c>
      <c r="I117" s="21" t="inlineStr">
        <is>
          <t>2024</t>
        </is>
      </c>
      <c r="J117" s="21" t="inlineStr">
        <is>
          <t xml:space="preserve"> 1</t>
        </is>
      </c>
      <c r="K117" s="30">
        <f>(E117-F117)/IF(E117&gt;0,E117,1)</f>
        <v/>
      </c>
    </row>
    <row r="118">
      <c r="A118" s="22" t="inlineStr">
        <is>
          <t>혁펜하임의 Easy! 딥러닝</t>
        </is>
      </c>
      <c r="B118" s="22" t="inlineStr">
        <is>
          <t>혁펜하임</t>
        </is>
      </c>
      <c r="C118" s="22" t="inlineStr">
        <is>
          <t>북엔드</t>
        </is>
      </c>
      <c r="D118" s="22" t="inlineStr">
        <is>
          <t>2024년 11월</t>
        </is>
      </c>
      <c r="E118" s="28" t="n">
        <v>35000</v>
      </c>
      <c r="F118" s="28" t="n">
        <v>31500</v>
      </c>
      <c r="G118" s="29" t="n">
        <v>34</v>
      </c>
      <c r="H118" s="29" t="n">
        <v>3240</v>
      </c>
      <c r="I118" s="21" t="inlineStr">
        <is>
          <t>2024</t>
        </is>
      </c>
      <c r="J118" s="21" t="inlineStr">
        <is>
          <t xml:space="preserve"> 1</t>
        </is>
      </c>
      <c r="K118" s="30">
        <f>(E118-F118)/IF(E118&gt;0,E118,1)</f>
        <v/>
      </c>
    </row>
    <row r="119">
      <c r="A119" s="22" t="inlineStr">
        <is>
          <t>무조건 도움되는 유아교사 업무경감</t>
        </is>
      </c>
      <c r="B119" s="22" t="inlineStr">
        <is>
          <t>김나영, 남동윤, 이영은, 장효정, 최지이, 정보 더 보기/감추기, 김나영, 남동윤, 이영은, 장효정, 최지이, 황경미</t>
        </is>
      </c>
      <c r="C119" s="22" t="inlineStr">
        <is>
          <t>교육과실천</t>
        </is>
      </c>
      <c r="D119" s="22" t="inlineStr">
        <is>
          <t>2026년 01월</t>
        </is>
      </c>
      <c r="E119" s="28" t="n">
        <v>25500</v>
      </c>
      <c r="F119" s="28" t="n">
        <v>22950</v>
      </c>
      <c r="G119" s="29" t="n">
        <v>9</v>
      </c>
      <c r="H119" s="29" t="n">
        <v>2289</v>
      </c>
      <c r="I119" s="21" t="inlineStr">
        <is>
          <t>2026</t>
        </is>
      </c>
      <c r="J119" s="21" t="inlineStr">
        <is>
          <t xml:space="preserve"> 0</t>
        </is>
      </c>
      <c r="K119" s="30">
        <f>(E119-F119)/IF(E119&gt;0,E119,1)</f>
        <v/>
      </c>
    </row>
    <row r="120">
      <c r="A120" s="22" t="inlineStr">
        <is>
          <t>현직교사가 만든 가장 쉬운 캔바 수업 활용! 캔바로 무엇이든 만들 수 있다</t>
        </is>
      </c>
      <c r="B120" s="22" t="inlineStr">
        <is>
          <t>이서영, 유상숙, 양지현, 이상현</t>
        </is>
      </c>
      <c r="C120" s="22" t="inlineStr">
        <is>
          <t>광문각출판미디어</t>
        </is>
      </c>
      <c r="D120" s="22" t="inlineStr">
        <is>
          <t>2025년 11월</t>
        </is>
      </c>
      <c r="E120" s="28" t="n">
        <v>19000</v>
      </c>
      <c r="F120" s="28" t="n">
        <v>19000</v>
      </c>
      <c r="G120" s="29" t="n">
        <v>38</v>
      </c>
      <c r="H120" s="29" t="n">
        <v>2370</v>
      </c>
      <c r="I120" s="21" t="inlineStr">
        <is>
          <t>2025</t>
        </is>
      </c>
      <c r="J120" s="21" t="inlineStr">
        <is>
          <t xml:space="preserve"> 1</t>
        </is>
      </c>
      <c r="K120" s="30">
        <f>(E120-F120)/IF(E120&gt;0,E120,1)</f>
        <v/>
      </c>
    </row>
    <row r="121">
      <c r="A121" s="22" t="inlineStr">
        <is>
          <t>챗GPT 프롬프트 120% 질문 기술</t>
        </is>
      </c>
      <c r="B121" s="22" t="inlineStr">
        <is>
          <t>ChatGPT 비즈니스 연구회, 김모세</t>
        </is>
      </c>
      <c r="C121" s="22" t="inlineStr">
        <is>
          <t>정보문화사</t>
        </is>
      </c>
      <c r="D121" s="22" t="inlineStr">
        <is>
          <t>2024년 04월</t>
        </is>
      </c>
      <c r="E121" s="28" t="n">
        <v>15000</v>
      </c>
      <c r="F121" s="28" t="n">
        <v>13500</v>
      </c>
      <c r="G121" s="29" t="n">
        <v>41</v>
      </c>
      <c r="H121" s="29" t="n">
        <v>2961</v>
      </c>
      <c r="I121" s="21" t="inlineStr">
        <is>
          <t>2024</t>
        </is>
      </c>
      <c r="J121" s="21" t="inlineStr">
        <is>
          <t xml:space="preserve"> 0</t>
        </is>
      </c>
      <c r="K121" s="30">
        <f>(E121-F121)/IF(E121&gt;0,E121,1)</f>
        <v/>
      </c>
    </row>
    <row r="122">
      <c r="A122" s="22" t="inlineStr">
        <is>
          <t>모두를 위한 진짜 쎈 바이브 코딩 with 인스타그램 클론 코딩</t>
        </is>
      </c>
      <c r="B122" s="22" t="inlineStr">
        <is>
          <t>전병우, 박윤철, 노마드코알라</t>
        </is>
      </c>
      <c r="C122" s="22" t="inlineStr">
        <is>
          <t>리코멘드</t>
        </is>
      </c>
      <c r="D122" s="22" t="inlineStr">
        <is>
          <t>2026년 04월</t>
        </is>
      </c>
      <c r="E122" s="28" t="n">
        <v>28000</v>
      </c>
      <c r="F122" s="28" t="n">
        <v>25200</v>
      </c>
      <c r="G122" s="29" t="n">
        <v>26</v>
      </c>
      <c r="H122" s="29" t="n">
        <v>930</v>
      </c>
      <c r="I122" s="21" t="inlineStr">
        <is>
          <t>2026</t>
        </is>
      </c>
      <c r="J122" s="21" t="inlineStr">
        <is>
          <t xml:space="preserve"> 0</t>
        </is>
      </c>
      <c r="K122" s="30">
        <f>(E122-F122)/IF(E122&gt;0,E122,1)</f>
        <v/>
      </c>
    </row>
    <row r="123">
      <c r="A123" s="22" t="inlineStr">
        <is>
          <t>딥러닝을 위한 선형대수학</t>
        </is>
      </c>
      <c r="B123" s="22" t="inlineStr">
        <is>
          <t>길버트 스트랭, 부산대학교 산업수학센터(FFMIMC)</t>
        </is>
      </c>
      <c r="C123" s="22" t="inlineStr">
        <is>
          <t>한빛아카데미</t>
        </is>
      </c>
      <c r="D123" s="22" t="inlineStr">
        <is>
          <t>2020년 08월</t>
        </is>
      </c>
      <c r="E123" s="28" t="n">
        <v>38000</v>
      </c>
      <c r="F123" s="28" t="n">
        <v>34200</v>
      </c>
      <c r="G123" s="29" t="n">
        <v>5</v>
      </c>
      <c r="H123" s="29" t="n">
        <v>1026</v>
      </c>
      <c r="I123" s="21" t="inlineStr">
        <is>
          <t>2020</t>
        </is>
      </c>
      <c r="J123" s="21" t="inlineStr">
        <is>
          <t xml:space="preserve"> 0</t>
        </is>
      </c>
      <c r="K123" s="30">
        <f>(E123-F123)/IF(E123&gt;0,E123,1)</f>
        <v/>
      </c>
    </row>
    <row r="124">
      <c r="A124" s="22" t="inlineStr">
        <is>
          <t>손에 잡히는 AI</t>
        </is>
      </c>
      <c r="B124" s="22" t="inlineStr">
        <is>
          <t>최원재</t>
        </is>
      </c>
      <c r="C124" s="22" t="inlineStr">
        <is>
          <t>정한책방</t>
        </is>
      </c>
      <c r="D124" s="22" t="inlineStr">
        <is>
          <t>2026년 03월</t>
        </is>
      </c>
      <c r="E124" s="28" t="n">
        <v>18000</v>
      </c>
      <c r="F124" s="28" t="n">
        <v>16200</v>
      </c>
      <c r="G124" s="29" t="n">
        <v>0</v>
      </c>
      <c r="H124" s="29" t="n">
        <v>696</v>
      </c>
      <c r="I124" s="21" t="inlineStr">
        <is>
          <t>2026</t>
        </is>
      </c>
      <c r="J124" s="21" t="inlineStr">
        <is>
          <t xml:space="preserve"> 0</t>
        </is>
      </c>
      <c r="K124" s="30">
        <f>(E124-F124)/IF(E124&gt;0,E124,1)</f>
        <v/>
      </c>
    </row>
    <row r="125">
      <c r="A125" s="22" t="inlineStr">
        <is>
          <t>AI 증강 독해와 AI 드리블링 바이블 심화·활용 편</t>
        </is>
      </c>
      <c r="B125" s="22" t="inlineStr">
        <is>
          <t>나준호, 성낙환, 이하영</t>
        </is>
      </c>
      <c r="C125" s="22" t="inlineStr">
        <is>
          <t>성안당</t>
        </is>
      </c>
      <c r="D125" s="22" t="inlineStr">
        <is>
          <t>2026년 05월</t>
        </is>
      </c>
      <c r="E125" s="28" t="n">
        <v>25000</v>
      </c>
      <c r="F125" s="28" t="n">
        <v>22500</v>
      </c>
      <c r="G125" s="29" t="n">
        <v>3</v>
      </c>
      <c r="H125" s="29" t="n">
        <v>498</v>
      </c>
      <c r="I125" s="21" t="inlineStr">
        <is>
          <t>2026</t>
        </is>
      </c>
      <c r="J125" s="21" t="inlineStr">
        <is>
          <t xml:space="preserve"> 0</t>
        </is>
      </c>
      <c r="K125" s="30">
        <f>(E125-F125)/IF(E125&gt;0,E125,1)</f>
        <v/>
      </c>
    </row>
    <row r="126">
      <c r="A126" s="22" t="inlineStr">
        <is>
          <t>다중 에이전트 시스템을 위한 컨텍스트 엔지니어링</t>
        </is>
      </c>
      <c r="B126" s="22" t="inlineStr">
        <is>
          <t>데니스 로스먼, 류광, 307번역랩</t>
        </is>
      </c>
      <c r="C126" s="22" t="inlineStr">
        <is>
          <t>위키아카데미</t>
        </is>
      </c>
      <c r="D126" s="22" t="inlineStr">
        <is>
          <t>2026년 06월</t>
        </is>
      </c>
      <c r="E126" s="28" t="n">
        <v>32000</v>
      </c>
      <c r="F126" s="28" t="n">
        <v>28800</v>
      </c>
      <c r="G126" s="29" t="n">
        <v>0</v>
      </c>
      <c r="H126" s="29" t="n">
        <v>120</v>
      </c>
      <c r="I126" s="21" t="inlineStr">
        <is>
          <t>2026</t>
        </is>
      </c>
      <c r="J126" s="21" t="inlineStr">
        <is>
          <t xml:space="preserve"> 0</t>
        </is>
      </c>
      <c r="K126" s="30">
        <f>(E126-F126)/IF(E126&gt;0,E126,1)</f>
        <v/>
      </c>
    </row>
    <row r="127">
      <c r="A127" s="22" t="inlineStr">
        <is>
          <t>AI 숏폼 동영상 구글 플로우 FLOW 비오3 VEO3 유튜브 쇼츠 인스타그램 릴스 틱톡 네이버 클립 인공지능 만들기 제작 책 학원강의 교재보다 좋은 USB 강좌 초보 교육 사용법</t>
        </is>
      </c>
      <c r="B127" s="22" t="n">
        <v/>
      </c>
      <c r="C127" s="22" t="inlineStr">
        <is>
          <t>액션미디어</t>
        </is>
      </c>
      <c r="D127" s="22" t="inlineStr">
        <is>
          <t>2026년 06월</t>
        </is>
      </c>
      <c r="E127" s="28" t="n">
        <v>39800</v>
      </c>
      <c r="F127" s="28" t="n">
        <v>39800</v>
      </c>
      <c r="G127" s="29" t="n">
        <v>0</v>
      </c>
      <c r="H127" s="29" t="n">
        <v>120</v>
      </c>
      <c r="I127" s="21" t="inlineStr">
        <is>
          <t>2026</t>
        </is>
      </c>
      <c r="J127" s="21" t="inlineStr">
        <is>
          <t xml:space="preserve"> 0</t>
        </is>
      </c>
      <c r="K127" s="30">
        <f>(E127-F127)/IF(E127&gt;0,E127,1)</f>
        <v/>
      </c>
    </row>
    <row r="128">
      <c r="A128" s="22" t="inlineStr">
        <is>
          <t>AI 탐구 수업</t>
        </is>
      </c>
      <c r="B128" s="22" t="inlineStr">
        <is>
          <t>정종수</t>
        </is>
      </c>
      <c r="C128" s="22" t="inlineStr">
        <is>
          <t>플루토</t>
        </is>
      </c>
      <c r="D128" s="22" t="inlineStr">
        <is>
          <t>2026년 05월</t>
        </is>
      </c>
      <c r="E128" s="28" t="n">
        <v>17000</v>
      </c>
      <c r="F128" s="28" t="n">
        <v>15300</v>
      </c>
      <c r="G128" s="29" t="n">
        <v>3</v>
      </c>
      <c r="H128" s="29" t="n">
        <v>489</v>
      </c>
      <c r="I128" s="21" t="inlineStr">
        <is>
          <t>2026</t>
        </is>
      </c>
      <c r="J128" s="21" t="inlineStr">
        <is>
          <t xml:space="preserve"> 0</t>
        </is>
      </c>
      <c r="K128" s="30">
        <f>(E128-F128)/IF(E128&gt;0,E128,1)</f>
        <v/>
      </c>
    </row>
    <row r="129">
      <c r="A129" s="22" t="inlineStr">
        <is>
          <t>IT 트렌드 2026</t>
        </is>
      </c>
      <c r="B129" s="22" t="inlineStr">
        <is>
          <t>김지현</t>
        </is>
      </c>
      <c r="C129" s="22" t="inlineStr">
        <is>
          <t>크레타</t>
        </is>
      </c>
      <c r="D129" s="22" t="inlineStr">
        <is>
          <t>2025년 10월</t>
        </is>
      </c>
      <c r="E129" s="28" t="n">
        <v>20000</v>
      </c>
      <c r="F129" s="28" t="n">
        <v>18000</v>
      </c>
      <c r="G129" s="29" t="n">
        <v>23</v>
      </c>
      <c r="H129" s="29" t="n">
        <v>2787</v>
      </c>
      <c r="I129" s="21" t="inlineStr">
        <is>
          <t>2025</t>
        </is>
      </c>
      <c r="J129" s="21" t="inlineStr">
        <is>
          <t xml:space="preserve"> 1</t>
        </is>
      </c>
      <c r="K129" s="30">
        <f>(E129-F129)/IF(E129&gt;0,E129,1)</f>
        <v/>
      </c>
    </row>
    <row r="130">
      <c r="A130" s="22" t="inlineStr">
        <is>
          <t>AI를 활용한 법률문서 작성법</t>
        </is>
      </c>
      <c r="B130" s="22" t="inlineStr">
        <is>
          <t>김종엽</t>
        </is>
      </c>
      <c r="C130" s="22" t="inlineStr">
        <is>
          <t>(주)박영사</t>
        </is>
      </c>
      <c r="D130" s="22" t="inlineStr">
        <is>
          <t>2025년 05월</t>
        </is>
      </c>
      <c r="E130" s="28" t="n">
        <v>27000</v>
      </c>
      <c r="F130" s="28" t="n">
        <v>27000</v>
      </c>
      <c r="G130" s="29" t="n">
        <v>6</v>
      </c>
      <c r="H130" s="29" t="n">
        <v>2304</v>
      </c>
      <c r="I130" s="21" t="inlineStr">
        <is>
          <t>2025</t>
        </is>
      </c>
      <c r="J130" s="21" t="inlineStr">
        <is>
          <t xml:space="preserve"> 0</t>
        </is>
      </c>
      <c r="K130" s="30">
        <f>(E130-F130)/IF(E130&gt;0,E130,1)</f>
        <v/>
      </c>
    </row>
    <row r="131">
      <c r="A131" s="22" t="inlineStr">
        <is>
          <t>AX 100배의 법칙</t>
        </is>
      </c>
      <c r="B131" s="22" t="inlineStr">
        <is>
          <t>황재선</t>
        </is>
      </c>
      <c r="C131" s="22" t="inlineStr">
        <is>
          <t>좋은습관연구소</t>
        </is>
      </c>
      <c r="D131" s="22" t="inlineStr">
        <is>
          <t>2025년 06월</t>
        </is>
      </c>
      <c r="E131" s="28" t="n">
        <v>25000</v>
      </c>
      <c r="F131" s="28" t="n">
        <v>22500</v>
      </c>
      <c r="G131" s="29" t="n">
        <v>4</v>
      </c>
      <c r="H131" s="29" t="n">
        <v>3252</v>
      </c>
      <c r="I131" s="21" t="inlineStr">
        <is>
          <t>2025</t>
        </is>
      </c>
      <c r="J131" s="21" t="inlineStr">
        <is>
          <t xml:space="preserve"> 0</t>
        </is>
      </c>
      <c r="K131" s="30">
        <f>(E131-F131)/IF(E131&gt;0,E131,1)</f>
        <v/>
      </c>
    </row>
    <row r="132">
      <c r="A132" s="22" t="inlineStr">
        <is>
          <t>벡터 데이터베이스 설계와 구축</t>
        </is>
      </c>
      <c r="B132" s="22" t="inlineStr">
        <is>
          <t>송한림</t>
        </is>
      </c>
      <c r="C132" s="22" t="inlineStr">
        <is>
          <t>아이리포</t>
        </is>
      </c>
      <c r="D132" s="22" t="inlineStr">
        <is>
          <t>2025년 03월</t>
        </is>
      </c>
      <c r="E132" s="28" t="n">
        <v>17800</v>
      </c>
      <c r="F132" s="28" t="n">
        <v>16020</v>
      </c>
      <c r="G132" s="29" t="n">
        <v>7</v>
      </c>
      <c r="H132" s="29" t="n">
        <v>3150</v>
      </c>
      <c r="I132" s="21" t="inlineStr">
        <is>
          <t>2025</t>
        </is>
      </c>
      <c r="J132" s="21" t="inlineStr">
        <is>
          <t xml:space="preserve"> 0</t>
        </is>
      </c>
      <c r="K132" s="30">
        <f>(E132-F132)/IF(E132&gt;0,E132,1)</f>
        <v/>
      </c>
    </row>
    <row r="133">
      <c r="A133" s="22" t="inlineStr">
        <is>
          <t>최고의 프롬프트 엔지니어링 강의</t>
        </is>
      </c>
      <c r="B133" s="22" t="inlineStr">
        <is>
          <t>김진중</t>
        </is>
      </c>
      <c r="C133" s="22" t="inlineStr">
        <is>
          <t>리코멘드</t>
        </is>
      </c>
      <c r="D133" s="22" t="inlineStr">
        <is>
          <t>2024년 06월</t>
        </is>
      </c>
      <c r="E133" s="28" t="n">
        <v>24000</v>
      </c>
      <c r="F133" s="28" t="n">
        <v>21600</v>
      </c>
      <c r="G133" s="29" t="n">
        <v>18</v>
      </c>
      <c r="H133" s="29" t="n">
        <v>1944</v>
      </c>
      <c r="I133" s="21" t="inlineStr">
        <is>
          <t>2024</t>
        </is>
      </c>
      <c r="J133" s="21" t="inlineStr">
        <is>
          <t xml:space="preserve"> 0</t>
        </is>
      </c>
      <c r="K133" s="30">
        <f>(E133-F133)/IF(E133&gt;0,E133,1)</f>
        <v/>
      </c>
    </row>
    <row r="134">
      <c r="A134" s="22" t="inlineStr">
        <is>
          <t>학업과 취업을 위한 제미나이 노트북LM으로 무엇이든 만들 수 있다</t>
        </is>
      </c>
      <c r="B134" s="22" t="inlineStr">
        <is>
          <t>전다희, 황우현</t>
        </is>
      </c>
      <c r="C134" s="22" t="inlineStr">
        <is>
          <t>광문각출판미디어</t>
        </is>
      </c>
      <c r="D134" s="22" t="inlineStr">
        <is>
          <t>2026년 02월</t>
        </is>
      </c>
      <c r="E134" s="28" t="n">
        <v>22000</v>
      </c>
      <c r="F134" s="28" t="n">
        <v>22000</v>
      </c>
      <c r="G134" s="29" t="n">
        <v>15</v>
      </c>
      <c r="H134" s="29" t="n">
        <v>564</v>
      </c>
      <c r="I134" s="21" t="inlineStr">
        <is>
          <t>2026</t>
        </is>
      </c>
      <c r="J134" s="21" t="inlineStr">
        <is>
          <t xml:space="preserve"> 0</t>
        </is>
      </c>
      <c r="K134" s="30">
        <f>(E134-F134)/IF(E134&gt;0,E134,1)</f>
        <v/>
      </c>
    </row>
    <row r="135">
      <c r="A135" s="22" t="inlineStr">
        <is>
          <t>Dify, 코딩 없이 AI 앱 개발의 시작</t>
        </is>
      </c>
      <c r="B135" s="22" t="inlineStr">
        <is>
          <t>멀티코어, 조준희, 강장묵, 이상한, 윤철희</t>
        </is>
      </c>
      <c r="C135" s="22" t="inlineStr">
        <is>
          <t>프리렉</t>
        </is>
      </c>
      <c r="D135" s="22" t="inlineStr">
        <is>
          <t>2025년 12월</t>
        </is>
      </c>
      <c r="E135" s="28" t="n">
        <v>25000</v>
      </c>
      <c r="F135" s="28" t="n">
        <v>22500</v>
      </c>
      <c r="G135" s="29" t="n">
        <v>4</v>
      </c>
      <c r="H135" s="29" t="n">
        <v>660</v>
      </c>
      <c r="I135" s="21" t="inlineStr">
        <is>
          <t>2025</t>
        </is>
      </c>
      <c r="J135" s="21" t="inlineStr">
        <is>
          <t xml:space="preserve"> 1</t>
        </is>
      </c>
      <c r="K135" s="30">
        <f>(E135-F135)/IF(E135&gt;0,E135,1)</f>
        <v/>
      </c>
    </row>
    <row r="136">
      <c r="A136" s="22" t="inlineStr">
        <is>
          <t>비개발자도 클로드 코드로 쉽게 만드는 AI 웹 서비스</t>
        </is>
      </c>
      <c r="B136" s="22" t="inlineStr">
        <is>
          <t>최원재</t>
        </is>
      </c>
      <c r="C136" s="22" t="inlineStr">
        <is>
          <t>위즈앤북</t>
        </is>
      </c>
      <c r="D136" s="22" t="inlineStr">
        <is>
          <t>2026년 05월</t>
        </is>
      </c>
      <c r="E136" s="28" t="n">
        <v>25000</v>
      </c>
      <c r="F136" s="28" t="n">
        <v>22500</v>
      </c>
      <c r="G136" s="29" t="n">
        <v>0</v>
      </c>
      <c r="H136" s="29" t="n">
        <v>522</v>
      </c>
      <c r="I136" s="21" t="inlineStr">
        <is>
          <t>2026</t>
        </is>
      </c>
      <c r="J136" s="21" t="inlineStr">
        <is>
          <t xml:space="preserve"> 0</t>
        </is>
      </c>
      <c r="K136" s="30">
        <f>(E136-F136)/IF(E136&gt;0,E136,1)</f>
        <v/>
      </c>
    </row>
    <row r="137">
      <c r="A137" s="22" t="inlineStr">
        <is>
          <t>된다! 하루 만에 만드는 AI 사진 &amp; 이미지</t>
        </is>
      </c>
      <c r="B137" s="22" t="inlineStr">
        <is>
          <t>김원석</t>
        </is>
      </c>
      <c r="C137" s="22" t="inlineStr">
        <is>
          <t>이지스퍼블리싱</t>
        </is>
      </c>
      <c r="D137" s="22" t="inlineStr">
        <is>
          <t>2025년 08월</t>
        </is>
      </c>
      <c r="E137" s="28" t="n">
        <v>17800</v>
      </c>
      <c r="F137" s="28" t="n">
        <v>16020</v>
      </c>
      <c r="G137" s="29" t="n">
        <v>40</v>
      </c>
      <c r="H137" s="29" t="n">
        <v>3912</v>
      </c>
      <c r="I137" s="21" t="inlineStr">
        <is>
          <t>2025</t>
        </is>
      </c>
      <c r="J137" s="21" t="inlineStr">
        <is>
          <t xml:space="preserve"> 0</t>
        </is>
      </c>
      <c r="K137" s="30">
        <f>(E137-F137)/IF(E137&gt;0,E137,1)</f>
        <v/>
      </c>
    </row>
    <row r="138">
      <c r="A138" s="22" t="inlineStr">
        <is>
          <t>한 권으로 끝내는 AI 자동화</t>
        </is>
      </c>
      <c r="B138" s="22" t="inlineStr">
        <is>
          <t>최재용, 이요셉, 이신우, 최금선, 박경희, 정보 더 보기/감추기, 최재용, 이요셉, 이신우, 최금선, 박경희, 유미경, 한주은, 오영주, 정은진, 김진수</t>
        </is>
      </c>
      <c r="C138" s="22" t="inlineStr">
        <is>
          <t>두온교육(주)</t>
        </is>
      </c>
      <c r="D138" s="22" t="inlineStr">
        <is>
          <t>2026년 05월</t>
        </is>
      </c>
      <c r="E138" s="28" t="n">
        <v>22000</v>
      </c>
      <c r="F138" s="28" t="n">
        <v>19800</v>
      </c>
      <c r="G138" s="29" t="n">
        <v>0</v>
      </c>
      <c r="H138" s="29" t="n">
        <v>246</v>
      </c>
      <c r="I138" s="21" t="inlineStr">
        <is>
          <t>2026</t>
        </is>
      </c>
      <c r="J138" s="21" t="inlineStr">
        <is>
          <t xml:space="preserve"> 0</t>
        </is>
      </c>
      <c r="K138" s="30">
        <f>(E138-F138)/IF(E138&gt;0,E138,1)</f>
        <v/>
      </c>
    </row>
    <row r="139">
      <c r="A139" s="22" t="inlineStr">
        <is>
          <t>AI 시대 엄마가 먼저 알아야 할 최상위 공부법</t>
        </is>
      </c>
      <c r="B139" s="22" t="inlineStr">
        <is>
          <t>오주연, 김지예, 김현아</t>
        </is>
      </c>
      <c r="C139" s="22" t="inlineStr">
        <is>
          <t>한빛비즈</t>
        </is>
      </c>
      <c r="D139" s="22" t="inlineStr">
        <is>
          <t>2026년 03월</t>
        </is>
      </c>
      <c r="E139" s="28" t="n">
        <v>22000</v>
      </c>
      <c r="F139" s="28" t="n">
        <v>19800</v>
      </c>
      <c r="G139" s="29" t="n">
        <v>16</v>
      </c>
      <c r="H139" s="29" t="n">
        <v>1242</v>
      </c>
      <c r="I139" s="21" t="inlineStr">
        <is>
          <t>2026</t>
        </is>
      </c>
      <c r="J139" s="21" t="inlineStr">
        <is>
          <t xml:space="preserve"> 0</t>
        </is>
      </c>
      <c r="K139" s="30">
        <f>(E139-F139)/IF(E139&gt;0,E139,1)</f>
        <v/>
      </c>
    </row>
    <row r="140">
      <c r="A140" s="22" t="inlineStr">
        <is>
          <t>AI로 이미지, 영상, 음악 한 번에 끝내기</t>
        </is>
      </c>
      <c r="B140" s="22" t="inlineStr">
        <is>
          <t>이현</t>
        </is>
      </c>
      <c r="C140" s="22" t="inlineStr">
        <is>
          <t>천그루숲</t>
        </is>
      </c>
      <c r="D140" s="22" t="inlineStr">
        <is>
          <t>2024년 11월</t>
        </is>
      </c>
      <c r="E140" s="28" t="n">
        <v>18000</v>
      </c>
      <c r="F140" s="28" t="n">
        <v>16200</v>
      </c>
      <c r="G140" s="29" t="n">
        <v>14</v>
      </c>
      <c r="H140" s="29" t="n">
        <v>1098</v>
      </c>
      <c r="I140" s="21" t="inlineStr">
        <is>
          <t>2024</t>
        </is>
      </c>
      <c r="J140" s="21" t="inlineStr">
        <is>
          <t xml:space="preserve"> 1</t>
        </is>
      </c>
      <c r="K140" s="30">
        <f>(E140-F140)/IF(E140&gt;0,E140,1)</f>
        <v/>
      </c>
    </row>
    <row r="141">
      <c r="A141" s="22" t="inlineStr">
        <is>
          <t>기계는 어떻게 생각하는가? (리커버판)</t>
        </is>
      </c>
      <c r="B141" s="22" t="inlineStr">
        <is>
          <t>숀 게리시, 이수겸</t>
        </is>
      </c>
      <c r="C141" s="22" t="inlineStr">
        <is>
          <t>이지스퍼블리싱</t>
        </is>
      </c>
      <c r="D141" s="22" t="inlineStr">
        <is>
          <t>2024년 05월</t>
        </is>
      </c>
      <c r="E141" s="28" t="n">
        <v>18000</v>
      </c>
      <c r="F141" s="28" t="n">
        <v>16200</v>
      </c>
      <c r="G141" s="29" t="n">
        <v>28</v>
      </c>
      <c r="H141" s="29" t="n">
        <v>1026</v>
      </c>
      <c r="I141" s="21" t="inlineStr">
        <is>
          <t>2024</t>
        </is>
      </c>
      <c r="J141" s="21" t="inlineStr">
        <is>
          <t xml:space="preserve"> 0</t>
        </is>
      </c>
      <c r="K141" s="30">
        <f>(E141-F141)/IF(E141&gt;0,E141,1)</f>
        <v/>
      </c>
    </row>
    <row r="142">
      <c r="A142" s="22" t="inlineStr">
        <is>
          <t>AI시대, 스토리텔링의 재탄생</t>
        </is>
      </c>
      <c r="B142" s="22" t="inlineStr">
        <is>
          <t>김태원</t>
        </is>
      </c>
      <c r="C142" s="22" t="inlineStr">
        <is>
          <t>파람북</t>
        </is>
      </c>
      <c r="D142" s="22" t="inlineStr">
        <is>
          <t>2026년 04월</t>
        </is>
      </c>
      <c r="E142" s="28" t="n">
        <v>19000</v>
      </c>
      <c r="F142" s="28" t="n">
        <v>17100</v>
      </c>
      <c r="G142" s="29" t="n">
        <v>2</v>
      </c>
      <c r="H142" s="29" t="n">
        <v>822</v>
      </c>
      <c r="I142" s="21" t="inlineStr">
        <is>
          <t>2026</t>
        </is>
      </c>
      <c r="J142" s="21" t="inlineStr">
        <is>
          <t xml:space="preserve"> 0</t>
        </is>
      </c>
      <c r="K142" s="30">
        <f>(E142-F142)/IF(E142&gt;0,E142,1)</f>
        <v/>
      </c>
    </row>
    <row r="143">
      <c r="A143" s="22" t="inlineStr">
        <is>
          <t>Vertex AI와 Gemini로 시작하는  생성형 AI 실전 개발</t>
        </is>
      </c>
      <c r="B143" s="22" t="inlineStr">
        <is>
          <t>김민형</t>
        </is>
      </c>
      <c r="C143" s="22" t="inlineStr">
        <is>
          <t>디지털북스</t>
        </is>
      </c>
      <c r="D143" s="22" t="inlineStr">
        <is>
          <t>2026년 04월</t>
        </is>
      </c>
      <c r="E143" s="28" t="n">
        <v>32000</v>
      </c>
      <c r="F143" s="28" t="n">
        <v>28800</v>
      </c>
      <c r="G143" s="29" t="n">
        <v>0</v>
      </c>
      <c r="H143" s="29" t="n">
        <v>840</v>
      </c>
      <c r="I143" s="21" t="inlineStr">
        <is>
          <t>2026</t>
        </is>
      </c>
      <c r="J143" s="21" t="inlineStr">
        <is>
          <t xml:space="preserve"> 0</t>
        </is>
      </c>
      <c r="K143" s="30">
        <f>(E143-F143)/IF(E143&gt;0,E143,1)</f>
        <v/>
      </c>
    </row>
    <row r="144">
      <c r="A144" s="22" t="inlineStr">
        <is>
          <t>프롬프트 엔지니어링</t>
        </is>
      </c>
      <c r="B144" s="22" t="inlineStr">
        <is>
          <t>반병현</t>
        </is>
      </c>
      <c r="C144" s="22" t="inlineStr">
        <is>
          <t>생능북스</t>
        </is>
      </c>
      <c r="D144" s="22" t="inlineStr">
        <is>
          <t>2025년 09월</t>
        </is>
      </c>
      <c r="E144" s="28" t="n">
        <v>25000</v>
      </c>
      <c r="F144" s="28" t="n">
        <v>22500</v>
      </c>
      <c r="G144" s="29" t="n">
        <v>0</v>
      </c>
      <c r="H144" s="29" t="n">
        <v>1014</v>
      </c>
      <c r="I144" s="21" t="inlineStr">
        <is>
          <t>2025</t>
        </is>
      </c>
      <c r="J144" s="21" t="inlineStr">
        <is>
          <t xml:space="preserve"> 0</t>
        </is>
      </c>
      <c r="K144" s="30">
        <f>(E144-F144)/IF(E144&gt;0,E144,1)</f>
        <v/>
      </c>
    </row>
    <row r="145">
      <c r="A145" s="22" t="inlineStr">
        <is>
          <t>2025 이공자 ITQ한글 2022 (스프링)</t>
        </is>
      </c>
      <c r="B145" s="22" t="inlineStr">
        <is>
          <t>KIE 기획연구실</t>
        </is>
      </c>
      <c r="C145" s="22" t="inlineStr">
        <is>
          <t>아카데미소프트</t>
        </is>
      </c>
      <c r="D145" s="22" t="inlineStr">
        <is>
          <t>2024년 10월</t>
        </is>
      </c>
      <c r="E145" s="28" t="n">
        <v>17000</v>
      </c>
      <c r="F145" s="28" t="n">
        <v>15300</v>
      </c>
      <c r="G145" s="29" t="n">
        <v>1</v>
      </c>
      <c r="H145" s="29" t="n">
        <v>3189</v>
      </c>
      <c r="I145" s="21" t="inlineStr">
        <is>
          <t>2024</t>
        </is>
      </c>
      <c r="J145" s="21" t="inlineStr">
        <is>
          <t xml:space="preserve"> 1</t>
        </is>
      </c>
      <c r="K145" s="30">
        <f>(E145-F145)/IF(E145&gt;0,E145,1)</f>
        <v/>
      </c>
    </row>
    <row r="146">
      <c r="A146" s="22" t="inlineStr">
        <is>
          <t>테디노트의 랭체인을 활용한 RAG 비법노트 : 기본편</t>
        </is>
      </c>
      <c r="B146" s="22" t="inlineStr">
        <is>
          <t>이경록</t>
        </is>
      </c>
      <c r="C146" s="22" t="inlineStr">
        <is>
          <t>리코멘드</t>
        </is>
      </c>
      <c r="D146" s="22" t="inlineStr">
        <is>
          <t>2025년 05월</t>
        </is>
      </c>
      <c r="E146" s="28" t="n">
        <v>34000</v>
      </c>
      <c r="F146" s="28" t="n">
        <v>30600</v>
      </c>
      <c r="G146" s="29" t="n">
        <v>1</v>
      </c>
      <c r="H146" s="29" t="n">
        <v>5874</v>
      </c>
      <c r="I146" s="21" t="inlineStr">
        <is>
          <t>2025</t>
        </is>
      </c>
      <c r="J146" s="21" t="inlineStr">
        <is>
          <t xml:space="preserve"> 0</t>
        </is>
      </c>
      <c r="K146" s="30">
        <f>(E146-F146)/IF(E146&gt;0,E146,1)</f>
        <v/>
      </c>
    </row>
    <row r="147">
      <c r="A147" s="22" t="inlineStr">
        <is>
          <t>따라 하면 성공하는 사업계획서 작성법</t>
        </is>
      </c>
      <c r="B147" s="22" t="inlineStr">
        <is>
          <t>홍승민</t>
        </is>
      </c>
      <c r="C147" s="22" t="inlineStr">
        <is>
          <t>지식과감성#</t>
        </is>
      </c>
      <c r="D147" s="22" t="inlineStr">
        <is>
          <t>2024년 12월</t>
        </is>
      </c>
      <c r="E147" s="28" t="n">
        <v>16700</v>
      </c>
      <c r="F147" s="28" t="n">
        <v>15030</v>
      </c>
      <c r="G147" s="29" t="n">
        <v>4</v>
      </c>
      <c r="H147" s="29" t="n">
        <v>618</v>
      </c>
      <c r="I147" s="21" t="inlineStr">
        <is>
          <t>2024</t>
        </is>
      </c>
      <c r="J147" s="21" t="inlineStr">
        <is>
          <t xml:space="preserve"> 1</t>
        </is>
      </c>
      <c r="K147" s="30">
        <f>(E147-F147)/IF(E147&gt;0,E147,1)</f>
        <v/>
      </c>
    </row>
    <row r="148">
      <c r="A148" s="22" t="inlineStr">
        <is>
          <t>AI 협업 글쓰기 실전 가이드 글쓰기는 프롬프트다</t>
        </is>
      </c>
      <c r="B148" s="22" t="inlineStr">
        <is>
          <t>오창근</t>
        </is>
      </c>
      <c r="C148" s="22" t="inlineStr">
        <is>
          <t>성안당</t>
        </is>
      </c>
      <c r="D148" s="22" t="inlineStr">
        <is>
          <t>2026년 03월</t>
        </is>
      </c>
      <c r="E148" s="28" t="n">
        <v>25000</v>
      </c>
      <c r="F148" s="28" t="n">
        <v>22500</v>
      </c>
      <c r="G148" s="29" t="n">
        <v>27</v>
      </c>
      <c r="H148" s="29" t="n">
        <v>1299</v>
      </c>
      <c r="I148" s="21" t="inlineStr">
        <is>
          <t>2026</t>
        </is>
      </c>
      <c r="J148" s="21" t="inlineStr">
        <is>
          <t xml:space="preserve"> 0</t>
        </is>
      </c>
      <c r="K148" s="30">
        <f>(E148-F148)/IF(E148&gt;0,E148,1)</f>
        <v/>
      </c>
    </row>
    <row r="149">
      <c r="A149" s="22" t="inlineStr">
        <is>
          <t>네이버 블로그 AI 자동화 마케팅 with 챗GPT+Zapier+Make</t>
        </is>
      </c>
      <c r="B149" s="22" t="inlineStr">
        <is>
          <t>조영빈</t>
        </is>
      </c>
      <c r="C149" s="22" t="inlineStr">
        <is>
          <t>디지털북스</t>
        </is>
      </c>
      <c r="D149" s="22" t="inlineStr">
        <is>
          <t>2025년 04월</t>
        </is>
      </c>
      <c r="E149" s="28" t="n">
        <v>20000</v>
      </c>
      <c r="F149" s="28" t="n">
        <v>18000</v>
      </c>
      <c r="G149" s="29" t="n">
        <v>12</v>
      </c>
      <c r="H149" s="29" t="n">
        <v>3846</v>
      </c>
      <c r="I149" s="21" t="inlineStr">
        <is>
          <t>2025</t>
        </is>
      </c>
      <c r="J149" s="21" t="inlineStr">
        <is>
          <t xml:space="preserve"> 0</t>
        </is>
      </c>
      <c r="K149" s="30">
        <f>(E149-F149)/IF(E149&gt;0,E149,1)</f>
        <v/>
      </c>
    </row>
    <row r="150">
      <c r="A150" s="22" t="inlineStr">
        <is>
          <t>왜 AI가 써준 내 문서만 뻔해 보일까?</t>
        </is>
      </c>
      <c r="B150" s="22" t="inlineStr">
        <is>
          <t>노준환</t>
        </is>
      </c>
      <c r="C150" s="22" t="inlineStr">
        <is>
          <t>한올출판사</t>
        </is>
      </c>
      <c r="D150" s="22" t="inlineStr">
        <is>
          <t>2026년 05월</t>
        </is>
      </c>
      <c r="E150" s="28" t="n">
        <v>18000</v>
      </c>
      <c r="F150" s="28" t="n">
        <v>18000</v>
      </c>
      <c r="G150" s="29" t="n">
        <v>3</v>
      </c>
      <c r="H150" s="29" t="n">
        <v>396</v>
      </c>
      <c r="I150" s="21" t="inlineStr">
        <is>
          <t>2026</t>
        </is>
      </c>
      <c r="J150" s="21" t="inlineStr">
        <is>
          <t xml:space="preserve"> 0</t>
        </is>
      </c>
      <c r="K150" s="30">
        <f>(E150-F150)/IF(E150&gt;0,E150,1)</f>
        <v/>
      </c>
    </row>
    <row r="151">
      <c r="A151" s="22" t="inlineStr">
        <is>
          <t>프롬프트 엔지니어의 업무일지</t>
        </is>
      </c>
      <c r="B151" s="22" t="inlineStr">
        <is>
          <t>강수진</t>
        </is>
      </c>
      <c r="C151" s="22" t="inlineStr">
        <is>
          <t>리코멘드</t>
        </is>
      </c>
      <c r="D151" s="22" t="inlineStr">
        <is>
          <t>2024년 08월</t>
        </is>
      </c>
      <c r="E151" s="28" t="n">
        <v>28000</v>
      </c>
      <c r="F151" s="28" t="n">
        <v>25200</v>
      </c>
      <c r="G151" s="29" t="n">
        <v>19</v>
      </c>
      <c r="H151" s="29" t="n">
        <v>1452</v>
      </c>
      <c r="I151" s="21" t="inlineStr">
        <is>
          <t>2024</t>
        </is>
      </c>
      <c r="J151" s="21" t="inlineStr">
        <is>
          <t xml:space="preserve"> 0</t>
        </is>
      </c>
      <c r="K151" s="30">
        <f>(E151-F151)/IF(E151&gt;0,E151,1)</f>
        <v/>
      </c>
    </row>
    <row r="152">
      <c r="A152" s="22" t="inlineStr">
        <is>
          <t>변화를 기회로 만드는 AI력</t>
        </is>
      </c>
      <c r="B152" s="22" t="inlineStr">
        <is>
          <t>정규진</t>
        </is>
      </c>
      <c r="C152" s="22" t="inlineStr">
        <is>
          <t>민음인</t>
        </is>
      </c>
      <c r="D152" s="22" t="inlineStr">
        <is>
          <t>2026년 03월</t>
        </is>
      </c>
      <c r="E152" s="28" t="n">
        <v>23000</v>
      </c>
      <c r="F152" s="28" t="n">
        <v>20700</v>
      </c>
      <c r="G152" s="29" t="n">
        <v>15</v>
      </c>
      <c r="H152" s="29" t="n">
        <v>1488</v>
      </c>
      <c r="I152" s="21" t="inlineStr">
        <is>
          <t>2026</t>
        </is>
      </c>
      <c r="J152" s="21" t="inlineStr">
        <is>
          <t xml:space="preserve"> 0</t>
        </is>
      </c>
      <c r="K152" s="30">
        <f>(E152-F152)/IF(E152&gt;0,E152,1)</f>
        <v/>
      </c>
    </row>
    <row r="153">
      <c r="A153" s="22" t="inlineStr">
        <is>
          <t>출근길에 읽고 퇴근길에 완성하는 바이브 코딩</t>
        </is>
      </c>
      <c r="B153" s="22" t="inlineStr">
        <is>
          <t>노승헌</t>
        </is>
      </c>
      <c r="C153" s="22" t="inlineStr">
        <is>
          <t>더 타이즈</t>
        </is>
      </c>
      <c r="D153" s="22" t="inlineStr">
        <is>
          <t>2026년 02월</t>
        </is>
      </c>
      <c r="E153" s="28" t="n">
        <v>22000</v>
      </c>
      <c r="F153" s="28" t="n">
        <v>19800</v>
      </c>
      <c r="G153" s="29" t="n">
        <v>0</v>
      </c>
      <c r="H153" s="29" t="n">
        <v>1317</v>
      </c>
      <c r="I153" s="21" t="inlineStr">
        <is>
          <t>2026</t>
        </is>
      </c>
      <c r="J153" s="21" t="inlineStr">
        <is>
          <t xml:space="preserve"> 0</t>
        </is>
      </c>
      <c r="K153" s="30">
        <f>(E153-F153)/IF(E153&gt;0,E153,1)</f>
        <v/>
      </c>
    </row>
    <row r="154">
      <c r="A154" s="22" t="inlineStr">
        <is>
          <t>AI 리터러시 : 인공지능 필수 지식부터 완벽 활용까지</t>
        </is>
      </c>
      <c r="B154" s="22" t="inlineStr">
        <is>
          <t>김용성</t>
        </is>
      </c>
      <c r="C154" s="22" t="inlineStr">
        <is>
          <t>프리렉</t>
        </is>
      </c>
      <c r="D154" s="22" t="inlineStr">
        <is>
          <t>2024년 12월</t>
        </is>
      </c>
      <c r="E154" s="28" t="n">
        <v>25000</v>
      </c>
      <c r="F154" s="28" t="n">
        <v>22500</v>
      </c>
      <c r="G154" s="29" t="n">
        <v>185</v>
      </c>
      <c r="H154" s="29" t="n">
        <v>12390</v>
      </c>
      <c r="I154" s="21" t="inlineStr">
        <is>
          <t>2024</t>
        </is>
      </c>
      <c r="J154" s="21" t="inlineStr">
        <is>
          <t xml:space="preserve"> 1</t>
        </is>
      </c>
      <c r="K154" s="30">
        <f>(E154-F154)/IF(E154&gt;0,E154,1)</f>
        <v/>
      </c>
    </row>
    <row r="155">
      <c r="A155" s="22" t="inlineStr">
        <is>
          <t>AI 시대 임원 역할</t>
        </is>
      </c>
      <c r="B155" s="22" t="inlineStr">
        <is>
          <t>김기진, 유병선, 신현숙, 이근갑, 이소민, 정보 더 보기/감추기, 김기진, 유병선, 신현숙, 이근갑, 이소민, 박해룡, 이재실, 송지은, 김영헌, 백정선, 김대경</t>
        </is>
      </c>
      <c r="C155" s="22" t="inlineStr">
        <is>
          <t>에릭스토리</t>
        </is>
      </c>
      <c r="D155" s="22" t="inlineStr">
        <is>
          <t>2026년 01월</t>
        </is>
      </c>
      <c r="E155" s="28" t="n">
        <v>19000</v>
      </c>
      <c r="F155" s="28" t="n">
        <v>17100</v>
      </c>
      <c r="G155" s="29" t="n">
        <v>0</v>
      </c>
      <c r="H155" s="29" t="n">
        <v>870</v>
      </c>
      <c r="I155" s="21" t="inlineStr">
        <is>
          <t>2026</t>
        </is>
      </c>
      <c r="J155" s="21" t="inlineStr">
        <is>
          <t xml:space="preserve"> 0</t>
        </is>
      </c>
      <c r="K155" s="30">
        <f>(E155-F155)/IF(E155&gt;0,E155,1)</f>
        <v/>
      </c>
    </row>
    <row r="156">
      <c r="A156" s="22" t="inlineStr">
        <is>
          <t>AI 디지털 활용 수업</t>
        </is>
      </c>
      <c r="B156" s="22" t="inlineStr">
        <is>
          <t>이은총, 심원지, 박정은</t>
        </is>
      </c>
      <c r="C156" s="22" t="inlineStr">
        <is>
          <t>푸른칠판</t>
        </is>
      </c>
      <c r="D156" s="22" t="inlineStr">
        <is>
          <t>2026년 01월</t>
        </is>
      </c>
      <c r="E156" s="28" t="n">
        <v>19000</v>
      </c>
      <c r="F156" s="28" t="n">
        <v>17100</v>
      </c>
      <c r="G156" s="29" t="n">
        <v>12</v>
      </c>
      <c r="H156" s="29" t="n">
        <v>1497</v>
      </c>
      <c r="I156" s="21" t="inlineStr">
        <is>
          <t>2026</t>
        </is>
      </c>
      <c r="J156" s="21" t="inlineStr">
        <is>
          <t xml:space="preserve"> 0</t>
        </is>
      </c>
      <c r="K156" s="30">
        <f>(E156-F156)/IF(E156&gt;0,E156,1)</f>
        <v/>
      </c>
    </row>
    <row r="157">
      <c r="A157" s="22" t="inlineStr">
        <is>
          <t>챗GPT와 함께 하는 SNS 셀프마케팅 &amp; 브랜딩</t>
        </is>
      </c>
      <c r="B157" s="22" t="inlineStr">
        <is>
          <t>이보영</t>
        </is>
      </c>
      <c r="C157" s="22" t="inlineStr">
        <is>
          <t>휴먼하우스</t>
        </is>
      </c>
      <c r="D157" s="22" t="inlineStr">
        <is>
          <t>2025년 11월</t>
        </is>
      </c>
      <c r="E157" s="28" t="n">
        <v>21000</v>
      </c>
      <c r="F157" s="28" t="n">
        <v>18900</v>
      </c>
      <c r="G157" s="29" t="n">
        <v>1</v>
      </c>
      <c r="H157" s="29" t="n">
        <v>2442</v>
      </c>
      <c r="I157" s="21" t="inlineStr">
        <is>
          <t>2025</t>
        </is>
      </c>
      <c r="J157" s="21" t="inlineStr">
        <is>
          <t xml:space="preserve"> 1</t>
        </is>
      </c>
      <c r="K157" s="30">
        <f>(E157-F157)/IF(E157&gt;0,E157,1)</f>
        <v/>
      </c>
    </row>
    <row r="158">
      <c r="A158" s="22" t="inlineStr">
        <is>
          <t>생성형 인공지능과 함께하는 사회정서학습</t>
        </is>
      </c>
      <c r="B158" s="22" t="inlineStr">
        <is>
          <t>박찬, 김병석, 전은경, 전수연, 강윤진, 정보 더 보기/감추기, 박찬, 김병석, 전은경, 전수연, 강윤진, 김지용</t>
        </is>
      </c>
      <c r="C158" s="22" t="inlineStr">
        <is>
          <t>다빈치books</t>
        </is>
      </c>
      <c r="D158" s="22" t="inlineStr">
        <is>
          <t>2024년 03월</t>
        </is>
      </c>
      <c r="E158" s="28" t="n">
        <v>22000</v>
      </c>
      <c r="F158" s="28" t="n">
        <v>19800</v>
      </c>
      <c r="G158" s="29" t="n">
        <v>2</v>
      </c>
      <c r="H158" s="29" t="n">
        <v>1947</v>
      </c>
      <c r="I158" s="21" t="inlineStr">
        <is>
          <t>2024</t>
        </is>
      </c>
      <c r="J158" s="21" t="inlineStr">
        <is>
          <t xml:space="preserve"> 0</t>
        </is>
      </c>
      <c r="K158" s="30">
        <f>(E158-F158)/IF(E158&gt;0,E158,1)</f>
        <v/>
      </c>
    </row>
    <row r="159">
      <c r="A159" s="22" t="inlineStr">
        <is>
          <t>스테이블 디퓨전 실전 가이드</t>
        </is>
      </c>
      <c r="B159" s="22" t="inlineStr">
        <is>
          <t>시라이 아키히코, AICU 미디어 편집부</t>
        </is>
      </c>
      <c r="C159" s="22" t="inlineStr">
        <is>
          <t>보누스</t>
        </is>
      </c>
      <c r="D159" s="22" t="inlineStr">
        <is>
          <t>2024년 12월</t>
        </is>
      </c>
      <c r="E159" s="28" t="n">
        <v>26000</v>
      </c>
      <c r="F159" s="28" t="n">
        <v>23400</v>
      </c>
      <c r="G159" s="29" t="n">
        <v>4</v>
      </c>
      <c r="H159" s="29" t="n">
        <v>306</v>
      </c>
      <c r="I159" s="21" t="inlineStr">
        <is>
          <t>2024</t>
        </is>
      </c>
      <c r="J159" s="21" t="inlineStr">
        <is>
          <t xml:space="preserve"> 1</t>
        </is>
      </c>
      <c r="K159" s="30">
        <f>(E159-F159)/IF(E159&gt;0,E159,1)</f>
        <v/>
      </c>
    </row>
    <row r="160">
      <c r="A160" s="22" t="inlineStr">
        <is>
          <t>금융업 AI 플레이북</t>
        </is>
      </c>
      <c r="B160" s="22" t="inlineStr">
        <is>
          <t>임태중, 김동석</t>
        </is>
      </c>
      <c r="C160" s="22" t="inlineStr">
        <is>
          <t>경향비피</t>
        </is>
      </c>
      <c r="D160" s="22" t="inlineStr">
        <is>
          <t>2026년 01월</t>
        </is>
      </c>
      <c r="E160" s="28" t="n">
        <v>25000</v>
      </c>
      <c r="F160" s="28" t="n">
        <v>22500</v>
      </c>
      <c r="G160" s="29" t="n">
        <v>16</v>
      </c>
      <c r="H160" s="29" t="n">
        <v>1377</v>
      </c>
      <c r="I160" s="21" t="inlineStr">
        <is>
          <t>2026</t>
        </is>
      </c>
      <c r="J160" s="21" t="inlineStr">
        <is>
          <t xml:space="preserve"> 0</t>
        </is>
      </c>
      <c r="K160" s="30">
        <f>(E160-F160)/IF(E160&gt;0,E160,1)</f>
        <v/>
      </c>
    </row>
    <row r="161">
      <c r="A161" s="22" t="inlineStr">
        <is>
          <t>10대를 위한 데이터과학 with 파이썬</t>
        </is>
      </c>
      <c r="B161" s="22" t="inlineStr">
        <is>
          <t>구덕회, 권다혜, 박소연</t>
        </is>
      </c>
      <c r="C161" s="22" t="inlineStr">
        <is>
          <t>잇플ITPLE</t>
        </is>
      </c>
      <c r="D161" s="22" t="inlineStr">
        <is>
          <t>2024년 07월</t>
        </is>
      </c>
      <c r="E161" s="28" t="n">
        <v>27000</v>
      </c>
      <c r="F161" s="28" t="n">
        <v>24300</v>
      </c>
      <c r="G161" s="29" t="n">
        <v>9</v>
      </c>
      <c r="H161" s="29" t="n">
        <v>1380</v>
      </c>
      <c r="I161" s="21" t="inlineStr">
        <is>
          <t>2024</t>
        </is>
      </c>
      <c r="J161" s="21" t="inlineStr">
        <is>
          <t xml:space="preserve"> 0</t>
        </is>
      </c>
      <c r="K161" s="30">
        <f>(E161-F161)/IF(E161&gt;0,E161,1)</f>
        <v/>
      </c>
    </row>
    <row r="162">
      <c r="A162" s="22" t="inlineStr">
        <is>
          <t>ROS2 혼자공부하는 로봇SW 직접 만들고 코딩하자</t>
        </is>
      </c>
      <c r="B162" s="22" t="inlineStr">
        <is>
          <t>민형기</t>
        </is>
      </c>
      <c r="C162" s="22" t="inlineStr">
        <is>
          <t>잇플ITPLE</t>
        </is>
      </c>
      <c r="D162" s="22" t="inlineStr">
        <is>
          <t>2022년 09월</t>
        </is>
      </c>
      <c r="E162" s="28" t="n">
        <v>27300</v>
      </c>
      <c r="F162" s="28" t="n">
        <v>24570</v>
      </c>
      <c r="G162" s="29" t="n">
        <v>10</v>
      </c>
      <c r="H162" s="29" t="n">
        <v>1668</v>
      </c>
      <c r="I162" s="21" t="inlineStr">
        <is>
          <t>2022</t>
        </is>
      </c>
      <c r="J162" s="21" t="inlineStr">
        <is>
          <t xml:space="preserve"> 0</t>
        </is>
      </c>
      <c r="K162" s="30">
        <f>(E162-F162)/IF(E162&gt;0,E162,1)</f>
        <v/>
      </c>
    </row>
    <row r="163">
      <c r="A163" s="22" t="inlineStr">
        <is>
          <t>야사와 만화로 배우는 인공지능 3</t>
        </is>
      </c>
      <c r="B163" s="22" t="inlineStr">
        <is>
          <t>권건우, 김가인, 전준혁, 허령</t>
        </is>
      </c>
      <c r="C163" s="22" t="inlineStr">
        <is>
          <t>루나파인북스</t>
        </is>
      </c>
      <c r="D163" s="22" t="inlineStr">
        <is>
          <t>2021년 07월</t>
        </is>
      </c>
      <c r="E163" s="28" t="n">
        <v>16000</v>
      </c>
      <c r="F163" s="28" t="n">
        <v>14400</v>
      </c>
      <c r="G163" s="29" t="n">
        <v>6</v>
      </c>
      <c r="H163" s="29" t="n">
        <v>222</v>
      </c>
      <c r="I163" s="21" t="inlineStr">
        <is>
          <t>2021</t>
        </is>
      </c>
      <c r="J163" s="21" t="inlineStr">
        <is>
          <t xml:space="preserve"> 0</t>
        </is>
      </c>
      <c r="K163" s="30">
        <f>(E163-F163)/IF(E163&gt;0,E163,1)</f>
        <v/>
      </c>
    </row>
    <row r="164">
      <c r="A164" s="22" t="inlineStr">
        <is>
          <t>OpenCV-Python으로 배우는 영상처리 및 응용</t>
        </is>
      </c>
      <c r="B164" s="22" t="inlineStr">
        <is>
          <t>정성환, 배종욱</t>
        </is>
      </c>
      <c r="C164" s="22" t="inlineStr">
        <is>
          <t>생능출판사</t>
        </is>
      </c>
      <c r="D164" s="22" t="inlineStr">
        <is>
          <t>2020년 11월</t>
        </is>
      </c>
      <c r="E164" s="28" t="n">
        <v>35000</v>
      </c>
      <c r="F164" s="28" t="n">
        <v>35000</v>
      </c>
      <c r="G164" s="29" t="n">
        <v>6</v>
      </c>
      <c r="H164" s="29" t="n">
        <v>1500</v>
      </c>
      <c r="I164" s="21" t="inlineStr">
        <is>
          <t>2020</t>
        </is>
      </c>
      <c r="J164" s="21" t="inlineStr">
        <is>
          <t xml:space="preserve"> 1</t>
        </is>
      </c>
      <c r="K164" s="30">
        <f>(E164-F164)/IF(E164&gt;0,E164,1)</f>
        <v/>
      </c>
    </row>
    <row r="165">
      <c r="A165" s="22" t="inlineStr">
        <is>
          <t>세상을 복제하는 공장, Physical AI 데이터팩토리 실습 : 심화</t>
        </is>
      </c>
      <c r="B165" s="22" t="inlineStr">
        <is>
          <t>손병희</t>
        </is>
      </c>
      <c r="C165" s="22" t="inlineStr">
        <is>
          <t>꾸그티처스</t>
        </is>
      </c>
      <c r="D165" s="22" t="inlineStr">
        <is>
          <t>2026년 03월</t>
        </is>
      </c>
      <c r="E165" s="28" t="n">
        <v>15000</v>
      </c>
      <c r="F165" s="28" t="n">
        <v>13500</v>
      </c>
      <c r="G165" s="29" t="n">
        <v>1</v>
      </c>
      <c r="H165" s="29" t="n">
        <v>288</v>
      </c>
      <c r="I165" s="21" t="inlineStr">
        <is>
          <t>2026</t>
        </is>
      </c>
      <c r="J165" s="21" t="inlineStr">
        <is>
          <t xml:space="preserve"> 0</t>
        </is>
      </c>
      <c r="K165" s="30">
        <f>(E165-F165)/IF(E165&gt;0,E165,1)</f>
        <v/>
      </c>
    </row>
    <row r="166">
      <c r="A166" s="22" t="inlineStr">
        <is>
          <t>세상을 복제하는 공장, Physical AI 데이터팩토리 실습 : 기초</t>
        </is>
      </c>
      <c r="B166" s="22" t="inlineStr">
        <is>
          <t>손병희</t>
        </is>
      </c>
      <c r="C166" s="22" t="inlineStr">
        <is>
          <t>꾸그티처스</t>
        </is>
      </c>
      <c r="D166" s="22" t="inlineStr">
        <is>
          <t>2026년 03월</t>
        </is>
      </c>
      <c r="E166" s="28" t="n">
        <v>15000</v>
      </c>
      <c r="F166" s="28" t="n">
        <v>13500</v>
      </c>
      <c r="G166" s="29" t="n">
        <v>1</v>
      </c>
      <c r="H166" s="29" t="n">
        <v>264</v>
      </c>
      <c r="I166" s="21" t="inlineStr">
        <is>
          <t>2026</t>
        </is>
      </c>
      <c r="J166" s="21" t="inlineStr">
        <is>
          <t xml:space="preserve"> 0</t>
        </is>
      </c>
      <c r="K166" s="30">
        <f>(E166-F166)/IF(E166&gt;0,E166,1)</f>
        <v/>
      </c>
    </row>
    <row r="167">
      <c r="A167" s="22" t="inlineStr">
        <is>
          <t>나는 오렌지로 데이터 분석한다</t>
        </is>
      </c>
      <c r="B167" s="22" t="inlineStr">
        <is>
          <t>임진숙, 장병철, 서미란, 정종호</t>
        </is>
      </c>
      <c r="C167" s="22" t="inlineStr">
        <is>
          <t>씨마스</t>
        </is>
      </c>
      <c r="D167" s="22" t="inlineStr">
        <is>
          <t>2021년 12월</t>
        </is>
      </c>
      <c r="E167" s="28" t="n">
        <v>20000</v>
      </c>
      <c r="F167" s="28" t="n">
        <v>18000</v>
      </c>
      <c r="G167" s="29" t="n">
        <v>14</v>
      </c>
      <c r="H167" s="29" t="n">
        <v>2448</v>
      </c>
      <c r="I167" s="21" t="inlineStr">
        <is>
          <t>2021</t>
        </is>
      </c>
      <c r="J167" s="21" t="inlineStr">
        <is>
          <t xml:space="preserve"> 1</t>
        </is>
      </c>
      <c r="K167" s="30">
        <f>(E167-F167)/IF(E167&gt;0,E167,1)</f>
        <v/>
      </c>
    </row>
    <row r="168">
      <c r="A168" s="22" t="inlineStr">
        <is>
          <t>모던 로보틱스</t>
        </is>
      </c>
      <c r="B168" s="22" t="inlineStr">
        <is>
          <t>케빈 M. 린치, 박종우, 이병호, 윤상웅, 권재운, 정보 더 보기/감추기, 케빈 M. 린치, 박종우, 이병호, 윤상웅, 권재운, 김영훈, 김종민, 임중빈, 손민준, 정진, 이상현, 양우성</t>
        </is>
      </c>
      <c r="C168" s="22" t="inlineStr">
        <is>
          <t>에이콘출판사</t>
        </is>
      </c>
      <c r="D168" s="22" t="inlineStr">
        <is>
          <t>2023년 05월</t>
        </is>
      </c>
      <c r="E168" s="28" t="n">
        <v>50000</v>
      </c>
      <c r="F168" s="28" t="n">
        <v>45000</v>
      </c>
      <c r="G168" s="29" t="n">
        <v>1</v>
      </c>
      <c r="H168" s="29" t="n">
        <v>1044</v>
      </c>
      <c r="I168" s="21" t="inlineStr">
        <is>
          <t>2023</t>
        </is>
      </c>
      <c r="J168" s="21" t="inlineStr">
        <is>
          <t xml:space="preserve"> 0</t>
        </is>
      </c>
      <c r="K168" s="30">
        <f>(E168-F168)/IF(E168&gt;0,E168,1)</f>
        <v/>
      </c>
    </row>
    <row r="169">
      <c r="A169" s="22" t="inlineStr">
        <is>
          <t>AI 프로토타이핑 실전</t>
        </is>
      </c>
      <c r="B169" s="22" t="inlineStr">
        <is>
          <t>김성박</t>
        </is>
      </c>
      <c r="C169" s="22" t="inlineStr">
        <is>
          <t>루비페이퍼</t>
        </is>
      </c>
      <c r="D169" s="22" t="inlineStr">
        <is>
          <t>2025년 12월</t>
        </is>
      </c>
      <c r="E169" s="28" t="n">
        <v>28000</v>
      </c>
      <c r="F169" s="28" t="n">
        <v>25200</v>
      </c>
      <c r="G169" s="29" t="n">
        <v>4</v>
      </c>
      <c r="H169" s="29" t="n">
        <v>660</v>
      </c>
      <c r="I169" s="21" t="inlineStr">
        <is>
          <t>2025</t>
        </is>
      </c>
      <c r="J169" s="21" t="inlineStr">
        <is>
          <t xml:space="preserve"> 1</t>
        </is>
      </c>
      <c r="K169" s="30">
        <f>(E169-F169)/IF(E169&gt;0,E169,1)</f>
        <v/>
      </c>
    </row>
    <row r="170">
      <c r="A170" s="22" t="inlineStr">
        <is>
          <t>AI 이후의 인간</t>
        </is>
      </c>
      <c r="B170" s="22" t="inlineStr">
        <is>
          <t>반병현</t>
        </is>
      </c>
      <c r="C170" s="22" t="inlineStr">
        <is>
          <t>생능북스</t>
        </is>
      </c>
      <c r="D170" s="22" t="inlineStr">
        <is>
          <t>2025년 10월</t>
        </is>
      </c>
      <c r="E170" s="28" t="n">
        <v>23000</v>
      </c>
      <c r="F170" s="28" t="n">
        <v>20700</v>
      </c>
      <c r="G170" s="29" t="n">
        <v>34</v>
      </c>
      <c r="H170" s="29" t="n">
        <v>1278</v>
      </c>
      <c r="I170" s="21" t="inlineStr">
        <is>
          <t>2025</t>
        </is>
      </c>
      <c r="J170" s="21" t="inlineStr">
        <is>
          <t xml:space="preserve"> 1</t>
        </is>
      </c>
      <c r="K170" s="30">
        <f>(E170-F170)/IF(E170&gt;0,E170,1)</f>
        <v/>
      </c>
    </row>
    <row r="171">
      <c r="A171" s="22" t="inlineStr">
        <is>
          <t>생성형 AI 뉴버전 미드저니 마스터 클래스 기초+고급+응용(실전)</t>
        </is>
      </c>
      <c r="B171" s="22" t="inlineStr">
        <is>
          <t>이용태</t>
        </is>
      </c>
      <c r="C171" s="22" t="inlineStr">
        <is>
          <t>책바세</t>
        </is>
      </c>
      <c r="D171" s="22" t="inlineStr">
        <is>
          <t>2024년 09월</t>
        </is>
      </c>
      <c r="E171" s="28" t="n">
        <v>25000</v>
      </c>
      <c r="F171" s="28" t="n">
        <v>22500</v>
      </c>
      <c r="G171" s="29" t="n">
        <v>18</v>
      </c>
      <c r="H171" s="29" t="n">
        <v>804</v>
      </c>
      <c r="I171" s="21" t="inlineStr">
        <is>
          <t>2024</t>
        </is>
      </c>
      <c r="J171" s="21" t="inlineStr">
        <is>
          <t xml:space="preserve"> 0</t>
        </is>
      </c>
      <c r="K171" s="30">
        <f>(E171-F171)/IF(E171&gt;0,E171,1)</f>
        <v/>
      </c>
    </row>
    <row r="172">
      <c r="A172" s="22" t="inlineStr">
        <is>
          <t>대격변 AI 시대, 데이터로 사고하고 데이터로 리드하라</t>
        </is>
      </c>
      <c r="B172" s="22" t="inlineStr">
        <is>
          <t>알렉스 거트맨, 조던 골드마이어, 최재원, 장진욱</t>
        </is>
      </c>
      <c r="C172" s="22" t="inlineStr">
        <is>
          <t>책만</t>
        </is>
      </c>
      <c r="D172" s="22" t="inlineStr">
        <is>
          <t>2024년 05월</t>
        </is>
      </c>
      <c r="E172" s="28" t="n">
        <v>20000</v>
      </c>
      <c r="F172" s="28" t="n">
        <v>18000</v>
      </c>
      <c r="G172" s="29" t="n">
        <v>22</v>
      </c>
      <c r="H172" s="29" t="n">
        <v>690</v>
      </c>
      <c r="I172" s="21" t="inlineStr">
        <is>
          <t>2024</t>
        </is>
      </c>
      <c r="J172" s="21" t="inlineStr">
        <is>
          <t xml:space="preserve"> 0</t>
        </is>
      </c>
      <c r="K172" s="30">
        <f>(E172-F172)/IF(E172&gt;0,E172,1)</f>
        <v/>
      </c>
    </row>
    <row r="173">
      <c r="A173" s="22" t="inlineStr">
        <is>
          <t>공자가 AI 시대를 산다면</t>
        </is>
      </c>
      <c r="B173" s="22" t="inlineStr">
        <is>
          <t>김준태</t>
        </is>
      </c>
      <c r="C173" s="22" t="inlineStr">
        <is>
          <t>한겨레출판</t>
        </is>
      </c>
      <c r="D173" s="22" t="inlineStr">
        <is>
          <t>2025년 04월</t>
        </is>
      </c>
      <c r="E173" s="28" t="n">
        <v>18000</v>
      </c>
      <c r="F173" s="28" t="n">
        <v>16200</v>
      </c>
      <c r="G173" s="29" t="n">
        <v>14</v>
      </c>
      <c r="H173" s="29" t="n">
        <v>672</v>
      </c>
      <c r="I173" s="21" t="inlineStr">
        <is>
          <t>2025</t>
        </is>
      </c>
      <c r="J173" s="21" t="inlineStr">
        <is>
          <t xml:space="preserve"> 0</t>
        </is>
      </c>
      <c r="K173" s="30">
        <f>(E173-F173)/IF(E173&gt;0,E173,1)</f>
        <v/>
      </c>
    </row>
    <row r="174">
      <c r="A174" s="22" t="inlineStr">
        <is>
          <t>랭체인으로 구현하는 AI 서비스 &amp; 에이전트 개발 입문</t>
        </is>
      </c>
      <c r="B174" s="22" t="inlineStr">
        <is>
          <t>ML_Bear, 손민규, 장하렴</t>
        </is>
      </c>
      <c r="C174" s="22" t="inlineStr">
        <is>
          <t>영진닷컴</t>
        </is>
      </c>
      <c r="D174" s="22" t="inlineStr">
        <is>
          <t>2026년 04월</t>
        </is>
      </c>
      <c r="E174" s="28" t="n">
        <v>28000</v>
      </c>
      <c r="F174" s="28" t="n">
        <v>25200</v>
      </c>
      <c r="G174" s="29" t="n">
        <v>18</v>
      </c>
      <c r="H174" s="29" t="n">
        <v>504</v>
      </c>
      <c r="I174" s="21" t="inlineStr">
        <is>
          <t>2026</t>
        </is>
      </c>
      <c r="J174" s="21" t="inlineStr">
        <is>
          <t xml:space="preserve"> 0</t>
        </is>
      </c>
      <c r="K174" s="30">
        <f>(E174-F174)/IF(E174&gt;0,E174,1)</f>
        <v/>
      </c>
    </row>
    <row r="175">
      <c r="A175" s="22" t="inlineStr">
        <is>
          <t>자연어 처리를 위한 허깅페이스 트랜스포머 하드 트레이닝</t>
        </is>
      </c>
      <c r="B175" s="22" t="inlineStr">
        <is>
          <t>박성환, 남승우</t>
        </is>
      </c>
      <c r="C175" s="22" t="inlineStr">
        <is>
          <t>비제이퍼블릭(BJ퍼블릭)</t>
        </is>
      </c>
      <c r="D175" s="22" t="inlineStr">
        <is>
          <t>2025년 01월</t>
        </is>
      </c>
      <c r="E175" s="28" t="n">
        <v>27500</v>
      </c>
      <c r="F175" s="28" t="n">
        <v>24750</v>
      </c>
      <c r="G175" s="29" t="n">
        <v>30</v>
      </c>
      <c r="H175" s="29" t="n">
        <v>522</v>
      </c>
      <c r="I175" s="21" t="inlineStr">
        <is>
          <t>2025</t>
        </is>
      </c>
      <c r="J175" s="21" t="inlineStr">
        <is>
          <t xml:space="preserve"> 0</t>
        </is>
      </c>
      <c r="K175" s="30">
        <f>(E175-F175)/IF(E175&gt;0,E175,1)</f>
        <v/>
      </c>
    </row>
    <row r="176">
      <c r="A176" s="22" t="inlineStr">
        <is>
          <t>컬러와이즈 ColorWise</t>
        </is>
      </c>
      <c r="B176" s="22" t="inlineStr">
        <is>
          <t>케이트 스트라치니, 권혜정</t>
        </is>
      </c>
      <c r="C176" s="22" t="inlineStr">
        <is>
          <t>책만</t>
        </is>
      </c>
      <c r="D176" s="22" t="inlineStr">
        <is>
          <t>2024년 12월</t>
        </is>
      </c>
      <c r="E176" s="28" t="n">
        <v>18000</v>
      </c>
      <c r="F176" s="28" t="n">
        <v>16200</v>
      </c>
      <c r="G176" s="29" t="n">
        <v>12</v>
      </c>
      <c r="H176" s="29" t="n">
        <v>168</v>
      </c>
      <c r="I176" s="21" t="inlineStr">
        <is>
          <t>2024</t>
        </is>
      </c>
      <c r="J176" s="21" t="inlineStr">
        <is>
          <t xml:space="preserve"> 1</t>
        </is>
      </c>
      <c r="K176" s="30">
        <f>(E176-F176)/IF(E176&gt;0,E176,1)</f>
        <v/>
      </c>
    </row>
    <row r="177">
      <c r="A177" s="22" t="inlineStr">
        <is>
          <t>복잡한 건 싫지만 AI는 해야겠어</t>
        </is>
      </c>
      <c r="B177" s="22" t="inlineStr">
        <is>
          <t>최원정</t>
        </is>
      </c>
      <c r="C177" s="22" t="inlineStr">
        <is>
          <t>디지털북스</t>
        </is>
      </c>
      <c r="D177" s="22" t="inlineStr">
        <is>
          <t>2026년 01월</t>
        </is>
      </c>
      <c r="E177" s="28" t="n">
        <v>22000</v>
      </c>
      <c r="F177" s="28" t="n">
        <v>19800</v>
      </c>
      <c r="G177" s="29" t="n">
        <v>0</v>
      </c>
      <c r="H177" s="29" t="n">
        <v>492</v>
      </c>
      <c r="I177" s="21" t="inlineStr">
        <is>
          <t>2026</t>
        </is>
      </c>
      <c r="J177" s="21" t="inlineStr">
        <is>
          <t xml:space="preserve"> 0</t>
        </is>
      </c>
      <c r="K177" s="30">
        <f>(E177-F177)/IF(E177&gt;0,E177,1)</f>
        <v/>
      </c>
    </row>
    <row r="178">
      <c r="A178" s="22" t="inlineStr">
        <is>
          <t>무작정 따라하는 AI 활용 업무혁신 레시피</t>
        </is>
      </c>
      <c r="B178" s="22" t="inlineStr">
        <is>
          <t>정호용, 석재민, 김명석, 한주원</t>
        </is>
      </c>
      <c r="C178" s="22" t="inlineStr">
        <is>
          <t>모노북스</t>
        </is>
      </c>
      <c r="D178" s="22" t="inlineStr">
        <is>
          <t>2024년 10월</t>
        </is>
      </c>
      <c r="E178" s="28" t="n">
        <v>24000</v>
      </c>
      <c r="F178" s="28" t="n">
        <v>21600</v>
      </c>
      <c r="G178" s="29" t="n">
        <v>0</v>
      </c>
      <c r="H178" s="29" t="n">
        <v>108</v>
      </c>
      <c r="I178" s="21" t="inlineStr">
        <is>
          <t>2024</t>
        </is>
      </c>
      <c r="J178" s="21" t="inlineStr">
        <is>
          <t xml:space="preserve"> 1</t>
        </is>
      </c>
      <c r="K178" s="30">
        <f>(E178-F178)/IF(E178&gt;0,E178,1)</f>
        <v/>
      </c>
    </row>
    <row r="179">
      <c r="A179" s="22" t="inlineStr">
        <is>
          <t>여보! 코딩은 바이브야!</t>
        </is>
      </c>
      <c r="B179" s="22" t="inlineStr">
        <is>
          <t>김응</t>
        </is>
      </c>
      <c r="C179" s="22" t="inlineStr">
        <is>
          <t>BOOKK(부크크)</t>
        </is>
      </c>
      <c r="D179" s="22" t="inlineStr">
        <is>
          <t>2026년 06월</t>
        </is>
      </c>
      <c r="E179" s="28" t="n">
        <v>19500</v>
      </c>
      <c r="F179" s="28" t="n">
        <v>19500</v>
      </c>
      <c r="G179" s="29" t="n">
        <v>0</v>
      </c>
      <c r="H179" s="29" t="n">
        <v>120</v>
      </c>
      <c r="I179" s="21" t="inlineStr">
        <is>
          <t>2026</t>
        </is>
      </c>
      <c r="J179" s="21" t="inlineStr">
        <is>
          <t xml:space="preserve"> 0</t>
        </is>
      </c>
      <c r="K179" s="30">
        <f>(E179-F179)/IF(E179&gt;0,E179,1)</f>
        <v/>
      </c>
    </row>
    <row r="180">
      <c r="A180" s="22" t="inlineStr">
        <is>
          <t>인공지능 파놉티콘</t>
        </is>
      </c>
      <c r="B180" s="22" t="inlineStr">
        <is>
          <t>홍성욱</t>
        </is>
      </c>
      <c r="C180" s="22" t="inlineStr">
        <is>
          <t>김영사</t>
        </is>
      </c>
      <c r="D180" s="22" t="inlineStr">
        <is>
          <t>2026년 04월</t>
        </is>
      </c>
      <c r="E180" s="28" t="n">
        <v>19800</v>
      </c>
      <c r="F180" s="28" t="n">
        <v>17820</v>
      </c>
      <c r="G180" s="29" t="n">
        <v>8</v>
      </c>
      <c r="H180" s="29" t="n">
        <v>450</v>
      </c>
      <c r="I180" s="21" t="inlineStr">
        <is>
          <t>2026</t>
        </is>
      </c>
      <c r="J180" s="21" t="inlineStr">
        <is>
          <t xml:space="preserve"> 0</t>
        </is>
      </c>
      <c r="K180" s="30">
        <f>(E180-F180)/IF(E180&gt;0,E180,1)</f>
        <v/>
      </c>
    </row>
    <row r="181">
      <c r="A181" s="22" t="inlineStr">
        <is>
          <t>Do it! 코드 없이 배우는 데이터 분석 with 오렌지3</t>
        </is>
      </c>
      <c r="B181" s="22" t="inlineStr">
        <is>
          <t>권서림</t>
        </is>
      </c>
      <c r="C181" s="22" t="inlineStr">
        <is>
          <t>이지스퍼블리싱</t>
        </is>
      </c>
      <c r="D181" s="22" t="inlineStr">
        <is>
          <t>2024년 12월</t>
        </is>
      </c>
      <c r="E181" s="28" t="n">
        <v>18800</v>
      </c>
      <c r="F181" s="28" t="n">
        <v>16920</v>
      </c>
      <c r="G181" s="29" t="n">
        <v>5</v>
      </c>
      <c r="H181" s="29" t="n">
        <v>1665</v>
      </c>
      <c r="I181" s="21" t="inlineStr">
        <is>
          <t>2024</t>
        </is>
      </c>
      <c r="J181" s="21" t="inlineStr">
        <is>
          <t xml:space="preserve"> 1</t>
        </is>
      </c>
      <c r="K181" s="30">
        <f>(E181-F181)/IF(E181&gt;0,E181,1)</f>
        <v/>
      </c>
    </row>
    <row r="182">
      <c r="A182" s="22" t="inlineStr">
        <is>
          <t>제대로 알고 쓰는 논문 통계분석 with 파이썬&amp;머신러닝</t>
        </is>
      </c>
      <c r="B182" s="22" t="inlineStr">
        <is>
          <t>노경섭</t>
        </is>
      </c>
      <c r="C182" s="22" t="inlineStr">
        <is>
          <t>한빛아카데미</t>
        </is>
      </c>
      <c r="D182" s="22" t="inlineStr">
        <is>
          <t>2026년 01월</t>
        </is>
      </c>
      <c r="E182" s="28" t="n">
        <v>38000</v>
      </c>
      <c r="F182" s="28" t="n">
        <v>38000</v>
      </c>
      <c r="G182" s="29" t="n">
        <v>0</v>
      </c>
      <c r="H182" s="29" t="n">
        <v>288</v>
      </c>
      <c r="I182" s="21" t="inlineStr">
        <is>
          <t>2026</t>
        </is>
      </c>
      <c r="J182" s="21" t="inlineStr">
        <is>
          <t xml:space="preserve"> 0</t>
        </is>
      </c>
      <c r="K182" s="30">
        <f>(E182-F182)/IF(E182&gt;0,E182,1)</f>
        <v/>
      </c>
    </row>
    <row r="183">
      <c r="A183" s="22" t="inlineStr">
        <is>
          <t>인공지능</t>
        </is>
      </c>
      <c r="B183" s="22" t="inlineStr">
        <is>
          <t>천인국</t>
        </is>
      </c>
      <c r="C183" s="22" t="inlineStr">
        <is>
          <t>인피니티북스</t>
        </is>
      </c>
      <c r="D183" s="22" t="inlineStr">
        <is>
          <t>2023년 03월</t>
        </is>
      </c>
      <c r="E183" s="28" t="n">
        <v>33000</v>
      </c>
      <c r="F183" s="28" t="n">
        <v>33000</v>
      </c>
      <c r="G183" s="29" t="n">
        <v>0</v>
      </c>
      <c r="H183" s="29" t="n">
        <v>1545</v>
      </c>
      <c r="I183" s="21" t="inlineStr">
        <is>
          <t>2023</t>
        </is>
      </c>
      <c r="J183" s="21" t="inlineStr">
        <is>
          <t xml:space="preserve"> 0</t>
        </is>
      </c>
      <c r="K183" s="30">
        <f>(E183-F183)/IF(E183&gt;0,E183,1)</f>
        <v/>
      </c>
    </row>
    <row r="184">
      <c r="A184" s="22" t="inlineStr">
        <is>
          <t>결국, AI로 일하는 사람만 살아남는다</t>
        </is>
      </c>
      <c r="B184" s="22" t="inlineStr">
        <is>
          <t>김형용</t>
        </is>
      </c>
      <c r="C184" s="22" t="inlineStr">
        <is>
          <t>콩콩 컴퍼니</t>
        </is>
      </c>
      <c r="D184" s="22" t="inlineStr">
        <is>
          <t>2026년 05월</t>
        </is>
      </c>
      <c r="E184" s="28" t="n">
        <v>20700</v>
      </c>
      <c r="F184" s="28" t="n">
        <v>20700</v>
      </c>
      <c r="G184" s="29" t="n">
        <v>0</v>
      </c>
      <c r="H184" s="29" t="n">
        <v>228</v>
      </c>
      <c r="I184" s="21" t="inlineStr">
        <is>
          <t>2026</t>
        </is>
      </c>
      <c r="J184" s="21" t="inlineStr">
        <is>
          <t xml:space="preserve"> 0</t>
        </is>
      </c>
      <c r="K184" s="30">
        <f>(E184-F184)/IF(E184&gt;0,E184,1)</f>
        <v/>
      </c>
    </row>
    <row r="185">
      <c r="A185" s="22" t="inlineStr">
        <is>
          <t>평범한 나를 능력자로 바꾸는 클로드 완전 마스터</t>
        </is>
      </c>
      <c r="B185" s="22" t="inlineStr">
        <is>
          <t>정의</t>
        </is>
      </c>
      <c r="C185" s="22" t="inlineStr">
        <is>
          <t>BOOKK(부크크)</t>
        </is>
      </c>
      <c r="D185" s="22" t="inlineStr">
        <is>
          <t>2026년 05월</t>
        </is>
      </c>
      <c r="E185" s="28" t="n">
        <v>9300</v>
      </c>
      <c r="F185" s="28" t="n">
        <v>9300</v>
      </c>
      <c r="G185" s="29" t="n">
        <v>0</v>
      </c>
      <c r="H185" s="29" t="n">
        <v>318</v>
      </c>
      <c r="I185" s="21" t="inlineStr">
        <is>
          <t>2026</t>
        </is>
      </c>
      <c r="J185" s="21" t="inlineStr">
        <is>
          <t xml:space="preserve"> 0</t>
        </is>
      </c>
      <c r="K185" s="30">
        <f>(E185-F185)/IF(E185&gt;0,E185,1)</f>
        <v/>
      </c>
    </row>
    <row r="186">
      <c r="A186" s="22" t="inlineStr">
        <is>
          <t>청소년을 위한 교실 밖 인공지능 수업</t>
        </is>
      </c>
      <c r="B186" s="22" t="inlineStr">
        <is>
          <t>김현정</t>
        </is>
      </c>
      <c r="C186" s="22" t="inlineStr">
        <is>
          <t>궁리출판</t>
        </is>
      </c>
      <c r="D186" s="22" t="inlineStr">
        <is>
          <t>2022년 07월</t>
        </is>
      </c>
      <c r="E186" s="28" t="n">
        <v>14000</v>
      </c>
      <c r="F186" s="28" t="n">
        <v>12600</v>
      </c>
      <c r="G186" s="29" t="n">
        <v>0</v>
      </c>
      <c r="H186" s="29" t="n">
        <v>396</v>
      </c>
      <c r="I186" s="21" t="inlineStr">
        <is>
          <t>2022</t>
        </is>
      </c>
      <c r="J186" s="21" t="inlineStr">
        <is>
          <t xml:space="preserve"> 0</t>
        </is>
      </c>
      <c r="K186" s="30">
        <f>(E186-F186)/IF(E186&gt;0,E186,1)</f>
        <v/>
      </c>
    </row>
    <row r="187">
      <c r="A187" s="22" t="inlineStr">
        <is>
          <t>바이브 코딩 항해일지</t>
        </is>
      </c>
      <c r="B187" s="22" t="inlineStr">
        <is>
          <t>동준상</t>
        </is>
      </c>
      <c r="C187" s="22" t="inlineStr">
        <is>
          <t>에이콘출판사</t>
        </is>
      </c>
      <c r="D187" s="22" t="inlineStr">
        <is>
          <t>2026년 04월</t>
        </is>
      </c>
      <c r="E187" s="28" t="n">
        <v>28000</v>
      </c>
      <c r="F187" s="28" t="n">
        <v>25200</v>
      </c>
      <c r="G187" s="29" t="n">
        <v>2</v>
      </c>
      <c r="H187" s="29" t="n">
        <v>150</v>
      </c>
      <c r="I187" s="21" t="inlineStr">
        <is>
          <t>2026</t>
        </is>
      </c>
      <c r="J187" s="21" t="inlineStr">
        <is>
          <t xml:space="preserve"> 0</t>
        </is>
      </c>
      <c r="K187" s="30">
        <f>(E187-F187)/IF(E187&gt;0,E187,1)</f>
        <v/>
      </c>
    </row>
    <row r="188">
      <c r="A188" s="22" t="inlineStr">
        <is>
          <t>10분 만에 따라 하는 Claude MCP 업무 자동화 혁신 가이드</t>
        </is>
      </c>
      <c r="B188" s="22" t="inlineStr">
        <is>
          <t>이호준</t>
        </is>
      </c>
      <c r="C188" s="22" t="inlineStr">
        <is>
          <t>리코멘드</t>
        </is>
      </c>
      <c r="D188" s="22" t="inlineStr">
        <is>
          <t>2025년 07월</t>
        </is>
      </c>
      <c r="E188" s="28" t="n">
        <v>18800</v>
      </c>
      <c r="F188" s="28" t="n">
        <v>16920</v>
      </c>
      <c r="G188" s="29" t="n">
        <v>3</v>
      </c>
      <c r="H188" s="29" t="n">
        <v>2250</v>
      </c>
      <c r="I188" s="21" t="inlineStr">
        <is>
          <t>2025</t>
        </is>
      </c>
      <c r="J188" s="21" t="inlineStr">
        <is>
          <t xml:space="preserve"> 0</t>
        </is>
      </c>
      <c r="K188" s="30">
        <f>(E188-F188)/IF(E188&gt;0,E188,1)</f>
        <v/>
      </c>
    </row>
    <row r="189">
      <c r="A189" s="22" t="inlineStr">
        <is>
          <t>챗GPT 구구단</t>
        </is>
      </c>
      <c r="B189" s="22" t="inlineStr">
        <is>
          <t>유경식(피치타이탄)</t>
        </is>
      </c>
      <c r="C189" s="22" t="inlineStr">
        <is>
          <t>여의도책방</t>
        </is>
      </c>
      <c r="D189" s="22" t="inlineStr">
        <is>
          <t>2026년 01월</t>
        </is>
      </c>
      <c r="E189" s="28" t="n">
        <v>26000</v>
      </c>
      <c r="F189" s="28" t="n">
        <v>23400</v>
      </c>
      <c r="G189" s="29" t="n">
        <v>16</v>
      </c>
      <c r="H189" s="29" t="n">
        <v>1044</v>
      </c>
      <c r="I189" s="21" t="inlineStr">
        <is>
          <t>2026</t>
        </is>
      </c>
      <c r="J189" s="21" t="inlineStr">
        <is>
          <t xml:space="preserve"> 0</t>
        </is>
      </c>
      <c r="K189" s="30">
        <f>(E189-F189)/IF(E189&gt;0,E189,1)</f>
        <v/>
      </c>
    </row>
    <row r="190">
      <c r="A190" s="22" t="inlineStr">
        <is>
          <t>처음 만나는 인공지능</t>
        </is>
      </c>
      <c r="B190" s="22" t="inlineStr">
        <is>
          <t>김대수, 김경동</t>
        </is>
      </c>
      <c r="C190" s="22" t="inlineStr">
        <is>
          <t>생능출판사</t>
        </is>
      </c>
      <c r="D190" s="22" t="inlineStr">
        <is>
          <t>2023년 12월</t>
        </is>
      </c>
      <c r="E190" s="28" t="n">
        <v>27000</v>
      </c>
      <c r="F190" s="28" t="n">
        <v>27000</v>
      </c>
      <c r="G190" s="29" t="n">
        <v>0</v>
      </c>
      <c r="H190" s="29" t="n">
        <v>2034</v>
      </c>
      <c r="I190" s="21" t="inlineStr">
        <is>
          <t>2023</t>
        </is>
      </c>
      <c r="J190" s="21" t="inlineStr">
        <is>
          <t xml:space="preserve"> 1</t>
        </is>
      </c>
      <c r="K190" s="30">
        <f>(E190-F190)/IF(E190&gt;0,E190,1)</f>
        <v/>
      </c>
    </row>
    <row r="191">
      <c r="A191" s="22" t="inlineStr">
        <is>
          <t>AI 디자인 활용백과</t>
        </is>
      </c>
      <c r="B191" s="22" t="inlineStr">
        <is>
          <t>채시은</t>
        </is>
      </c>
      <c r="C191" s="22" t="inlineStr">
        <is>
          <t>스마트북스</t>
        </is>
      </c>
      <c r="D191" s="22" t="inlineStr">
        <is>
          <t>2026년 01월</t>
        </is>
      </c>
      <c r="E191" s="28" t="n">
        <v>25000</v>
      </c>
      <c r="F191" s="28" t="n">
        <v>22500</v>
      </c>
      <c r="G191" s="29" t="n">
        <v>2</v>
      </c>
      <c r="H191" s="29" t="n">
        <v>876</v>
      </c>
      <c r="I191" s="21" t="inlineStr">
        <is>
          <t>2026</t>
        </is>
      </c>
      <c r="J191" s="21" t="inlineStr">
        <is>
          <t xml:space="preserve"> 0</t>
        </is>
      </c>
      <c r="K191" s="30">
        <f>(E191-F191)/IF(E191&gt;0,E191,1)</f>
        <v/>
      </c>
    </row>
    <row r="192">
      <c r="A192" s="22" t="inlineStr">
        <is>
          <t>유니티로 배우는 C# 프로그래밍 6/e</t>
        </is>
      </c>
      <c r="B192" s="22" t="inlineStr">
        <is>
          <t>해리슨 페론, 이지성, 송정은</t>
        </is>
      </c>
      <c r="C192" s="22" t="inlineStr">
        <is>
          <t>에이콘출판사</t>
        </is>
      </c>
      <c r="D192" s="22" t="inlineStr">
        <is>
          <t>2023년 05월</t>
        </is>
      </c>
      <c r="E192" s="28" t="n">
        <v>40000</v>
      </c>
      <c r="F192" s="28" t="n">
        <v>36000</v>
      </c>
      <c r="G192" s="29" t="n">
        <v>2</v>
      </c>
      <c r="H192" s="29" t="n">
        <v>798</v>
      </c>
      <c r="I192" s="21" t="inlineStr">
        <is>
          <t>2023</t>
        </is>
      </c>
      <c r="J192" s="21" t="inlineStr">
        <is>
          <t xml:space="preserve"> 0</t>
        </is>
      </c>
      <c r="K192" s="30">
        <f>(E192-F192)/IF(E192&gt;0,E192,1)</f>
        <v/>
      </c>
    </row>
    <row r="193">
      <c r="A193" s="22" t="inlineStr">
        <is>
          <t>쉽게 배우고 생활에 바로 쓰는 AI 활용</t>
        </is>
      </c>
      <c r="B193" s="22" t="inlineStr">
        <is>
          <t>오상열</t>
        </is>
      </c>
      <c r="C193" s="22" t="inlineStr">
        <is>
          <t>아이콕스(iCox)</t>
        </is>
      </c>
      <c r="D193" s="22" t="inlineStr">
        <is>
          <t>2025년 08월</t>
        </is>
      </c>
      <c r="E193" s="28" t="n">
        <v>15000</v>
      </c>
      <c r="F193" s="28" t="n">
        <v>13500</v>
      </c>
      <c r="G193" s="29" t="n">
        <v>2</v>
      </c>
      <c r="H193" s="29" t="n">
        <v>744</v>
      </c>
      <c r="I193" s="21" t="inlineStr">
        <is>
          <t>2025</t>
        </is>
      </c>
      <c r="J193" s="21" t="inlineStr">
        <is>
          <t xml:space="preserve"> 0</t>
        </is>
      </c>
      <c r="K193" s="30">
        <f>(E193-F193)/IF(E193&gt;0,E193,1)</f>
        <v/>
      </c>
    </row>
    <row r="194">
      <c r="A194" s="22" t="inlineStr">
        <is>
          <t>한눈에 보이는 인공지능 수학 그림책</t>
        </is>
      </c>
      <c r="B194" s="22" t="inlineStr">
        <is>
          <t>한선관, 정기민</t>
        </is>
      </c>
      <c r="C194" s="22" t="inlineStr">
        <is>
          <t>성안당</t>
        </is>
      </c>
      <c r="D194" s="22" t="inlineStr">
        <is>
          <t>2023년 07월</t>
        </is>
      </c>
      <c r="E194" s="28" t="n">
        <v>23000</v>
      </c>
      <c r="F194" s="28" t="n">
        <v>20700</v>
      </c>
      <c r="G194" s="29" t="n">
        <v>22</v>
      </c>
      <c r="H194" s="29" t="n">
        <v>660</v>
      </c>
      <c r="I194" s="21" t="inlineStr">
        <is>
          <t>2023</t>
        </is>
      </c>
      <c r="J194" s="21" t="inlineStr">
        <is>
          <t xml:space="preserve"> 0</t>
        </is>
      </c>
      <c r="K194" s="30">
        <f>(E194-F194)/IF(E194&gt;0,E194,1)</f>
        <v/>
      </c>
    </row>
    <row r="195">
      <c r="A195" s="22" t="inlineStr">
        <is>
          <t>AI가 고객을 데려오는 시대</t>
        </is>
      </c>
      <c r="B195" s="22" t="inlineStr">
        <is>
          <t>최재용, 권혁용, 김상순, 김진수, 이세라, 정보 더 보기/감추기, 최재용, 권혁용, 김상순, 김진수, 이세라, 이은정, 장선경, 정현정, 차승희, 최동진, 최소은, 김진선</t>
        </is>
      </c>
      <c r="C195" s="22" t="inlineStr">
        <is>
          <t>미디어북</t>
        </is>
      </c>
      <c r="D195" s="22" t="inlineStr">
        <is>
          <t>2026년 03월</t>
        </is>
      </c>
      <c r="E195" s="28" t="n">
        <v>20000</v>
      </c>
      <c r="F195" s="28" t="n">
        <v>20000</v>
      </c>
      <c r="G195" s="29" t="n">
        <v>4</v>
      </c>
      <c r="H195" s="29" t="n">
        <v>588</v>
      </c>
      <c r="I195" s="21" t="inlineStr">
        <is>
          <t>2026</t>
        </is>
      </c>
      <c r="J195" s="21" t="inlineStr">
        <is>
          <t xml:space="preserve"> 0</t>
        </is>
      </c>
      <c r="K195" s="30">
        <f>(E195-F195)/IF(E195&gt;0,E195,1)</f>
        <v/>
      </c>
    </row>
    <row r="196">
      <c r="A196" s="22" t="inlineStr">
        <is>
          <t>생명과학을 위한 딥러닝</t>
        </is>
      </c>
      <c r="B196" s="22" t="inlineStr">
        <is>
          <t>바라스 람순다르, 피터 이스트먼, 패트릭 월터스, 비제이 판데, 김태윤</t>
        </is>
      </c>
      <c r="C196" s="22" t="inlineStr">
        <is>
          <t>에이콘출판사</t>
        </is>
      </c>
      <c r="D196" s="22" t="inlineStr">
        <is>
          <t>2020년 08월</t>
        </is>
      </c>
      <c r="E196" s="28" t="n">
        <v>25000</v>
      </c>
      <c r="F196" s="28" t="n">
        <v>22500</v>
      </c>
      <c r="G196" s="29" t="n">
        <v>0</v>
      </c>
      <c r="H196" s="29" t="n">
        <v>600</v>
      </c>
      <c r="I196" s="21" t="inlineStr">
        <is>
          <t>2020</t>
        </is>
      </c>
      <c r="J196" s="21" t="inlineStr">
        <is>
          <t xml:space="preserve"> 0</t>
        </is>
      </c>
      <c r="K196" s="30">
        <f>(E196-F196)/IF(E196&gt;0,E196,1)</f>
        <v/>
      </c>
    </row>
    <row r="197">
      <c r="A197" s="22" t="inlineStr">
        <is>
          <t>실전 금융 머신러닝 완벽 분석</t>
        </is>
      </c>
      <c r="B197" s="22" t="inlineStr">
        <is>
          <t>마르코스 로페즈 데 프라도, 이병욱, 이기홍, 하석근</t>
        </is>
      </c>
      <c r="C197" s="22" t="inlineStr">
        <is>
          <t>에이콘출판사</t>
        </is>
      </c>
      <c r="D197" s="22" t="inlineStr">
        <is>
          <t>2018년 11월</t>
        </is>
      </c>
      <c r="E197" s="28" t="n">
        <v>40000</v>
      </c>
      <c r="F197" s="28" t="n">
        <v>36000</v>
      </c>
      <c r="G197" s="29" t="n">
        <v>8</v>
      </c>
      <c r="H197" s="29" t="n">
        <v>420</v>
      </c>
      <c r="I197" s="21" t="inlineStr">
        <is>
          <t>2018</t>
        </is>
      </c>
      <c r="J197" s="21" t="inlineStr">
        <is>
          <t xml:space="preserve"> 1</t>
        </is>
      </c>
      <c r="K197" s="30">
        <f>(E197-F197)/IF(E197&gt;0,E197,1)</f>
        <v/>
      </c>
    </row>
    <row r="198">
      <c r="A198" s="22" t="inlineStr">
        <is>
          <t>AI x 창의성: 미술·혁신·교육</t>
        </is>
      </c>
      <c r="B198" s="22" t="inlineStr">
        <is>
          <t>박지숙</t>
        </is>
      </c>
      <c r="C198" s="22" t="inlineStr">
        <is>
          <t>아트브릿지</t>
        </is>
      </c>
      <c r="D198" s="22" t="inlineStr">
        <is>
          <t>2025년 04월</t>
        </is>
      </c>
      <c r="E198" s="28" t="n">
        <v>19800</v>
      </c>
      <c r="F198" s="28" t="n">
        <v>17820</v>
      </c>
      <c r="G198" s="29" t="n">
        <v>0</v>
      </c>
      <c r="H198" s="29" t="n">
        <v>504</v>
      </c>
      <c r="I198" s="21" t="inlineStr">
        <is>
          <t>2025</t>
        </is>
      </c>
      <c r="J198" s="21" t="inlineStr">
        <is>
          <t xml:space="preserve"> 0</t>
        </is>
      </c>
      <c r="K198" s="30">
        <f>(E198-F198)/IF(E198&gt;0,E198,1)</f>
        <v/>
      </c>
    </row>
    <row r="199">
      <c r="A199" s="22" t="inlineStr">
        <is>
          <t>생성형 AI 활용 취업 컨설팅 실전 가이드</t>
        </is>
      </c>
      <c r="B199" s="22" t="inlineStr">
        <is>
          <t>서춘현</t>
        </is>
      </c>
      <c r="C199" s="22" t="inlineStr">
        <is>
          <t>엘리트코리아</t>
        </is>
      </c>
      <c r="D199" s="22" t="inlineStr">
        <is>
          <t>2025년 11월</t>
        </is>
      </c>
      <c r="E199" s="28" t="n">
        <v>18000</v>
      </c>
      <c r="F199" s="28" t="n">
        <v>16200</v>
      </c>
      <c r="G199" s="29" t="n">
        <v>2</v>
      </c>
      <c r="H199" s="29" t="n">
        <v>336</v>
      </c>
      <c r="I199" s="21" t="inlineStr">
        <is>
          <t>2025</t>
        </is>
      </c>
      <c r="J199" s="21" t="inlineStr">
        <is>
          <t xml:space="preserve"> 1</t>
        </is>
      </c>
      <c r="K199" s="30">
        <f>(E199-F199)/IF(E199&gt;0,E199,1)</f>
        <v/>
      </c>
    </row>
    <row r="200">
      <c r="A200" s="22" t="inlineStr">
        <is>
          <t>AI 트랜스포메이션</t>
        </is>
      </c>
      <c r="B200" s="22" t="inlineStr">
        <is>
          <t>신항식</t>
        </is>
      </c>
      <c r="C200" s="22" t="inlineStr">
        <is>
          <t>BOOKK(부크크)</t>
        </is>
      </c>
      <c r="D200" s="22" t="inlineStr">
        <is>
          <t>2026년 04월</t>
        </is>
      </c>
      <c r="E200" s="28" t="n">
        <v>24500</v>
      </c>
      <c r="F200" s="28" t="n">
        <v>24500</v>
      </c>
      <c r="G200" s="29" t="n">
        <v>5</v>
      </c>
      <c r="H200" s="29" t="n">
        <v>210</v>
      </c>
      <c r="I200" s="21" t="inlineStr">
        <is>
          <t>2026</t>
        </is>
      </c>
      <c r="J200" s="21" t="inlineStr">
        <is>
          <t xml:space="preserve"> 0</t>
        </is>
      </c>
      <c r="K200" s="30">
        <f>(E200-F200)/IF(E200&gt;0,E200,1)</f>
        <v/>
      </c>
    </row>
    <row r="201">
      <c r="A201" s="22" t="inlineStr">
        <is>
          <t>모두를 위한 최신 ChatGPT 프롬프트 엔지니어링</t>
        </is>
      </c>
      <c r="B201" s="22" t="inlineStr">
        <is>
          <t>김진, 최정아</t>
        </is>
      </c>
      <c r="C201" s="22" t="inlineStr">
        <is>
          <t>마소캠퍼스</t>
        </is>
      </c>
      <c r="D201" s="22" t="inlineStr">
        <is>
          <t>2025년 06월</t>
        </is>
      </c>
      <c r="E201" s="28" t="n">
        <v>20000</v>
      </c>
      <c r="F201" s="28" t="n">
        <v>18000</v>
      </c>
      <c r="G201" s="29" t="n">
        <v>1</v>
      </c>
      <c r="H201" s="29" t="n">
        <v>1374</v>
      </c>
      <c r="I201" s="21" t="inlineStr">
        <is>
          <t>2025</t>
        </is>
      </c>
      <c r="J201" s="21" t="inlineStr">
        <is>
          <t xml:space="preserve"> 0</t>
        </is>
      </c>
      <c r="K201" s="30">
        <f>(E201-F201)/IF(E201&gt;0,E201,1)</f>
        <v/>
      </c>
    </row>
    <row r="202">
      <c r="A202" s="22" t="inlineStr">
        <is>
          <t>AI 게임 개발 시작</t>
        </is>
      </c>
      <c r="B202" s="22" t="inlineStr">
        <is>
          <t>김정태</t>
        </is>
      </c>
      <c r="C202" s="22" t="inlineStr">
        <is>
          <t>홍릉</t>
        </is>
      </c>
      <c r="D202" s="22" t="inlineStr">
        <is>
          <t>2026년 05월</t>
        </is>
      </c>
      <c r="E202" s="28" t="n">
        <v>25000</v>
      </c>
      <c r="F202" s="28" t="n">
        <v>25000</v>
      </c>
      <c r="G202" s="29" t="n">
        <v>0</v>
      </c>
      <c r="H202" s="29" t="n">
        <v>168</v>
      </c>
      <c r="I202" s="21" t="inlineStr">
        <is>
          <t>2026</t>
        </is>
      </c>
      <c r="J202" s="21" t="inlineStr">
        <is>
          <t xml:space="preserve"> 0</t>
        </is>
      </c>
      <c r="K202" s="30">
        <f>(E202-F202)/IF(E202&gt;0,E202,1)</f>
        <v/>
      </c>
    </row>
    <row r="203">
      <c r="A203" s="22" t="inlineStr">
        <is>
          <t>테슬라처럼 만드는 비전 자율주행 피지컬 AI</t>
        </is>
      </c>
      <c r="B203" s="22" t="inlineStr">
        <is>
          <t>이석창</t>
        </is>
      </c>
      <c r="C203" s="22" t="inlineStr">
        <is>
          <t>BOOKK(부크크)</t>
        </is>
      </c>
      <c r="D203" s="22" t="inlineStr">
        <is>
          <t>2026년 05월</t>
        </is>
      </c>
      <c r="E203" s="28" t="n">
        <v>28000</v>
      </c>
      <c r="F203" s="28" t="n">
        <v>28000</v>
      </c>
      <c r="G203" s="29" t="n">
        <v>0</v>
      </c>
      <c r="H203" s="29" t="n">
        <v>186</v>
      </c>
      <c r="I203" s="21" t="inlineStr">
        <is>
          <t>2026</t>
        </is>
      </c>
      <c r="J203" s="21" t="inlineStr">
        <is>
          <t xml:space="preserve"> 0</t>
        </is>
      </c>
      <c r="K203" s="30">
        <f>(E203-F203)/IF(E203&gt;0,E203,1)</f>
        <v/>
      </c>
    </row>
    <row r="204">
      <c r="A204" s="22" t="inlineStr">
        <is>
          <t>QA를 넘어 개발자도 알아야 할 AI 에이전트 품질 가이드</t>
        </is>
      </c>
      <c r="B204" s="22" t="inlineStr">
        <is>
          <t>정상미, 김성수</t>
        </is>
      </c>
      <c r="C204" s="22" t="inlineStr">
        <is>
          <t>프리렉</t>
        </is>
      </c>
      <c r="D204" s="22" t="inlineStr">
        <is>
          <t>2026년 02월</t>
        </is>
      </c>
      <c r="E204" s="28" t="n">
        <v>28000</v>
      </c>
      <c r="F204" s="28" t="n">
        <v>25200</v>
      </c>
      <c r="G204" s="29" t="n">
        <v>1</v>
      </c>
      <c r="H204" s="29" t="n">
        <v>1260</v>
      </c>
      <c r="I204" s="21" t="inlineStr">
        <is>
          <t>2026</t>
        </is>
      </c>
      <c r="J204" s="21" t="inlineStr">
        <is>
          <t xml:space="preserve"> 0</t>
        </is>
      </c>
      <c r="K204" s="30">
        <f>(E204-F204)/IF(E204&gt;0,E204,1)</f>
        <v/>
      </c>
    </row>
    <row r="205">
      <c r="A205" s="22" t="inlineStr">
        <is>
          <t>30일 완성 제미나이 업무 혁명</t>
        </is>
      </c>
      <c r="B205" s="22" t="inlineStr">
        <is>
          <t>AI싱크클럽(이재만)</t>
        </is>
      </c>
      <c r="C205" s="22" t="inlineStr">
        <is>
          <t>루비페이퍼</t>
        </is>
      </c>
      <c r="D205" s="22" t="inlineStr">
        <is>
          <t>2026년 04월</t>
        </is>
      </c>
      <c r="E205" s="28" t="n">
        <v>26000</v>
      </c>
      <c r="F205" s="28" t="n">
        <v>23400</v>
      </c>
      <c r="G205" s="29" t="n">
        <v>45</v>
      </c>
      <c r="H205" s="29" t="n">
        <v>954</v>
      </c>
      <c r="I205" s="21" t="inlineStr">
        <is>
          <t>2026</t>
        </is>
      </c>
      <c r="J205" s="21" t="inlineStr">
        <is>
          <t xml:space="preserve"> 0</t>
        </is>
      </c>
      <c r="K205" s="30">
        <f>(E205-F205)/IF(E205&gt;0,E205,1)</f>
        <v/>
      </c>
    </row>
    <row r="206">
      <c r="A206" s="22" t="inlineStr">
        <is>
          <t>대규모 언어 모델, 핵심만 빠르게!</t>
        </is>
      </c>
      <c r="B206" s="22" t="inlineStr">
        <is>
          <t>안드리 부르코프, 박해선</t>
        </is>
      </c>
      <c r="C206" s="22" t="inlineStr">
        <is>
          <t>인사이트(insight)</t>
        </is>
      </c>
      <c r="D206" s="22" t="inlineStr">
        <is>
          <t>2025년 10월</t>
        </is>
      </c>
      <c r="E206" s="28" t="n">
        <v>24000</v>
      </c>
      <c r="F206" s="28" t="n">
        <v>21600</v>
      </c>
      <c r="G206" s="29" t="n">
        <v>1</v>
      </c>
      <c r="H206" s="29" t="n">
        <v>972</v>
      </c>
      <c r="I206" s="21" t="inlineStr">
        <is>
          <t>2025</t>
        </is>
      </c>
      <c r="J206" s="21" t="inlineStr">
        <is>
          <t xml:space="preserve"> 1</t>
        </is>
      </c>
      <c r="K206" s="30">
        <f>(E206-F206)/IF(E206&gt;0,E206,1)</f>
        <v/>
      </c>
    </row>
    <row r="207">
      <c r="A207" s="22" t="inlineStr">
        <is>
          <t>보고서 기획서 고민 없이 시작해서 30분 만에 끝내주는 프롬프트 책</t>
        </is>
      </c>
      <c r="B207" s="22" t="inlineStr">
        <is>
          <t>박경수</t>
        </is>
      </c>
      <c r="C207" s="22" t="inlineStr">
        <is>
          <t>한빛비즈</t>
        </is>
      </c>
      <c r="D207" s="22" t="inlineStr">
        <is>
          <t>2025년 08월</t>
        </is>
      </c>
      <c r="E207" s="28" t="n">
        <v>22000</v>
      </c>
      <c r="F207" s="28" t="n">
        <v>19800</v>
      </c>
      <c r="G207" s="29" t="n">
        <v>16</v>
      </c>
      <c r="H207" s="29" t="n">
        <v>3420</v>
      </c>
      <c r="I207" s="21" t="inlineStr">
        <is>
          <t>2025</t>
        </is>
      </c>
      <c r="J207" s="21" t="inlineStr">
        <is>
          <t xml:space="preserve"> 0</t>
        </is>
      </c>
      <c r="K207" s="30">
        <f>(E207-F207)/IF(E207&gt;0,E207,1)</f>
        <v/>
      </c>
    </row>
    <row r="208">
      <c r="A208" s="22" t="inlineStr">
        <is>
          <t>돈 되는 AI, 어디서부터 무엇을 어떻게 해야 할까</t>
        </is>
      </c>
      <c r="B208" s="22" t="inlineStr">
        <is>
          <t>장동인</t>
        </is>
      </c>
      <c r="C208" s="22" t="inlineStr">
        <is>
          <t>리코멘드</t>
        </is>
      </c>
      <c r="D208" s="22" t="inlineStr">
        <is>
          <t>2025년 09월</t>
        </is>
      </c>
      <c r="E208" s="28" t="n">
        <v>25000</v>
      </c>
      <c r="F208" s="28" t="n">
        <v>22500</v>
      </c>
      <c r="G208" s="29" t="n">
        <v>7</v>
      </c>
      <c r="H208" s="29" t="n">
        <v>4362</v>
      </c>
      <c r="I208" s="21" t="inlineStr">
        <is>
          <t>2025</t>
        </is>
      </c>
      <c r="J208" s="21" t="inlineStr">
        <is>
          <t xml:space="preserve"> 0</t>
        </is>
      </c>
      <c r="K208" s="30">
        <f>(E208-F208)/IF(E208&gt;0,E208,1)</f>
        <v/>
      </c>
    </row>
    <row r="209">
      <c r="A209" s="22" t="inlineStr">
        <is>
          <t>AI가 바꾸는 일터의 미래</t>
        </is>
      </c>
      <c r="B209" s="22" t="inlineStr">
        <is>
          <t>김성준</t>
        </is>
      </c>
      <c r="C209" s="22" t="inlineStr">
        <is>
          <t>포르체</t>
        </is>
      </c>
      <c r="D209" s="22" t="inlineStr">
        <is>
          <t>2025년 08월</t>
        </is>
      </c>
      <c r="E209" s="28" t="n">
        <v>20000</v>
      </c>
      <c r="F209" s="28" t="n">
        <v>18000</v>
      </c>
      <c r="G209" s="29" t="n">
        <v>19</v>
      </c>
      <c r="H209" s="29" t="n">
        <v>2406</v>
      </c>
      <c r="I209" s="21" t="inlineStr">
        <is>
          <t>2025</t>
        </is>
      </c>
      <c r="J209" s="21" t="inlineStr">
        <is>
          <t xml:space="preserve"> 0</t>
        </is>
      </c>
      <c r="K209" s="30">
        <f>(E209-F209)/IF(E209&gt;0,E209,1)</f>
        <v/>
      </c>
    </row>
    <row r="210">
      <c r="A210" s="22" t="inlineStr">
        <is>
          <t>엔트리 인공지능 with 햄스터 로봇</t>
        </is>
      </c>
      <c r="B210" s="22" t="inlineStr">
        <is>
          <t>강윤지, 박찬규, 강성웅, 김원유, 심재민, 정보 더 보기/감추기, 강윤지, 박찬규, 강성웅, 김원유, 심재민, 김연구, 홍성용, 김경상, 정인재, 박광현</t>
        </is>
      </c>
      <c r="C210" s="22" t="inlineStr">
        <is>
          <t>영진닷컴</t>
        </is>
      </c>
      <c r="D210" s="22" t="inlineStr">
        <is>
          <t>2024년 05월</t>
        </is>
      </c>
      <c r="E210" s="28" t="n">
        <v>18000</v>
      </c>
      <c r="F210" s="28" t="n">
        <v>16200</v>
      </c>
      <c r="G210" s="29" t="n">
        <v>4</v>
      </c>
      <c r="H210" s="29" t="n">
        <v>1182</v>
      </c>
      <c r="I210" s="21" t="inlineStr">
        <is>
          <t>2024</t>
        </is>
      </c>
      <c r="J210" s="21" t="inlineStr">
        <is>
          <t xml:space="preserve"> 0</t>
        </is>
      </c>
      <c r="K210" s="30">
        <f>(E210-F210)/IF(E210&gt;0,E210,1)</f>
        <v/>
      </c>
    </row>
    <row r="211">
      <c r="A211" s="22" t="inlineStr">
        <is>
          <t>EBS 수학과 함께하는 AI 기초</t>
        </is>
      </c>
      <c r="B211" s="22" t="inlineStr">
        <is>
          <t>EBS</t>
        </is>
      </c>
      <c r="C211" s="22" t="inlineStr">
        <is>
          <t>한국교육방송공사</t>
        </is>
      </c>
      <c r="D211" s="22" t="inlineStr">
        <is>
          <t>2020년 09월</t>
        </is>
      </c>
      <c r="E211" s="28" t="n">
        <v>12000</v>
      </c>
      <c r="F211" s="28" t="n">
        <v>11400</v>
      </c>
      <c r="G211" s="29" t="n">
        <v>22</v>
      </c>
      <c r="H211" s="29" t="n">
        <v>1026</v>
      </c>
      <c r="I211" s="21" t="inlineStr">
        <is>
          <t>2020</t>
        </is>
      </c>
      <c r="J211" s="21" t="inlineStr">
        <is>
          <t xml:space="preserve"> 0</t>
        </is>
      </c>
      <c r="K211" s="30">
        <f>(E211-F211)/IF(E211&gt;0,E211,1)</f>
        <v/>
      </c>
    </row>
    <row r="212">
      <c r="A212" s="22" t="inlineStr">
        <is>
          <t>10일 만에 익히는 파이토치 딥러닝</t>
        </is>
      </c>
      <c r="B212" s="22" t="inlineStr">
        <is>
          <t>한기영</t>
        </is>
      </c>
      <c r="C212" s="22" t="inlineStr">
        <is>
          <t>인사이트(insight)</t>
        </is>
      </c>
      <c r="D212" s="22" t="inlineStr">
        <is>
          <t>2025년 12월</t>
        </is>
      </c>
      <c r="E212" s="28" t="n">
        <v>27000</v>
      </c>
      <c r="F212" s="28" t="n">
        <v>24300</v>
      </c>
      <c r="G212" s="29" t="n">
        <v>2</v>
      </c>
      <c r="H212" s="29" t="n">
        <v>798</v>
      </c>
      <c r="I212" s="21" t="inlineStr">
        <is>
          <t>2025</t>
        </is>
      </c>
      <c r="J212" s="21" t="inlineStr">
        <is>
          <t xml:space="preserve"> 1</t>
        </is>
      </c>
      <c r="K212" s="30">
        <f>(E212-F212)/IF(E212&gt;0,E212,1)</f>
        <v/>
      </c>
    </row>
    <row r="213">
      <c r="A213" s="22" t="inlineStr">
        <is>
          <t>데이터시각화를 하는 가장 쉬운 방법 by 구글 루커 스튜디오</t>
        </is>
      </c>
      <c r="B213" s="22" t="inlineStr">
        <is>
          <t>천영훈</t>
        </is>
      </c>
      <c r="C213" s="22" t="inlineStr">
        <is>
          <t>디지털북스</t>
        </is>
      </c>
      <c r="D213" s="22" t="inlineStr">
        <is>
          <t>2024년 12월</t>
        </is>
      </c>
      <c r="E213" s="28" t="n">
        <v>20000</v>
      </c>
      <c r="F213" s="28" t="n">
        <v>18000</v>
      </c>
      <c r="G213" s="29" t="n">
        <v>2</v>
      </c>
      <c r="H213" s="29" t="n">
        <v>714</v>
      </c>
      <c r="I213" s="21" t="inlineStr">
        <is>
          <t>2024</t>
        </is>
      </c>
      <c r="J213" s="21" t="inlineStr">
        <is>
          <t xml:space="preserve"> 1</t>
        </is>
      </c>
      <c r="K213" s="30">
        <f>(E213-F213)/IF(E213&gt;0,E213,1)</f>
        <v/>
      </c>
    </row>
    <row r="214">
      <c r="A214" s="22" t="inlineStr">
        <is>
          <t>데이터 품질의 비밀</t>
        </is>
      </c>
      <c r="B214" s="22" t="inlineStr">
        <is>
          <t>바 모세스, 라이어 개비쉬, 몰리 보르웨르크, 데이터야놀자</t>
        </is>
      </c>
      <c r="C214" s="22" t="inlineStr">
        <is>
          <t>디코딩</t>
        </is>
      </c>
      <c r="D214" s="22" t="inlineStr">
        <is>
          <t>2023년 04월</t>
        </is>
      </c>
      <c r="E214" s="28" t="n">
        <v>28000</v>
      </c>
      <c r="F214" s="28" t="n">
        <v>25200</v>
      </c>
      <c r="G214" s="29" t="n">
        <v>23</v>
      </c>
      <c r="H214" s="29" t="n">
        <v>600</v>
      </c>
      <c r="I214" s="21" t="inlineStr">
        <is>
          <t>2023</t>
        </is>
      </c>
      <c r="J214" s="21" t="inlineStr">
        <is>
          <t xml:space="preserve"> 0</t>
        </is>
      </c>
      <c r="K214" s="30">
        <f>(E214-F214)/IF(E214&gt;0,E214,1)</f>
        <v/>
      </c>
    </row>
    <row r="215">
      <c r="A215" s="22" t="inlineStr">
        <is>
          <t>당신은 AI를 어디까지 믿을 수 있나요?</t>
        </is>
      </c>
      <c r="B215" s="22" t="inlineStr">
        <is>
          <t>박찬선</t>
        </is>
      </c>
      <c r="C215" s="22" t="inlineStr">
        <is>
          <t>이지스퍼블리싱</t>
        </is>
      </c>
      <c r="D215" s="22" t="inlineStr">
        <is>
          <t>2025년 06월</t>
        </is>
      </c>
      <c r="E215" s="28" t="n">
        <v>16800</v>
      </c>
      <c r="F215" s="28" t="n">
        <v>15120</v>
      </c>
      <c r="G215" s="29" t="n">
        <v>31</v>
      </c>
      <c r="H215" s="29" t="n">
        <v>561</v>
      </c>
      <c r="I215" s="21" t="inlineStr">
        <is>
          <t>2025</t>
        </is>
      </c>
      <c r="J215" s="21" t="inlineStr">
        <is>
          <t xml:space="preserve"> 0</t>
        </is>
      </c>
      <c r="K215" s="30">
        <f>(E215-F215)/IF(E215&gt;0,E215,1)</f>
        <v/>
      </c>
    </row>
    <row r="216">
      <c r="A216" s="22" t="inlineStr">
        <is>
          <t>AI 작화법</t>
        </is>
      </c>
      <c r="B216" s="22" t="inlineStr">
        <is>
          <t>하묘</t>
        </is>
      </c>
      <c r="C216" s="22" t="inlineStr">
        <is>
          <t>성안당</t>
        </is>
      </c>
      <c r="D216" s="22" t="inlineStr">
        <is>
          <t>2025년 08월</t>
        </is>
      </c>
      <c r="E216" s="28" t="n">
        <v>25000</v>
      </c>
      <c r="F216" s="28" t="n">
        <v>22500</v>
      </c>
      <c r="G216" s="29" t="n">
        <v>33</v>
      </c>
      <c r="H216" s="29" t="n">
        <v>396</v>
      </c>
      <c r="I216" s="21" t="inlineStr">
        <is>
          <t>2025</t>
        </is>
      </c>
      <c r="J216" s="21" t="inlineStr">
        <is>
          <t xml:space="preserve"> 0</t>
        </is>
      </c>
      <c r="K216" s="30">
        <f>(E216-F216)/IF(E216&gt;0,E216,1)</f>
        <v/>
      </c>
    </row>
    <row r="217">
      <c r="A217" s="22" t="inlineStr">
        <is>
          <t>25가지 문제로 배우는 LLM 입문 with 파이썬</t>
        </is>
      </c>
      <c r="B217" s="22" t="inlineStr">
        <is>
          <t>요시키 간다, 임선집</t>
        </is>
      </c>
      <c r="C217" s="22" t="inlineStr">
        <is>
          <t>루비페이퍼</t>
        </is>
      </c>
      <c r="D217" s="22" t="inlineStr">
        <is>
          <t>2024년 07월</t>
        </is>
      </c>
      <c r="E217" s="28" t="n">
        <v>28000</v>
      </c>
      <c r="F217" s="28" t="n">
        <v>25200</v>
      </c>
      <c r="G217" s="29" t="n">
        <v>9</v>
      </c>
      <c r="H217" s="29" t="n">
        <v>432</v>
      </c>
      <c r="I217" s="21" t="inlineStr">
        <is>
          <t>2024</t>
        </is>
      </c>
      <c r="J217" s="21" t="inlineStr">
        <is>
          <t xml:space="preserve"> 0</t>
        </is>
      </c>
      <c r="K217" s="30">
        <f>(E217-F217)/IF(E217&gt;0,E217,1)</f>
        <v/>
      </c>
    </row>
    <row r="218">
      <c r="A218" s="22" t="inlineStr">
        <is>
          <t>인공지능을 활용한 사회과학 연구방법</t>
        </is>
      </c>
      <c r="B218" s="22" t="inlineStr">
        <is>
          <t>김태용</t>
        </is>
      </c>
      <c r="C218" s="22" t="inlineStr">
        <is>
          <t>학지사</t>
        </is>
      </c>
      <c r="D218" s="22" t="inlineStr">
        <is>
          <t>2024년 04월</t>
        </is>
      </c>
      <c r="E218" s="28" t="n">
        <v>28000</v>
      </c>
      <c r="F218" s="28" t="n">
        <v>25200</v>
      </c>
      <c r="G218" s="29" t="n">
        <v>2</v>
      </c>
      <c r="H218" s="29" t="n">
        <v>354</v>
      </c>
      <c r="I218" s="21" t="inlineStr">
        <is>
          <t>2024</t>
        </is>
      </c>
      <c r="J218" s="21" t="inlineStr">
        <is>
          <t xml:space="preserve"> 0</t>
        </is>
      </c>
      <c r="K218" s="30">
        <f>(E218-F218)/IF(E218&gt;0,E218,1)</f>
        <v/>
      </c>
    </row>
    <row r="219">
      <c r="A219" s="22" t="inlineStr">
        <is>
          <t>생성형AI 프롬프트 디자인</t>
        </is>
      </c>
      <c r="B219" s="22" t="inlineStr">
        <is>
          <t>한국생성형AI연구원</t>
        </is>
      </c>
      <c r="C219" s="22" t="inlineStr">
        <is>
          <t>광문각출판미디어</t>
        </is>
      </c>
      <c r="D219" s="22" t="inlineStr">
        <is>
          <t>2026년 02월</t>
        </is>
      </c>
      <c r="E219" s="28" t="n">
        <v>30000</v>
      </c>
      <c r="F219" s="28" t="n">
        <v>30000</v>
      </c>
      <c r="G219" s="29" t="n">
        <v>0</v>
      </c>
      <c r="H219" s="29" t="n">
        <v>276</v>
      </c>
      <c r="I219" s="21" t="inlineStr">
        <is>
          <t>2026</t>
        </is>
      </c>
      <c r="J219" s="21" t="inlineStr">
        <is>
          <t xml:space="preserve"> 0</t>
        </is>
      </c>
      <c r="K219" s="30">
        <f>(E219-F219)/IF(E219&gt;0,E219,1)</f>
        <v/>
      </c>
    </row>
    <row r="220">
      <c r="A220" s="22" t="inlineStr">
        <is>
          <t>AI 수학 개념만이라도 충분하다</t>
        </is>
      </c>
      <c r="B220" s="22" t="inlineStr">
        <is>
          <t>김용현</t>
        </is>
      </c>
      <c r="C220" s="22" t="inlineStr">
        <is>
          <t>골든벨</t>
        </is>
      </c>
      <c r="D220" s="22" t="inlineStr">
        <is>
          <t>2026년 03월</t>
        </is>
      </c>
      <c r="E220" s="28" t="n">
        <v>20000</v>
      </c>
      <c r="F220" s="28" t="n">
        <v>19000</v>
      </c>
      <c r="G220" s="29" t="n">
        <v>2</v>
      </c>
      <c r="H220" s="29" t="n">
        <v>549</v>
      </c>
      <c r="I220" s="21" t="inlineStr">
        <is>
          <t>2026</t>
        </is>
      </c>
      <c r="J220" s="21" t="inlineStr">
        <is>
          <t xml:space="preserve"> 0</t>
        </is>
      </c>
      <c r="K220" s="30">
        <f>(E220-F220)/IF(E220&gt;0,E220,1)</f>
        <v/>
      </c>
    </row>
    <row r="221">
      <c r="A221" s="22" t="inlineStr">
        <is>
          <t>아두이노로 만드는 스마트 자동차</t>
        </is>
      </c>
      <c r="B221" s="22" t="inlineStr">
        <is>
          <t>장문철</t>
        </is>
      </c>
      <c r="C221" s="22" t="inlineStr">
        <is>
          <t>먼슬리북스</t>
        </is>
      </c>
      <c r="D221" s="22" t="inlineStr">
        <is>
          <t>2025년 03월</t>
        </is>
      </c>
      <c r="E221" s="28" t="n">
        <v>23500</v>
      </c>
      <c r="F221" s="28" t="n">
        <v>21150</v>
      </c>
      <c r="G221" s="29" t="n">
        <v>6</v>
      </c>
      <c r="H221" s="29" t="n">
        <v>312</v>
      </c>
      <c r="I221" s="21" t="inlineStr">
        <is>
          <t>2025</t>
        </is>
      </c>
      <c r="J221" s="21" t="inlineStr">
        <is>
          <t xml:space="preserve"> 0</t>
        </is>
      </c>
      <c r="K221" s="30">
        <f>(E221-F221)/IF(E221&gt;0,E221,1)</f>
        <v/>
      </c>
    </row>
    <row r="222">
      <c r="A222" s="22" t="inlineStr">
        <is>
          <t>바로 써먹는 챗GPT 실무 활용법</t>
        </is>
      </c>
      <c r="B222" s="22" t="inlineStr">
        <is>
          <t>김규림, 문혜정, 이호진, 허필선</t>
        </is>
      </c>
      <c r="C222" s="22" t="inlineStr">
        <is>
          <t>행복한북창고</t>
        </is>
      </c>
      <c r="D222" s="22" t="inlineStr">
        <is>
          <t>2025년 10월</t>
        </is>
      </c>
      <c r="E222" s="28" t="n">
        <v>22000</v>
      </c>
      <c r="F222" s="28" t="n">
        <v>19800</v>
      </c>
      <c r="G222" s="29" t="n">
        <v>12</v>
      </c>
      <c r="H222" s="29" t="n">
        <v>417</v>
      </c>
      <c r="I222" s="21" t="inlineStr">
        <is>
          <t>2025</t>
        </is>
      </c>
      <c r="J222" s="21" t="inlineStr">
        <is>
          <t xml:space="preserve"> 1</t>
        </is>
      </c>
      <c r="K222" s="30">
        <f>(E222-F222)/IF(E222&gt;0,E222,1)</f>
        <v/>
      </c>
    </row>
    <row r="223">
      <c r="A223" s="22" t="inlineStr">
        <is>
          <t>Play IT! AI이거다</t>
        </is>
      </c>
      <c r="B223" s="22" t="inlineStr">
        <is>
          <t>심재국, 이우진, 송민규, 유준희, 조광복, 정보 더 보기/감추기, 심재국, 이우진, 송민규, 유준희, 조광복, 허정수, 정익현, 조호근, 소한나, 설 희, 이슬비, 박성현, 온영범, 서한별</t>
        </is>
      </c>
      <c r="C223" s="22" t="inlineStr">
        <is>
          <t>퓨너스</t>
        </is>
      </c>
      <c r="D223" s="22" t="inlineStr">
        <is>
          <t>2026년 01월</t>
        </is>
      </c>
      <c r="E223" s="28" t="n">
        <v>25000</v>
      </c>
      <c r="F223" s="28" t="n">
        <v>22500</v>
      </c>
      <c r="G223" s="29" t="n">
        <v>0</v>
      </c>
      <c r="H223" s="29" t="n">
        <v>288</v>
      </c>
      <c r="I223" s="21" t="inlineStr">
        <is>
          <t>2026</t>
        </is>
      </c>
      <c r="J223" s="21" t="inlineStr">
        <is>
          <t xml:space="preserve"> 0</t>
        </is>
      </c>
      <c r="K223" s="30">
        <f>(E223-F223)/IF(E223&gt;0,E223,1)</f>
        <v/>
      </c>
    </row>
    <row r="224">
      <c r="A224" s="22" t="inlineStr">
        <is>
          <t>구글 AI 제미나이(Gemini) 200% 활용법</t>
        </is>
      </c>
      <c r="B224" s="22" t="inlineStr">
        <is>
          <t>정의</t>
        </is>
      </c>
      <c r="C224" s="22" t="inlineStr">
        <is>
          <t>BOOKK(부크크)</t>
        </is>
      </c>
      <c r="D224" s="22" t="inlineStr">
        <is>
          <t>2026년 04월</t>
        </is>
      </c>
      <c r="E224" s="28" t="n">
        <v>8800</v>
      </c>
      <c r="F224" s="28" t="n">
        <v>8800</v>
      </c>
      <c r="G224" s="29" t="n">
        <v>0</v>
      </c>
      <c r="H224" s="29" t="n">
        <v>216</v>
      </c>
      <c r="I224" s="21" t="inlineStr">
        <is>
          <t>2026</t>
        </is>
      </c>
      <c r="J224" s="21" t="inlineStr">
        <is>
          <t xml:space="preserve"> 0</t>
        </is>
      </c>
      <c r="K224" s="30">
        <f>(E224-F224)/IF(E224&gt;0,E224,1)</f>
        <v/>
      </c>
    </row>
    <row r="225">
      <c r="A225" s="22" t="inlineStr">
        <is>
          <t>난생처음 파이썬 프로그래밍</t>
        </is>
      </c>
      <c r="B225" s="22" t="inlineStr">
        <is>
          <t>우재남, 최민아</t>
        </is>
      </c>
      <c r="C225" s="22" t="inlineStr">
        <is>
          <t>한빛아카데미</t>
        </is>
      </c>
      <c r="D225" s="22" t="inlineStr">
        <is>
          <t>2021년 06월</t>
        </is>
      </c>
      <c r="E225" s="28" t="n">
        <v>24000</v>
      </c>
      <c r="F225" s="28" t="n">
        <v>24000</v>
      </c>
      <c r="G225" s="29" t="n">
        <v>18</v>
      </c>
      <c r="H225" s="29" t="n">
        <v>4896</v>
      </c>
      <c r="I225" s="21" t="inlineStr">
        <is>
          <t>2021</t>
        </is>
      </c>
      <c r="J225" s="21" t="inlineStr">
        <is>
          <t xml:space="preserve"> 0</t>
        </is>
      </c>
      <c r="K225" s="30">
        <f>(E225-F225)/IF(E225&gt;0,E225,1)</f>
        <v/>
      </c>
    </row>
    <row r="226">
      <c r="A226" s="22" t="inlineStr">
        <is>
          <t>이토록 쉬운 RAG 시스템 구축을 위한 랭체인 실전 가이드</t>
        </is>
      </c>
      <c r="B226" s="22" t="inlineStr">
        <is>
          <t>윤성재</t>
        </is>
      </c>
      <c r="C226" s="22" t="inlineStr">
        <is>
          <t>루비페이퍼</t>
        </is>
      </c>
      <c r="D226" s="22" t="inlineStr">
        <is>
          <t>2024년 10월</t>
        </is>
      </c>
      <c r="E226" s="28" t="n">
        <v>26000</v>
      </c>
      <c r="F226" s="28" t="n">
        <v>23400</v>
      </c>
      <c r="G226" s="29" t="n">
        <v>22</v>
      </c>
      <c r="H226" s="29" t="n">
        <v>1548</v>
      </c>
      <c r="I226" s="21" t="inlineStr">
        <is>
          <t>2024</t>
        </is>
      </c>
      <c r="J226" s="21" t="inlineStr">
        <is>
          <t xml:space="preserve"> 1</t>
        </is>
      </c>
      <c r="K226" s="30">
        <f>(E226-F226)/IF(E226&gt;0,E226,1)</f>
        <v/>
      </c>
    </row>
    <row r="227">
      <c r="A227" s="22" t="inlineStr">
        <is>
          <t>AI가 바꾸는 학교 수업 챗GPT 교육 활용</t>
        </is>
      </c>
      <c r="B227" s="22" t="inlineStr">
        <is>
          <t>오창근, 장윤제</t>
        </is>
      </c>
      <c r="C227" s="22" t="inlineStr">
        <is>
          <t>성안당</t>
        </is>
      </c>
      <c r="D227" s="22" t="inlineStr">
        <is>
          <t>2023년 10월</t>
        </is>
      </c>
      <c r="E227" s="28" t="n">
        <v>23000</v>
      </c>
      <c r="F227" s="28" t="n">
        <v>20700</v>
      </c>
      <c r="G227" s="29" t="n">
        <v>56</v>
      </c>
      <c r="H227" s="29" t="n">
        <v>1320</v>
      </c>
      <c r="I227" s="21" t="inlineStr">
        <is>
          <t>2023</t>
        </is>
      </c>
      <c r="J227" s="21" t="inlineStr">
        <is>
          <t xml:space="preserve"> 1</t>
        </is>
      </c>
      <c r="K227" s="30">
        <f>(E227-F227)/IF(E227&gt;0,E227,1)</f>
        <v/>
      </c>
    </row>
    <row r="228">
      <c r="A228" s="22" t="inlineStr">
        <is>
          <t>두근두근 C언어 with 챗GPT</t>
        </is>
      </c>
      <c r="B228" s="22" t="inlineStr">
        <is>
          <t>천인국</t>
        </is>
      </c>
      <c r="C228" s="22" t="inlineStr">
        <is>
          <t>생능출판사</t>
        </is>
      </c>
      <c r="D228" s="22" t="inlineStr">
        <is>
          <t>2024년 07월</t>
        </is>
      </c>
      <c r="E228" s="28" t="n">
        <v>32000</v>
      </c>
      <c r="F228" s="28" t="n">
        <v>32000</v>
      </c>
      <c r="G228" s="29" t="n">
        <v>0</v>
      </c>
      <c r="H228" s="29" t="n">
        <v>1170</v>
      </c>
      <c r="I228" s="21" t="inlineStr">
        <is>
          <t>2024</t>
        </is>
      </c>
      <c r="J228" s="21" t="inlineStr">
        <is>
          <t xml:space="preserve"> 0</t>
        </is>
      </c>
      <c r="K228" s="30">
        <f>(E228-F228)/IF(E228&gt;0,E228,1)</f>
        <v/>
      </c>
    </row>
    <row r="229">
      <c r="A229" s="22" t="inlineStr">
        <is>
          <t>챗GPT와 함께하는 주식 데이터 분석</t>
        </is>
      </c>
      <c r="B229" s="22" t="inlineStr">
        <is>
          <t>이진규, 김동준</t>
        </is>
      </c>
      <c r="C229" s="22" t="inlineStr">
        <is>
          <t>영진닷컴</t>
        </is>
      </c>
      <c r="D229" s="22" t="inlineStr">
        <is>
          <t>2025년 08월</t>
        </is>
      </c>
      <c r="E229" s="28" t="n">
        <v>22000</v>
      </c>
      <c r="F229" s="28" t="n">
        <v>19800</v>
      </c>
      <c r="G229" s="29" t="n">
        <v>22</v>
      </c>
      <c r="H229" s="29" t="n">
        <v>2262</v>
      </c>
      <c r="I229" s="21" t="inlineStr">
        <is>
          <t>2025</t>
        </is>
      </c>
      <c r="J229" s="21" t="inlineStr">
        <is>
          <t xml:space="preserve"> 0</t>
        </is>
      </c>
      <c r="K229" s="30">
        <f>(E229-F229)/IF(E229&gt;0,E229,1)</f>
        <v/>
      </c>
    </row>
    <row r="230">
      <c r="A230" s="22" t="inlineStr">
        <is>
          <t>AI 에디터 커서 Cursor 완벽 가이드</t>
        </is>
      </c>
      <c r="B230" s="22" t="inlineStr">
        <is>
          <t>키노시타 유이치로, 김모세</t>
        </is>
      </c>
      <c r="C230" s="22" t="inlineStr">
        <is>
          <t>영진닷컴</t>
        </is>
      </c>
      <c r="D230" s="22" t="inlineStr">
        <is>
          <t>2025년 07월</t>
        </is>
      </c>
      <c r="E230" s="28" t="n">
        <v>22000</v>
      </c>
      <c r="F230" s="28" t="n">
        <v>19800</v>
      </c>
      <c r="G230" s="29" t="n">
        <v>8</v>
      </c>
      <c r="H230" s="29" t="n">
        <v>3366</v>
      </c>
      <c r="I230" s="21" t="inlineStr">
        <is>
          <t>2025</t>
        </is>
      </c>
      <c r="J230" s="21" t="inlineStr">
        <is>
          <t xml:space="preserve"> 0</t>
        </is>
      </c>
      <c r="K230" s="30">
        <f>(E230-F230)/IF(E230&gt;0,E230,1)</f>
        <v/>
      </c>
    </row>
    <row r="231">
      <c r="A231" s="22" t="inlineStr">
        <is>
          <t>일반통계학</t>
        </is>
      </c>
      <c r="B231" s="22" t="inlineStr">
        <is>
          <t>서울대학교 자연과학대학 통계학과</t>
        </is>
      </c>
      <c r="C231" s="22" t="inlineStr">
        <is>
          <t>한빛아카데미</t>
        </is>
      </c>
      <c r="D231" s="22" t="inlineStr">
        <is>
          <t>2025년 03월</t>
        </is>
      </c>
      <c r="E231" s="28" t="n">
        <v>35000</v>
      </c>
      <c r="F231" s="28" t="n">
        <v>35000</v>
      </c>
      <c r="G231" s="29" t="n">
        <v>0</v>
      </c>
      <c r="H231" s="29" t="n">
        <v>2082</v>
      </c>
      <c r="I231" s="21" t="inlineStr">
        <is>
          <t>2025</t>
        </is>
      </c>
      <c r="J231" s="21" t="inlineStr">
        <is>
          <t xml:space="preserve"> 0</t>
        </is>
      </c>
      <c r="K231" s="30">
        <f>(E231-F231)/IF(E231&gt;0,E231,1)</f>
        <v/>
      </c>
    </row>
    <row r="232">
      <c r="A232" s="22" t="inlineStr">
        <is>
          <t>누구나 쉽게 배우는 인공지능 스타트 with 챗GPT</t>
        </is>
      </c>
      <c r="B232" s="22" t="inlineStr">
        <is>
          <t>박동규</t>
        </is>
      </c>
      <c r="C232" s="22" t="inlineStr">
        <is>
          <t>인피니티북스</t>
        </is>
      </c>
      <c r="D232" s="22" t="inlineStr">
        <is>
          <t>2025년 01월</t>
        </is>
      </c>
      <c r="E232" s="28" t="n">
        <v>29000</v>
      </c>
      <c r="F232" s="28" t="n">
        <v>29000</v>
      </c>
      <c r="G232" s="29" t="n">
        <v>1</v>
      </c>
      <c r="H232" s="29" t="n">
        <v>3174</v>
      </c>
      <c r="I232" s="21" t="inlineStr">
        <is>
          <t>2025</t>
        </is>
      </c>
      <c r="J232" s="21" t="inlineStr">
        <is>
          <t xml:space="preserve"> 0</t>
        </is>
      </c>
      <c r="K232" s="30">
        <f>(E232-F232)/IF(E232&gt;0,E232,1)</f>
        <v/>
      </c>
    </row>
    <row r="233">
      <c r="A233" s="22" t="inlineStr">
        <is>
          <t>AI 리터러시</t>
        </is>
      </c>
      <c r="B233" s="22" t="inlineStr">
        <is>
          <t>이선종, 이창우, 강승희</t>
        </is>
      </c>
      <c r="C233" s="22" t="inlineStr">
        <is>
          <t>영진닷컴</t>
        </is>
      </c>
      <c r="D233" s="22" t="inlineStr">
        <is>
          <t>2025년 12월</t>
        </is>
      </c>
      <c r="E233" s="28" t="n">
        <v>22000</v>
      </c>
      <c r="F233" s="28" t="n">
        <v>19800</v>
      </c>
      <c r="G233" s="29" t="n">
        <v>3</v>
      </c>
      <c r="H233" s="29" t="n">
        <v>1146</v>
      </c>
      <c r="I233" s="21" t="inlineStr">
        <is>
          <t>2025</t>
        </is>
      </c>
      <c r="J233" s="21" t="inlineStr">
        <is>
          <t xml:space="preserve"> 1</t>
        </is>
      </c>
      <c r="K233" s="30">
        <f>(E233-F233)/IF(E233&gt;0,E233,1)</f>
        <v/>
      </c>
    </row>
    <row r="234">
      <c r="A234" s="22" t="inlineStr">
        <is>
          <t>이토록 쉬운 10가지 프로젝트로 끝내는 트랜스포머 활용 가이드 with 파이토치</t>
        </is>
      </c>
      <c r="B234" s="22" t="inlineStr">
        <is>
          <t>프렘 팀시나, 임선집</t>
        </is>
      </c>
      <c r="C234" s="22" t="inlineStr">
        <is>
          <t>루비페이퍼</t>
        </is>
      </c>
      <c r="D234" s="22" t="inlineStr">
        <is>
          <t>2025년 02월</t>
        </is>
      </c>
      <c r="E234" s="28" t="n">
        <v>28000</v>
      </c>
      <c r="F234" s="28" t="n">
        <v>25200</v>
      </c>
      <c r="G234" s="29" t="n">
        <v>11</v>
      </c>
      <c r="H234" s="29" t="n">
        <v>792</v>
      </c>
      <c r="I234" s="21" t="inlineStr">
        <is>
          <t>2025</t>
        </is>
      </c>
      <c r="J234" s="21" t="inlineStr">
        <is>
          <t xml:space="preserve"> 0</t>
        </is>
      </c>
      <c r="K234" s="30">
        <f>(E234-F234)/IF(E234&gt;0,E234,1)</f>
        <v/>
      </c>
    </row>
    <row r="235">
      <c r="A235" s="22" t="inlineStr">
        <is>
          <t>AI 중심 대학</t>
        </is>
      </c>
      <c r="B235" s="22" t="inlineStr">
        <is>
          <t>장준호</t>
        </is>
      </c>
      <c r="C235" s="22" t="inlineStr">
        <is>
          <t>연암사</t>
        </is>
      </c>
      <c r="D235" s="22" t="inlineStr">
        <is>
          <t>2026년 03월</t>
        </is>
      </c>
      <c r="E235" s="28" t="n">
        <v>18900</v>
      </c>
      <c r="F235" s="28" t="n">
        <v>17010</v>
      </c>
      <c r="G235" s="29" t="n">
        <v>8</v>
      </c>
      <c r="H235" s="29" t="n">
        <v>918</v>
      </c>
      <c r="I235" s="21" t="inlineStr">
        <is>
          <t>2026</t>
        </is>
      </c>
      <c r="J235" s="21" t="inlineStr">
        <is>
          <t xml:space="preserve"> 0</t>
        </is>
      </c>
      <c r="K235" s="30">
        <f>(E235-F235)/IF(E235&gt;0,E235,1)</f>
        <v/>
      </c>
    </row>
    <row r="236">
      <c r="A236" s="22" t="inlineStr">
        <is>
          <t>AI를 활용한 경영전략 수립</t>
        </is>
      </c>
      <c r="B236" s="22" t="inlineStr">
        <is>
          <t>은종성</t>
        </is>
      </c>
      <c r="C236" s="22" t="inlineStr">
        <is>
          <t>책길</t>
        </is>
      </c>
      <c r="D236" s="22" t="inlineStr">
        <is>
          <t>2025년 02월</t>
        </is>
      </c>
      <c r="E236" s="28" t="n">
        <v>19800</v>
      </c>
      <c r="F236" s="28" t="n">
        <v>17820</v>
      </c>
      <c r="G236" s="29" t="n">
        <v>11</v>
      </c>
      <c r="H236" s="29" t="n">
        <v>774</v>
      </c>
      <c r="I236" s="21" t="inlineStr">
        <is>
          <t>2025</t>
        </is>
      </c>
      <c r="J236" s="21" t="inlineStr">
        <is>
          <t xml:space="preserve"> 0</t>
        </is>
      </c>
      <c r="K236" s="30">
        <f>(E236-F236)/IF(E236&gt;0,E236,1)</f>
        <v/>
      </c>
    </row>
    <row r="237">
      <c r="A237" s="22" t="inlineStr">
        <is>
          <t>디지털포렌식 인 케이스</t>
        </is>
      </c>
      <c r="B237" s="22" t="inlineStr">
        <is>
          <t>천성덕</t>
        </is>
      </c>
      <c r="C237" s="22" t="inlineStr">
        <is>
          <t>에스엠디자인</t>
        </is>
      </c>
      <c r="D237" s="22" t="inlineStr">
        <is>
          <t>2024년 12월</t>
        </is>
      </c>
      <c r="E237" s="28" t="n">
        <v>45000</v>
      </c>
      <c r="F237" s="28" t="n">
        <v>40500</v>
      </c>
      <c r="G237" s="29" t="n">
        <v>0</v>
      </c>
      <c r="H237" s="29" t="n">
        <v>675</v>
      </c>
      <c r="I237" s="21" t="inlineStr">
        <is>
          <t>2024</t>
        </is>
      </c>
      <c r="J237" s="21" t="inlineStr">
        <is>
          <t xml:space="preserve"> 1</t>
        </is>
      </c>
      <c r="K237" s="30">
        <f>(E237-F237)/IF(E237&gt;0,E237,1)</f>
        <v/>
      </c>
    </row>
    <row r="238">
      <c r="A238" s="22" t="inlineStr">
        <is>
          <t>강화 학습</t>
        </is>
      </c>
      <c r="B238" s="22" t="inlineStr">
        <is>
          <t>오일석</t>
        </is>
      </c>
      <c r="C238" s="22" t="inlineStr">
        <is>
          <t>한빛아카데미</t>
        </is>
      </c>
      <c r="D238" s="22" t="inlineStr">
        <is>
          <t>2025년 07월</t>
        </is>
      </c>
      <c r="E238" s="28" t="n">
        <v>38000</v>
      </c>
      <c r="F238" s="28" t="n">
        <v>38000</v>
      </c>
      <c r="G238" s="29" t="n">
        <v>0</v>
      </c>
      <c r="H238" s="29" t="n">
        <v>642</v>
      </c>
      <c r="I238" s="21" t="inlineStr">
        <is>
          <t>2025</t>
        </is>
      </c>
      <c r="J238" s="21" t="inlineStr">
        <is>
          <t xml:space="preserve"> 0</t>
        </is>
      </c>
      <c r="K238" s="30">
        <f>(E238-F238)/IF(E238&gt;0,E238,1)</f>
        <v/>
      </c>
    </row>
    <row r="239">
      <c r="A239" s="22" t="inlineStr">
        <is>
          <t>MLOps 구축 가이드북</t>
        </is>
      </c>
      <c r="B239" s="22" t="inlineStr">
        <is>
          <t>김남기</t>
        </is>
      </c>
      <c r="C239" s="22" t="inlineStr">
        <is>
          <t>루비페이퍼</t>
        </is>
      </c>
      <c r="D239" s="22" t="inlineStr">
        <is>
          <t>2024년 07월</t>
        </is>
      </c>
      <c r="E239" s="28" t="n">
        <v>36000</v>
      </c>
      <c r="F239" s="28" t="n">
        <v>32400</v>
      </c>
      <c r="G239" s="29" t="n">
        <v>3</v>
      </c>
      <c r="H239" s="29" t="n">
        <v>558</v>
      </c>
      <c r="I239" s="21" t="inlineStr">
        <is>
          <t>2024</t>
        </is>
      </c>
      <c r="J239" s="21" t="inlineStr">
        <is>
          <t xml:space="preserve"> 0</t>
        </is>
      </c>
      <c r="K239" s="30">
        <f>(E239-F239)/IF(E239&gt;0,E239,1)</f>
        <v/>
      </c>
    </row>
    <row r="240">
      <c r="A240" s="22" t="inlineStr">
        <is>
          <t>스마트폰이 사라진 교실</t>
        </is>
      </c>
      <c r="B240" s="22" t="inlineStr">
        <is>
          <t>구제원</t>
        </is>
      </c>
      <c r="C240" s="22" t="inlineStr">
        <is>
          <t>푸른칠판</t>
        </is>
      </c>
      <c r="D240" s="22" t="inlineStr">
        <is>
          <t>2026년 03월</t>
        </is>
      </c>
      <c r="E240" s="28" t="n">
        <v>18000</v>
      </c>
      <c r="F240" s="28" t="n">
        <v>16200</v>
      </c>
      <c r="G240" s="29" t="n">
        <v>15</v>
      </c>
      <c r="H240" s="29" t="n">
        <v>1230</v>
      </c>
      <c r="I240" s="21" t="inlineStr">
        <is>
          <t>2026</t>
        </is>
      </c>
      <c r="J240" s="21" t="inlineStr">
        <is>
          <t xml:space="preserve"> 0</t>
        </is>
      </c>
      <c r="K240" s="30">
        <f>(E240-F240)/IF(E240&gt;0,E240,1)</f>
        <v/>
      </c>
    </row>
    <row r="241">
      <c r="A241" s="22" t="inlineStr">
        <is>
          <t>챗GPT 공부 혁명</t>
        </is>
      </c>
      <c r="B241" s="22" t="inlineStr">
        <is>
          <t>전지영, 백수현, 이효진, 장수영, 손소영</t>
        </is>
      </c>
      <c r="C241" s="22" t="inlineStr">
        <is>
          <t>포르체</t>
        </is>
      </c>
      <c r="D241" s="22" t="inlineStr">
        <is>
          <t>2025년 08월</t>
        </is>
      </c>
      <c r="E241" s="28" t="n">
        <v>23000</v>
      </c>
      <c r="F241" s="28" t="n">
        <v>20700</v>
      </c>
      <c r="G241" s="29" t="n">
        <v>16</v>
      </c>
      <c r="H241" s="29" t="n">
        <v>1638</v>
      </c>
      <c r="I241" s="21" t="inlineStr">
        <is>
          <t>2025</t>
        </is>
      </c>
      <c r="J241" s="21" t="inlineStr">
        <is>
          <t xml:space="preserve"> 0</t>
        </is>
      </c>
      <c r="K241" s="30">
        <f>(E241-F241)/IF(E241&gt;0,E241,1)</f>
        <v/>
      </c>
    </row>
    <row r="242">
      <c r="A242" s="22" t="inlineStr">
        <is>
          <t>비전공자를 위한 생성형 AI·바이브코딩·DX/AX 기초 마스터 커리큘럼</t>
        </is>
      </c>
      <c r="B242" s="22" t="inlineStr">
        <is>
          <t>이승도</t>
        </is>
      </c>
      <c r="C242" s="22" t="inlineStr">
        <is>
          <t>책도사</t>
        </is>
      </c>
      <c r="D242" s="22" t="inlineStr">
        <is>
          <t>2026년 01월</t>
        </is>
      </c>
      <c r="E242" s="28" t="n">
        <v>23800</v>
      </c>
      <c r="F242" s="28" t="n">
        <v>21420</v>
      </c>
      <c r="G242" s="29" t="n">
        <v>1</v>
      </c>
      <c r="H242" s="29" t="n">
        <v>396</v>
      </c>
      <c r="I242" s="21" t="inlineStr">
        <is>
          <t>2026</t>
        </is>
      </c>
      <c r="J242" s="21" t="inlineStr">
        <is>
          <t xml:space="preserve"> 0</t>
        </is>
      </c>
      <c r="K242" s="30">
        <f>(E242-F242)/IF(E242&gt;0,E242,1)</f>
        <v/>
      </c>
    </row>
    <row r="243">
      <c r="A243" s="22" t="inlineStr">
        <is>
          <t>AX 시대, 기업의 승부수는 사업·서비스·조직의 AI 전환에 있다</t>
        </is>
      </c>
      <c r="B243" s="22" t="inlineStr">
        <is>
          <t>카지타니 켄토, 안동현</t>
        </is>
      </c>
      <c r="C243" s="22" t="inlineStr">
        <is>
          <t>프리렉</t>
        </is>
      </c>
      <c r="D243" s="22" t="inlineStr">
        <is>
          <t>2024년 08월</t>
        </is>
      </c>
      <c r="E243" s="28" t="n">
        <v>20000</v>
      </c>
      <c r="F243" s="28" t="n">
        <v>18000</v>
      </c>
      <c r="G243" s="29" t="n">
        <v>6</v>
      </c>
      <c r="H243" s="29" t="n">
        <v>417</v>
      </c>
      <c r="I243" s="21" t="inlineStr">
        <is>
          <t>2024</t>
        </is>
      </c>
      <c r="J243" s="21" t="inlineStr">
        <is>
          <t xml:space="preserve"> 0</t>
        </is>
      </c>
      <c r="K243" s="30">
        <f>(E243-F243)/IF(E243&gt;0,E243,1)</f>
        <v/>
      </c>
    </row>
    <row r="244">
      <c r="A244" s="22" t="inlineStr">
        <is>
          <t>AI 휴먼 코드</t>
        </is>
      </c>
      <c r="B244" s="22" t="inlineStr">
        <is>
          <t>디지털포용 언론인 포럼</t>
        </is>
      </c>
      <c r="C244" s="22" t="inlineStr">
        <is>
          <t>서교출판사</t>
        </is>
      </c>
      <c r="D244" s="22" t="inlineStr">
        <is>
          <t>2026년 03월</t>
        </is>
      </c>
      <c r="E244" s="28" t="n">
        <v>23500</v>
      </c>
      <c r="F244" s="28" t="n">
        <v>21150</v>
      </c>
      <c r="G244" s="29" t="n">
        <v>1</v>
      </c>
      <c r="H244" s="29" t="n">
        <v>636</v>
      </c>
      <c r="I244" s="21" t="inlineStr">
        <is>
          <t>2026</t>
        </is>
      </c>
      <c r="J244" s="21" t="inlineStr">
        <is>
          <t xml:space="preserve"> 0</t>
        </is>
      </c>
      <c r="K244" s="30">
        <f>(E244-F244)/IF(E244&gt;0,E244,1)</f>
        <v/>
      </c>
    </row>
    <row r="245">
      <c r="A245" s="22" t="inlineStr">
        <is>
          <t>프롬프트를 만드는 프롬프트 GPTs &amp; Gems</t>
        </is>
      </c>
      <c r="B245" s="22" t="inlineStr">
        <is>
          <t>민진홍, 국난아, 김진수</t>
        </is>
      </c>
      <c r="C245" s="22" t="inlineStr">
        <is>
          <t>성안당</t>
        </is>
      </c>
      <c r="D245" s="22" t="inlineStr">
        <is>
          <t>2025년 12월</t>
        </is>
      </c>
      <c r="E245" s="28" t="n">
        <v>27000</v>
      </c>
      <c r="F245" s="28" t="n">
        <v>24300</v>
      </c>
      <c r="G245" s="29" t="n">
        <v>46</v>
      </c>
      <c r="H245" s="29" t="n">
        <v>1680</v>
      </c>
      <c r="I245" s="21" t="inlineStr">
        <is>
          <t>2025</t>
        </is>
      </c>
      <c r="J245" s="21" t="inlineStr">
        <is>
          <t xml:space="preserve"> 1</t>
        </is>
      </c>
      <c r="K245" s="30">
        <f>(E245-F245)/IF(E245&gt;0,E245,1)</f>
        <v/>
      </c>
    </row>
    <row r="246">
      <c r="A246" s="22" t="inlineStr">
        <is>
          <t>퀀트의 세계</t>
        </is>
      </c>
      <c r="B246" s="22" t="inlineStr">
        <is>
          <t>홍창수</t>
        </is>
      </c>
      <c r="C246" s="22" t="inlineStr">
        <is>
          <t>에이콘출판사</t>
        </is>
      </c>
      <c r="D246" s="22" t="inlineStr">
        <is>
          <t>2022년 09월</t>
        </is>
      </c>
      <c r="E246" s="28" t="n">
        <v>28000</v>
      </c>
      <c r="F246" s="28" t="n">
        <v>25200</v>
      </c>
      <c r="G246" s="29" t="n">
        <v>4</v>
      </c>
      <c r="H246" s="29" t="n">
        <v>294</v>
      </c>
      <c r="I246" s="21" t="inlineStr">
        <is>
          <t>2022</t>
        </is>
      </c>
      <c r="J246" s="21" t="inlineStr">
        <is>
          <t xml:space="preserve"> 0</t>
        </is>
      </c>
      <c r="K246" s="30">
        <f>(E246-F246)/IF(E246&gt;0,E246,1)</f>
        <v/>
      </c>
    </row>
    <row r="247">
      <c r="A247" s="22" t="inlineStr">
        <is>
          <t>인공지능은 게임을 어떻게 움직이는가?</t>
        </is>
      </c>
      <c r="B247" s="22" t="inlineStr">
        <is>
          <t>미야케 요이치로, 안동현</t>
        </is>
      </c>
      <c r="C247" s="22" t="inlineStr">
        <is>
          <t>이지스퍼블리싱</t>
        </is>
      </c>
      <c r="D247" s="22" t="inlineStr">
        <is>
          <t>2022년 06월</t>
        </is>
      </c>
      <c r="E247" s="28" t="n">
        <v>18000</v>
      </c>
      <c r="F247" s="28" t="n">
        <v>16200</v>
      </c>
      <c r="G247" s="29" t="n">
        <v>8</v>
      </c>
      <c r="H247" s="29" t="n">
        <v>288</v>
      </c>
      <c r="I247" s="21" t="inlineStr">
        <is>
          <t>2022</t>
        </is>
      </c>
      <c r="J247" s="21" t="inlineStr">
        <is>
          <t xml:space="preserve"> 0</t>
        </is>
      </c>
      <c r="K247" s="30">
        <f>(E247-F247)/IF(E247&gt;0,E247,1)</f>
        <v/>
      </c>
    </row>
    <row r="248">
      <c r="A248" s="22" t="inlineStr">
        <is>
          <t>인지와 인공지능</t>
        </is>
      </c>
      <c r="B248" s="22" t="inlineStr">
        <is>
          <t>캐서린 헤일스, 윤미선, 김은주, 오릿 핼펀, 문규민, 정보 더 보기/감추기, 캐서린 헤일스, 윤미선, 김은주, 오릿 핼펀, 문규민, 홍남희, 정희원, 이혜정, 송은주, 김지훈</t>
        </is>
      </c>
      <c r="C248" s="22" t="inlineStr">
        <is>
          <t>갈무리</t>
        </is>
      </c>
      <c r="D248" s="22" t="inlineStr">
        <is>
          <t>2025년 07월</t>
        </is>
      </c>
      <c r="E248" s="28" t="n">
        <v>19000</v>
      </c>
      <c r="F248" s="28" t="n">
        <v>17100</v>
      </c>
      <c r="G248" s="29" t="n">
        <v>0</v>
      </c>
      <c r="H248" s="29" t="n">
        <v>324</v>
      </c>
      <c r="I248" s="21" t="inlineStr">
        <is>
          <t>2025</t>
        </is>
      </c>
      <c r="J248" s="21" t="inlineStr">
        <is>
          <t xml:space="preserve"> 0</t>
        </is>
      </c>
      <c r="K248" s="30">
        <f>(E248-F248)/IF(E248&gt;0,E248,1)</f>
        <v/>
      </c>
    </row>
    <row r="249">
      <c r="A249" s="22" t="inlineStr">
        <is>
          <t>앱 인벤터 한 권으로 끝내기</t>
        </is>
      </c>
      <c r="B249" s="22" t="inlineStr">
        <is>
          <t>김홍순, 박지숙</t>
        </is>
      </c>
      <c r="C249" s="22" t="inlineStr">
        <is>
          <t>잇플ITPLE</t>
        </is>
      </c>
      <c r="D249" s="22" t="inlineStr">
        <is>
          <t>2023년 04월</t>
        </is>
      </c>
      <c r="E249" s="28" t="n">
        <v>28500</v>
      </c>
      <c r="F249" s="28" t="n">
        <v>25650</v>
      </c>
      <c r="G249" s="29" t="n">
        <v>18</v>
      </c>
      <c r="H249" s="29" t="n">
        <v>318</v>
      </c>
      <c r="I249" s="21" t="inlineStr">
        <is>
          <t>2023</t>
        </is>
      </c>
      <c r="J249" s="21" t="inlineStr">
        <is>
          <t xml:space="preserve"> 0</t>
        </is>
      </c>
      <c r="K249" s="30">
        <f>(E249-F249)/IF(E249&gt;0,E249,1)</f>
        <v/>
      </c>
    </row>
    <row r="250">
      <c r="A250" s="22" t="inlineStr">
        <is>
          <t>야사와 만화로 배우는 인공지능 1</t>
        </is>
      </c>
      <c r="B250" s="22" t="inlineStr">
        <is>
          <t>권건우, 허령</t>
        </is>
      </c>
      <c r="C250" s="22" t="inlineStr">
        <is>
          <t>루나파인북스</t>
        </is>
      </c>
      <c r="D250" s="22" t="inlineStr">
        <is>
          <t>2020년 08월</t>
        </is>
      </c>
      <c r="E250" s="28" t="n">
        <v>16000</v>
      </c>
      <c r="F250" s="28" t="n">
        <v>14400</v>
      </c>
      <c r="G250" s="29" t="n">
        <v>8</v>
      </c>
      <c r="H250" s="29" t="n">
        <v>312</v>
      </c>
      <c r="I250" s="21" t="inlineStr">
        <is>
          <t>2020</t>
        </is>
      </c>
      <c r="J250" s="21" t="inlineStr">
        <is>
          <t xml:space="preserve"> 0</t>
        </is>
      </c>
      <c r="K250" s="30">
        <f>(E250-F250)/IF(E250&gt;0,E250,1)</f>
        <v/>
      </c>
    </row>
    <row r="251">
      <c r="A251" s="22" t="inlineStr">
        <is>
          <t>MK에디션 CES 2026</t>
        </is>
      </c>
      <c r="B251" s="22" t="inlineStr">
        <is>
          <t>매일경제 CES 특별취재팀</t>
        </is>
      </c>
      <c r="C251" s="22" t="inlineStr">
        <is>
          <t>매일경제신문사</t>
        </is>
      </c>
      <c r="D251" s="22" t="inlineStr">
        <is>
          <t>2026년 01월</t>
        </is>
      </c>
      <c r="E251" s="28" t="n">
        <v>20000</v>
      </c>
      <c r="F251" s="28" t="n">
        <v>18000</v>
      </c>
      <c r="G251" s="29" t="n">
        <v>0</v>
      </c>
      <c r="H251" s="29" t="n">
        <v>2904</v>
      </c>
      <c r="I251" s="21" t="inlineStr">
        <is>
          <t>2026</t>
        </is>
      </c>
      <c r="J251" s="21" t="inlineStr">
        <is>
          <t xml:space="preserve"> 0</t>
        </is>
      </c>
      <c r="K251" s="30">
        <f>(E251-F251)/IF(E251&gt;0,E251,1)</f>
        <v/>
      </c>
    </row>
    <row r="252">
      <c r="A252" s="22" t="inlineStr">
        <is>
          <t>AI 영상제작</t>
        </is>
      </c>
      <c r="B252" s="22" t="inlineStr">
        <is>
          <t>유채린, 홍건표, 이승주, 이동현, 정동완</t>
        </is>
      </c>
      <c r="C252" s="22" t="inlineStr">
        <is>
          <t>진한엠앤비</t>
        </is>
      </c>
      <c r="D252" s="22" t="inlineStr">
        <is>
          <t>2025년 11월</t>
        </is>
      </c>
      <c r="E252" s="28" t="n">
        <v>32000</v>
      </c>
      <c r="F252" s="28" t="n">
        <v>30400</v>
      </c>
      <c r="G252" s="29" t="n">
        <v>1</v>
      </c>
      <c r="H252" s="29" t="n">
        <v>264</v>
      </c>
      <c r="I252" s="21" t="inlineStr">
        <is>
          <t>2025</t>
        </is>
      </c>
      <c r="J252" s="21" t="inlineStr">
        <is>
          <t xml:space="preserve"> 1</t>
        </is>
      </c>
      <c r="K252" s="30">
        <f>(E252-F252)/IF(E252&gt;0,E252,1)</f>
        <v/>
      </c>
    </row>
    <row r="253">
      <c r="A253" s="22" t="inlineStr">
        <is>
          <t>AI·머신 비전 시스템 구축 기술</t>
        </is>
      </c>
      <c r="B253" s="22" t="inlineStr">
        <is>
          <t>선권석</t>
        </is>
      </c>
      <c r="C253" s="22" t="inlineStr">
        <is>
          <t>동일출판사</t>
        </is>
      </c>
      <c r="D253" s="22" t="inlineStr">
        <is>
          <t>2024년 07월</t>
        </is>
      </c>
      <c r="E253" s="28" t="n">
        <v>34000</v>
      </c>
      <c r="F253" s="28" t="n">
        <v>34000</v>
      </c>
      <c r="G253" s="29" t="n">
        <v>0</v>
      </c>
      <c r="H253" s="29" t="n">
        <v>204</v>
      </c>
      <c r="I253" s="21" t="inlineStr">
        <is>
          <t>2024</t>
        </is>
      </c>
      <c r="J253" s="21" t="inlineStr">
        <is>
          <t xml:space="preserve"> 0</t>
        </is>
      </c>
      <c r="K253" s="30">
        <f>(E253-F253)/IF(E253&gt;0,E253,1)</f>
        <v/>
      </c>
    </row>
    <row r="254">
      <c r="A254" s="22" t="inlineStr">
        <is>
          <t>AI 명리학 사용법</t>
        </is>
      </c>
      <c r="B254" s="22" t="inlineStr">
        <is>
          <t>남다른, 김성주</t>
        </is>
      </c>
      <c r="C254" s="22" t="inlineStr">
        <is>
          <t>박영사</t>
        </is>
      </c>
      <c r="D254" s="22" t="inlineStr">
        <is>
          <t>2026년 05월</t>
        </is>
      </c>
      <c r="E254" s="28" t="n">
        <v>38000</v>
      </c>
      <c r="F254" s="28" t="n">
        <v>38000</v>
      </c>
      <c r="G254" s="29" t="n">
        <v>0</v>
      </c>
      <c r="H254" s="29" t="n">
        <v>270</v>
      </c>
      <c r="I254" s="21" t="inlineStr">
        <is>
          <t>2026</t>
        </is>
      </c>
      <c r="J254" s="21" t="inlineStr">
        <is>
          <t xml:space="preserve"> 0</t>
        </is>
      </c>
      <c r="K254" s="30">
        <f>(E254-F254)/IF(E254&gt;0,E254,1)</f>
        <v/>
      </c>
    </row>
    <row r="255">
      <c r="A255" s="22" t="inlineStr">
        <is>
          <t>처음 만나는 바이브 코딩 X MCP</t>
        </is>
      </c>
      <c r="B255" s="22" t="inlineStr">
        <is>
          <t>김동한</t>
        </is>
      </c>
      <c r="C255" s="22" t="inlineStr">
        <is>
          <t>(주)박영사</t>
        </is>
      </c>
      <c r="D255" s="22" t="inlineStr">
        <is>
          <t>2026년 03월</t>
        </is>
      </c>
      <c r="E255" s="28" t="n">
        <v>17000</v>
      </c>
      <c r="F255" s="28" t="n">
        <v>15300</v>
      </c>
      <c r="G255" s="29" t="n">
        <v>14</v>
      </c>
      <c r="H255" s="29" t="n">
        <v>300</v>
      </c>
      <c r="I255" s="21" t="inlineStr">
        <is>
          <t>2026</t>
        </is>
      </c>
      <c r="J255" s="21" t="inlineStr">
        <is>
          <t xml:space="preserve"> 0</t>
        </is>
      </c>
      <c r="K255" s="30">
        <f>(E255-F255)/IF(E255&gt;0,E255,1)</f>
        <v/>
      </c>
    </row>
    <row r="256">
      <c r="A256" s="22" t="inlineStr">
        <is>
          <t>챗GPT 입력 스킬 100</t>
        </is>
      </c>
      <c r="B256" s="22" t="inlineStr">
        <is>
          <t>윤창환</t>
        </is>
      </c>
      <c r="C256" s="22" t="inlineStr">
        <is>
          <t>지식과감성#</t>
        </is>
      </c>
      <c r="D256" s="22" t="inlineStr">
        <is>
          <t>2025년 04월</t>
        </is>
      </c>
      <c r="E256" s="28" t="n">
        <v>20000</v>
      </c>
      <c r="F256" s="28" t="n">
        <v>18000</v>
      </c>
      <c r="G256" s="29" t="n">
        <v>9</v>
      </c>
      <c r="H256" s="29" t="n">
        <v>408</v>
      </c>
      <c r="I256" s="21" t="inlineStr">
        <is>
          <t>2025</t>
        </is>
      </c>
      <c r="J256" s="21" t="inlineStr">
        <is>
          <t xml:space="preserve"> 0</t>
        </is>
      </c>
      <c r="K256" s="30">
        <f>(E256-F256)/IF(E256&gt;0,E256,1)</f>
        <v/>
      </c>
    </row>
    <row r="257">
      <c r="A257" s="22" t="inlineStr">
        <is>
          <t>허깅페이스로 배우는 멀티모달 모델</t>
        </is>
      </c>
      <c r="B257" s="22" t="inlineStr">
        <is>
          <t>이정인, 정우준</t>
        </is>
      </c>
      <c r="C257" s="22" t="inlineStr">
        <is>
          <t>디지털북스</t>
        </is>
      </c>
      <c r="D257" s="22" t="inlineStr">
        <is>
          <t>2026년 03월</t>
        </is>
      </c>
      <c r="E257" s="28" t="n">
        <v>22000</v>
      </c>
      <c r="F257" s="28" t="n">
        <v>19800</v>
      </c>
      <c r="G257" s="29" t="n">
        <v>2</v>
      </c>
      <c r="H257" s="29" t="n">
        <v>264</v>
      </c>
      <c r="I257" s="21" t="inlineStr">
        <is>
          <t>2026</t>
        </is>
      </c>
      <c r="J257" s="21" t="inlineStr">
        <is>
          <t xml:space="preserve"> 0</t>
        </is>
      </c>
      <c r="K257" s="30">
        <f>(E257-F257)/IF(E257&gt;0,E257,1)</f>
        <v/>
      </c>
    </row>
    <row r="258">
      <c r="A258" s="22" t="inlineStr">
        <is>
          <t>파이썬 + AI</t>
        </is>
      </c>
      <c r="B258" s="22" t="inlineStr">
        <is>
          <t>안용제, 김남규</t>
        </is>
      </c>
      <c r="C258" s="22" t="inlineStr">
        <is>
          <t>디지털북스</t>
        </is>
      </c>
      <c r="D258" s="22" t="inlineStr">
        <is>
          <t>2024년 07월</t>
        </is>
      </c>
      <c r="E258" s="28" t="n">
        <v>28000</v>
      </c>
      <c r="F258" s="28" t="n">
        <v>25200</v>
      </c>
      <c r="G258" s="29" t="n">
        <v>2</v>
      </c>
      <c r="H258" s="29" t="n">
        <v>198</v>
      </c>
      <c r="I258" s="21" t="inlineStr">
        <is>
          <t>2024</t>
        </is>
      </c>
      <c r="J258" s="21" t="inlineStr">
        <is>
          <t xml:space="preserve"> 0</t>
        </is>
      </c>
      <c r="K258" s="30">
        <f>(E258-F258)/IF(E258&gt;0,E258,1)</f>
        <v/>
      </c>
    </row>
    <row r="259">
      <c r="A259" s="22" t="inlineStr">
        <is>
          <t>공간데이터사이언스</t>
        </is>
      </c>
      <c r="B259" s="22" t="inlineStr">
        <is>
          <t>에드저 페베스마, 로저 비반드, 이상일</t>
        </is>
      </c>
      <c r="C259" s="22" t="inlineStr">
        <is>
          <t>푸른길</t>
        </is>
      </c>
      <c r="D259" s="22" t="inlineStr">
        <is>
          <t>2026년 02월</t>
        </is>
      </c>
      <c r="E259" s="28" t="n">
        <v>36000</v>
      </c>
      <c r="F259" s="28" t="n">
        <v>32400</v>
      </c>
      <c r="G259" s="29" t="n">
        <v>0</v>
      </c>
      <c r="H259" s="29" t="n">
        <v>132</v>
      </c>
      <c r="I259" s="21" t="inlineStr">
        <is>
          <t>2026</t>
        </is>
      </c>
      <c r="J259" s="21" t="inlineStr">
        <is>
          <t xml:space="preserve"> 0</t>
        </is>
      </c>
      <c r="K259" s="30">
        <f>(E259-F259)/IF(E259&gt;0,E259,1)</f>
        <v/>
      </c>
    </row>
    <row r="260">
      <c r="A260" s="22" t="inlineStr">
        <is>
          <t>실전 ComfyUI</t>
        </is>
      </c>
      <c r="B260" s="22" t="inlineStr">
        <is>
          <t>우희철</t>
        </is>
      </c>
      <c r="C260" s="22" t="inlineStr">
        <is>
          <t>디지털북스</t>
        </is>
      </c>
      <c r="D260" s="22" t="inlineStr">
        <is>
          <t>2025년 04월</t>
        </is>
      </c>
      <c r="E260" s="28" t="n">
        <v>25000</v>
      </c>
      <c r="F260" s="28" t="n">
        <v>22500</v>
      </c>
      <c r="G260" s="29" t="n">
        <v>1</v>
      </c>
      <c r="H260" s="29" t="n">
        <v>1248</v>
      </c>
      <c r="I260" s="21" t="inlineStr">
        <is>
          <t>2025</t>
        </is>
      </c>
      <c r="J260" s="21" t="inlineStr">
        <is>
          <t xml:space="preserve"> 0</t>
        </is>
      </c>
      <c r="K260" s="30">
        <f>(E260-F260)/IF(E260&gt;0,E260,1)</f>
        <v/>
      </c>
    </row>
    <row r="261">
      <c r="A261" s="22" t="inlineStr">
        <is>
          <t>AI 시대에 꼭 알아야 할 핵심 용어</t>
        </is>
      </c>
      <c r="B261" s="22" t="inlineStr">
        <is>
          <t>한국지능정보사회진흥원</t>
        </is>
      </c>
      <c r="C261" s="22" t="inlineStr">
        <is>
          <t>진한엠앤비</t>
        </is>
      </c>
      <c r="D261" s="22" t="inlineStr">
        <is>
          <t>2026년 01월</t>
        </is>
      </c>
      <c r="E261" s="28" t="n">
        <v>17000</v>
      </c>
      <c r="F261" s="28" t="n">
        <v>16150</v>
      </c>
      <c r="G261" s="29" t="n">
        <v>2</v>
      </c>
      <c r="H261" s="29" t="n">
        <v>102</v>
      </c>
      <c r="I261" s="21" t="inlineStr">
        <is>
          <t>2026</t>
        </is>
      </c>
      <c r="J261" s="21" t="inlineStr">
        <is>
          <t xml:space="preserve"> 0</t>
        </is>
      </c>
      <c r="K261" s="30">
        <f>(E261-F261)/IF(E261&gt;0,E261,1)</f>
        <v/>
      </c>
    </row>
    <row r="262">
      <c r="A262" s="22" t="inlineStr">
        <is>
          <t>AI와 시스템 다이내믹스 시뮬레이션</t>
        </is>
      </c>
      <c r="B262" s="22" t="inlineStr">
        <is>
          <t>최남희, 정관용, 원동욱, 김민</t>
        </is>
      </c>
      <c r="C262" s="22" t="inlineStr">
        <is>
          <t>서울경제경영</t>
        </is>
      </c>
      <c r="D262" s="22" t="inlineStr">
        <is>
          <t>2026년 05월</t>
        </is>
      </c>
      <c r="E262" s="28" t="n">
        <v>27000</v>
      </c>
      <c r="F262" s="28" t="n">
        <v>27000</v>
      </c>
      <c r="G262" s="29" t="n">
        <v>0</v>
      </c>
      <c r="H262" s="29" t="n">
        <v>84</v>
      </c>
      <c r="I262" s="21" t="inlineStr">
        <is>
          <t>2026</t>
        </is>
      </c>
      <c r="J262" s="21" t="inlineStr">
        <is>
          <t xml:space="preserve"> 0</t>
        </is>
      </c>
      <c r="K262" s="30">
        <f>(E262-F262)/IF(E262&gt;0,E262,1)</f>
        <v/>
      </c>
    </row>
    <row r="263">
      <c r="A263" s="22" t="inlineStr">
        <is>
          <t>뼛속까지 문과생도 단번에 이해하는 쉬운 말로 풀어 쓴 AI 기초 수학 이야기</t>
        </is>
      </c>
      <c r="B263" s="22" t="inlineStr">
        <is>
          <t>이승도</t>
        </is>
      </c>
      <c r="C263" s="22" t="inlineStr">
        <is>
          <t>책도사</t>
        </is>
      </c>
      <c r="D263" s="22" t="inlineStr">
        <is>
          <t>2026년 05월</t>
        </is>
      </c>
      <c r="E263" s="28" t="n">
        <v>11900</v>
      </c>
      <c r="F263" s="28" t="n">
        <v>10710</v>
      </c>
      <c r="G263" s="29" t="n">
        <v>0</v>
      </c>
      <c r="H263" s="29" t="n">
        <v>84</v>
      </c>
      <c r="I263" s="21" t="inlineStr">
        <is>
          <t>2026</t>
        </is>
      </c>
      <c r="J263" s="21" t="inlineStr">
        <is>
          <t xml:space="preserve"> 0</t>
        </is>
      </c>
      <c r="K263" s="30">
        <f>(E263-F263)/IF(E263&gt;0,E263,1)</f>
        <v/>
      </c>
    </row>
    <row r="264">
      <c r="A264" s="22" t="inlineStr">
        <is>
          <t>파이썬으로 시작하는 데이터 분석</t>
        </is>
      </c>
      <c r="B264" s="22" t="inlineStr">
        <is>
          <t>강지영</t>
        </is>
      </c>
      <c r="C264" s="22" t="inlineStr">
        <is>
          <t>아이리포</t>
        </is>
      </c>
      <c r="D264" s="22" t="inlineStr">
        <is>
          <t>2025년 11월</t>
        </is>
      </c>
      <c r="E264" s="28" t="n">
        <v>27000</v>
      </c>
      <c r="F264" s="28" t="n">
        <v>24300</v>
      </c>
      <c r="G264" s="29" t="n">
        <v>4</v>
      </c>
      <c r="H264" s="29" t="n">
        <v>1188</v>
      </c>
      <c r="I264" s="21" t="inlineStr">
        <is>
          <t>2025</t>
        </is>
      </c>
      <c r="J264" s="21" t="inlineStr">
        <is>
          <t xml:space="preserve"> 1</t>
        </is>
      </c>
      <c r="K264" s="30">
        <f>(E264-F264)/IF(E264&gt;0,E264,1)</f>
        <v/>
      </c>
    </row>
    <row r="265">
      <c r="A265" s="22" t="inlineStr">
        <is>
          <t>테디노트의 랭체인을 활용한 RAG 비법노트 [심화편]</t>
        </is>
      </c>
      <c r="B265" s="22" t="inlineStr">
        <is>
          <t>이경록</t>
        </is>
      </c>
      <c r="C265" s="22" t="inlineStr">
        <is>
          <t>리코멘드</t>
        </is>
      </c>
      <c r="D265" s="22" t="inlineStr">
        <is>
          <t>2025년 06월</t>
        </is>
      </c>
      <c r="E265" s="28" t="n">
        <v>28000</v>
      </c>
      <c r="F265" s="28" t="n">
        <v>25200</v>
      </c>
      <c r="G265" s="29" t="n">
        <v>1</v>
      </c>
      <c r="H265" s="29" t="n">
        <v>3366</v>
      </c>
      <c r="I265" s="21" t="inlineStr">
        <is>
          <t>2025</t>
        </is>
      </c>
      <c r="J265" s="21" t="inlineStr">
        <is>
          <t xml:space="preserve"> 0</t>
        </is>
      </c>
      <c r="K265" s="30">
        <f>(E265-F265)/IF(E265&gt;0,E265,1)</f>
        <v/>
      </c>
    </row>
    <row r="266">
      <c r="A266" s="22" t="inlineStr">
        <is>
          <t>챗GPT 질문의 기술</t>
        </is>
      </c>
      <c r="B266" s="22" t="inlineStr">
        <is>
          <t>이선종</t>
        </is>
      </c>
      <c r="C266" s="22" t="inlineStr">
        <is>
          <t>영진닷컴</t>
        </is>
      </c>
      <c r="D266" s="22" t="inlineStr">
        <is>
          <t>2024년 11월</t>
        </is>
      </c>
      <c r="E266" s="28" t="n">
        <v>22000</v>
      </c>
      <c r="F266" s="28" t="n">
        <v>19800</v>
      </c>
      <c r="G266" s="29" t="n">
        <v>6</v>
      </c>
      <c r="H266" s="29" t="n">
        <v>1116</v>
      </c>
      <c r="I266" s="21" t="inlineStr">
        <is>
          <t>2024</t>
        </is>
      </c>
      <c r="J266" s="21" t="inlineStr">
        <is>
          <t xml:space="preserve"> 1</t>
        </is>
      </c>
      <c r="K266" s="30">
        <f>(E266-F266)/IF(E266&gt;0,E266,1)</f>
        <v/>
      </c>
    </row>
    <row r="267">
      <c r="A267" s="22" t="inlineStr">
        <is>
          <t>예제가 가득한 챗GPT 프롬프트 길라잡이</t>
        </is>
      </c>
      <c r="B267" s="22" t="inlineStr">
        <is>
          <t>이승우</t>
        </is>
      </c>
      <c r="C267" s="22" t="inlineStr">
        <is>
          <t>정보문화사</t>
        </is>
      </c>
      <c r="D267" s="22" t="inlineStr">
        <is>
          <t>2024년 05월</t>
        </is>
      </c>
      <c r="E267" s="28" t="n">
        <v>28000</v>
      </c>
      <c r="F267" s="28" t="n">
        <v>25200</v>
      </c>
      <c r="G267" s="29" t="n">
        <v>19</v>
      </c>
      <c r="H267" s="29" t="n">
        <v>942</v>
      </c>
      <c r="I267" s="21" t="inlineStr">
        <is>
          <t>2024</t>
        </is>
      </c>
      <c r="J267" s="21" t="inlineStr">
        <is>
          <t xml:space="preserve"> 0</t>
        </is>
      </c>
      <c r="K267" s="30">
        <f>(E267-F267)/IF(E267&gt;0,E267,1)</f>
        <v/>
      </c>
    </row>
    <row r="268">
      <c r="A268" s="22" t="inlineStr">
        <is>
          <t>머신러닝, 핵심만 빠르게!</t>
        </is>
      </c>
      <c r="B268" s="22" t="inlineStr">
        <is>
          <t>안드리 부르코프, 박해선</t>
        </is>
      </c>
      <c r="C268" s="22" t="inlineStr">
        <is>
          <t>인사이트(insight)</t>
        </is>
      </c>
      <c r="D268" s="22" t="inlineStr">
        <is>
          <t>2025년 10월</t>
        </is>
      </c>
      <c r="E268" s="28" t="n">
        <v>24000</v>
      </c>
      <c r="F268" s="28" t="n">
        <v>21600</v>
      </c>
      <c r="G268" s="29" t="n">
        <v>1</v>
      </c>
      <c r="H268" s="29" t="n">
        <v>876</v>
      </c>
      <c r="I268" s="21" t="inlineStr">
        <is>
          <t>2025</t>
        </is>
      </c>
      <c r="J268" s="21" t="inlineStr">
        <is>
          <t xml:space="preserve"> 1</t>
        </is>
      </c>
      <c r="K268" s="30">
        <f>(E268-F268)/IF(E268&gt;0,E268,1)</f>
        <v/>
      </c>
    </row>
    <row r="269">
      <c r="A269" s="22" t="inlineStr">
        <is>
          <t>생성형 AI 활용과 실습</t>
        </is>
      </c>
      <c r="B269" s="22" t="inlineStr">
        <is>
          <t>서지영</t>
        </is>
      </c>
      <c r="C269" s="22" t="inlineStr">
        <is>
          <t>한빛아카데미</t>
        </is>
      </c>
      <c r="D269" s="22" t="inlineStr">
        <is>
          <t>2025년 06월</t>
        </is>
      </c>
      <c r="E269" s="28" t="n">
        <v>25000</v>
      </c>
      <c r="F269" s="28" t="n">
        <v>25000</v>
      </c>
      <c r="G269" s="29" t="n">
        <v>0</v>
      </c>
      <c r="H269" s="29" t="n">
        <v>3396</v>
      </c>
      <c r="I269" s="21" t="inlineStr">
        <is>
          <t>2025</t>
        </is>
      </c>
      <c r="J269" s="21" t="inlineStr">
        <is>
          <t xml:space="preserve"> 0</t>
        </is>
      </c>
      <c r="K269" s="30">
        <f>(E269-F269)/IF(E269&gt;0,E269,1)</f>
        <v/>
      </c>
    </row>
    <row r="270">
      <c r="A270" s="22" t="inlineStr">
        <is>
          <t>김변호사의 스마트한 AI 활용법 2</t>
        </is>
      </c>
      <c r="B270" s="22" t="inlineStr">
        <is>
          <t>김변호사 팀</t>
        </is>
      </c>
      <c r="C270" s="22" t="inlineStr">
        <is>
          <t>박영사</t>
        </is>
      </c>
      <c r="D270" s="22" t="inlineStr">
        <is>
          <t>2026년 01월</t>
        </is>
      </c>
      <c r="E270" s="28" t="n">
        <v>24000</v>
      </c>
      <c r="F270" s="28" t="n">
        <v>24000</v>
      </c>
      <c r="G270" s="29" t="n">
        <v>2</v>
      </c>
      <c r="H270" s="29" t="n">
        <v>648</v>
      </c>
      <c r="I270" s="21" t="inlineStr">
        <is>
          <t>2026</t>
        </is>
      </c>
      <c r="J270" s="21" t="inlineStr">
        <is>
          <t xml:space="preserve"> 0</t>
        </is>
      </c>
      <c r="K270" s="30">
        <f>(E270-F270)/IF(E270&gt;0,E270,1)</f>
        <v/>
      </c>
    </row>
    <row r="271">
      <c r="A271" s="22" t="inlineStr">
        <is>
          <t>핵심 토픽 98개로 끝내는 정보관리기술사</t>
        </is>
      </c>
      <c r="B271" s="22" t="inlineStr">
        <is>
          <t>임호진</t>
        </is>
      </c>
      <c r="C271" s="22" t="inlineStr">
        <is>
          <t>성안당</t>
        </is>
      </c>
      <c r="D271" s="22" t="inlineStr">
        <is>
          <t>2023년 01월</t>
        </is>
      </c>
      <c r="E271" s="28" t="n">
        <v>55000</v>
      </c>
      <c r="F271" s="28" t="n">
        <v>49500</v>
      </c>
      <c r="G271" s="29" t="n">
        <v>4</v>
      </c>
      <c r="H271" s="29" t="n">
        <v>654</v>
      </c>
      <c r="I271" s="21" t="inlineStr">
        <is>
          <t>2023</t>
        </is>
      </c>
      <c r="J271" s="21" t="inlineStr">
        <is>
          <t xml:space="preserve"> 0</t>
        </is>
      </c>
      <c r="K271" s="30">
        <f>(E271-F271)/IF(E271&gt;0,E271,1)</f>
        <v/>
      </c>
    </row>
    <row r="272">
      <c r="A272" s="22" t="inlineStr">
        <is>
          <t>데이터베이스 인터널스</t>
        </is>
      </c>
      <c r="B272" s="22" t="inlineStr">
        <is>
          <t>알렉스 페트로프, 이우현, 이태휘</t>
        </is>
      </c>
      <c r="C272" s="22" t="inlineStr">
        <is>
          <t>에이콘출판사</t>
        </is>
      </c>
      <c r="D272" s="22" t="inlineStr">
        <is>
          <t>2021년 01월</t>
        </is>
      </c>
      <c r="E272" s="28" t="n">
        <v>35000</v>
      </c>
      <c r="F272" s="28" t="n">
        <v>31500</v>
      </c>
      <c r="G272" s="29" t="n">
        <v>2</v>
      </c>
      <c r="H272" s="29" t="n">
        <v>702</v>
      </c>
      <c r="I272" s="21" t="inlineStr">
        <is>
          <t>2021</t>
        </is>
      </c>
      <c r="J272" s="21" t="inlineStr">
        <is>
          <t xml:space="preserve"> 0</t>
        </is>
      </c>
      <c r="K272" s="30">
        <f>(E272-F272)/IF(E272&gt;0,E272,1)</f>
        <v/>
      </c>
    </row>
    <row r="273">
      <c r="A273" s="22" t="inlineStr">
        <is>
          <t>AI 3대 강국</t>
        </is>
      </c>
      <c r="B273" s="22" t="inlineStr">
        <is>
          <t>박영선</t>
        </is>
      </c>
      <c r="C273" s="22" t="inlineStr">
        <is>
          <t>나남출판사</t>
        </is>
      </c>
      <c r="D273" s="22" t="inlineStr">
        <is>
          <t>2025년 09월</t>
        </is>
      </c>
      <c r="E273" s="28" t="n">
        <v>18000</v>
      </c>
      <c r="F273" s="28" t="n">
        <v>16200</v>
      </c>
      <c r="G273" s="29" t="n">
        <v>0</v>
      </c>
      <c r="H273" s="29" t="n">
        <v>786</v>
      </c>
      <c r="I273" s="21" t="inlineStr">
        <is>
          <t>2025</t>
        </is>
      </c>
      <c r="J273" s="21" t="inlineStr">
        <is>
          <t xml:space="preserve"> 0</t>
        </is>
      </c>
      <c r="K273" s="30">
        <f>(E273-F273)/IF(E273&gt;0,E273,1)</f>
        <v/>
      </c>
    </row>
    <row r="274">
      <c r="A274" s="22" t="inlineStr">
        <is>
          <t>Do it! BERT와 GPT로 배우는 자연어 처리</t>
        </is>
      </c>
      <c r="B274" s="22" t="inlineStr">
        <is>
          <t>이기창</t>
        </is>
      </c>
      <c r="C274" s="22" t="inlineStr">
        <is>
          <t>이지스퍼블리싱</t>
        </is>
      </c>
      <c r="D274" s="22" t="inlineStr">
        <is>
          <t>2021년 12월</t>
        </is>
      </c>
      <c r="E274" s="28" t="n">
        <v>20000</v>
      </c>
      <c r="F274" s="28" t="n">
        <v>18000</v>
      </c>
      <c r="G274" s="29" t="n">
        <v>16</v>
      </c>
      <c r="H274" s="29" t="n">
        <v>906</v>
      </c>
      <c r="I274" s="21" t="inlineStr">
        <is>
          <t>2021</t>
        </is>
      </c>
      <c r="J274" s="21" t="inlineStr">
        <is>
          <t xml:space="preserve"> 1</t>
        </is>
      </c>
      <c r="K274" s="30">
        <f>(E274-F274)/IF(E274&gt;0,E274,1)</f>
        <v/>
      </c>
    </row>
    <row r="275">
      <c r="A275" s="22" t="inlineStr">
        <is>
          <t>챗GPT 업종별 사용설명서 증권·은행·보험</t>
        </is>
      </c>
      <c r="B275" s="22" t="inlineStr">
        <is>
          <t>송준용</t>
        </is>
      </c>
      <c r="C275" s="22" t="inlineStr">
        <is>
          <t>여의도책방</t>
        </is>
      </c>
      <c r="D275" s="22" t="inlineStr">
        <is>
          <t>2025년 08월</t>
        </is>
      </c>
      <c r="E275" s="28" t="n">
        <v>25000</v>
      </c>
      <c r="F275" s="28" t="n">
        <v>22500</v>
      </c>
      <c r="G275" s="29" t="n">
        <v>16</v>
      </c>
      <c r="H275" s="29" t="n">
        <v>648</v>
      </c>
      <c r="I275" s="21" t="inlineStr">
        <is>
          <t>2025</t>
        </is>
      </c>
      <c r="J275" s="21" t="inlineStr">
        <is>
          <t xml:space="preserve"> 0</t>
        </is>
      </c>
      <c r="K275" s="30">
        <f>(E275-F275)/IF(E275&gt;0,E275,1)</f>
        <v/>
      </c>
    </row>
    <row r="276">
      <c r="A276" s="22" t="inlineStr">
        <is>
          <t>DuckDB 인 액션</t>
        </is>
      </c>
      <c r="B276" s="22" t="inlineStr">
        <is>
          <t>마크 니드햄, 마이클 헝거, 마이클 시몬스, 김의윤</t>
        </is>
      </c>
      <c r="C276" s="22" t="inlineStr">
        <is>
          <t>인사이트(insight)</t>
        </is>
      </c>
      <c r="D276" s="22" t="inlineStr">
        <is>
          <t>2025년 05월</t>
        </is>
      </c>
      <c r="E276" s="28" t="n">
        <v>28000</v>
      </c>
      <c r="F276" s="28" t="n">
        <v>25200</v>
      </c>
      <c r="G276" s="29" t="n">
        <v>0</v>
      </c>
      <c r="H276" s="29" t="n">
        <v>516</v>
      </c>
      <c r="I276" s="21" t="inlineStr">
        <is>
          <t>2025</t>
        </is>
      </c>
      <c r="J276" s="21" t="inlineStr">
        <is>
          <t xml:space="preserve"> 0</t>
        </is>
      </c>
      <c r="K276" s="30">
        <f>(E276-F276)/IF(E276&gt;0,E276,1)</f>
        <v/>
      </c>
    </row>
    <row r="277">
      <c r="A277" s="22" t="inlineStr">
        <is>
          <t>생성형 AI 업무 활용 정석 - 테스팅 업무 적용편</t>
        </is>
      </c>
      <c r="B277" s="22" t="inlineStr">
        <is>
          <t>권원일</t>
        </is>
      </c>
      <c r="C277" s="22" t="inlineStr">
        <is>
          <t>STA(소프트웨어테스팅연구소)</t>
        </is>
      </c>
      <c r="D277" s="22" t="inlineStr">
        <is>
          <t>2025년 06월</t>
        </is>
      </c>
      <c r="E277" s="28" t="n">
        <v>30000</v>
      </c>
      <c r="F277" s="28" t="n">
        <v>27000</v>
      </c>
      <c r="G277" s="29" t="n">
        <v>0</v>
      </c>
      <c r="H277" s="29" t="n">
        <v>648</v>
      </c>
      <c r="I277" s="21" t="inlineStr">
        <is>
          <t>2025</t>
        </is>
      </c>
      <c r="J277" s="21" t="inlineStr">
        <is>
          <t xml:space="preserve"> 0</t>
        </is>
      </c>
      <c r="K277" s="30">
        <f>(E277-F277)/IF(E277&gt;0,E277,1)</f>
        <v/>
      </c>
    </row>
    <row r="278">
      <c r="A278" s="22" t="inlineStr">
        <is>
          <t>구독형 AI의 한계를 넘어선 로컬 LLM 구축 바이블</t>
        </is>
      </c>
      <c r="B278" s="22" t="inlineStr">
        <is>
          <t>김정수</t>
        </is>
      </c>
      <c r="C278" s="22" t="inlineStr">
        <is>
          <t>은빛나무</t>
        </is>
      </c>
      <c r="D278" s="22" t="inlineStr">
        <is>
          <t>2026년 01월</t>
        </is>
      </c>
      <c r="E278" s="28" t="n">
        <v>36000</v>
      </c>
      <c r="F278" s="28" t="n">
        <v>32400</v>
      </c>
      <c r="G278" s="29" t="n">
        <v>1</v>
      </c>
      <c r="H278" s="29" t="n">
        <v>486</v>
      </c>
      <c r="I278" s="21" t="inlineStr">
        <is>
          <t>2026</t>
        </is>
      </c>
      <c r="J278" s="21" t="inlineStr">
        <is>
          <t xml:space="preserve"> 0</t>
        </is>
      </c>
      <c r="K278" s="30">
        <f>(E278-F278)/IF(E278&gt;0,E278,1)</f>
        <v/>
      </c>
    </row>
    <row r="279">
      <c r="A279" s="22" t="inlineStr">
        <is>
          <t>인공지능을 위한 확률과 통계 with 파이썬</t>
        </is>
      </c>
      <c r="B279" s="22" t="inlineStr">
        <is>
          <t>이연우</t>
        </is>
      </c>
      <c r="C279" s="22" t="inlineStr">
        <is>
          <t>길벗캠퍼스</t>
        </is>
      </c>
      <c r="D279" s="22" t="inlineStr">
        <is>
          <t>2025년 07월</t>
        </is>
      </c>
      <c r="E279" s="28" t="n">
        <v>38000</v>
      </c>
      <c r="F279" s="28" t="n">
        <v>38000</v>
      </c>
      <c r="G279" s="29" t="n">
        <v>1</v>
      </c>
      <c r="H279" s="29" t="n">
        <v>522</v>
      </c>
      <c r="I279" s="21" t="inlineStr">
        <is>
          <t>2025</t>
        </is>
      </c>
      <c r="J279" s="21" t="inlineStr">
        <is>
          <t xml:space="preserve"> 0</t>
        </is>
      </c>
      <c r="K279" s="30">
        <f>(E279-F279)/IF(E279&gt;0,E279,1)</f>
        <v/>
      </c>
    </row>
    <row r="280">
      <c r="A280" s="22" t="inlineStr">
        <is>
          <t>어쩌다 AI, 실전으로 뛰어든 3년의 기록</t>
        </is>
      </c>
      <c r="B280" s="22" t="inlineStr">
        <is>
          <t>심형섭</t>
        </is>
      </c>
      <c r="C280" s="22" t="inlineStr">
        <is>
          <t>프리렉</t>
        </is>
      </c>
      <c r="D280" s="22" t="inlineStr">
        <is>
          <t>2025년 12월</t>
        </is>
      </c>
      <c r="E280" s="28" t="n">
        <v>22000</v>
      </c>
      <c r="F280" s="28" t="n">
        <v>19800</v>
      </c>
      <c r="G280" s="29" t="n">
        <v>17</v>
      </c>
      <c r="H280" s="29" t="n">
        <v>516</v>
      </c>
      <c r="I280" s="21" t="inlineStr">
        <is>
          <t>2025</t>
        </is>
      </c>
      <c r="J280" s="21" t="inlineStr">
        <is>
          <t xml:space="preserve"> 1</t>
        </is>
      </c>
      <c r="K280" s="30">
        <f>(E280-F280)/IF(E280&gt;0,E280,1)</f>
        <v/>
      </c>
    </row>
    <row r="281">
      <c r="A281" s="22" t="inlineStr">
        <is>
          <t>교사를 위한 NotebookLM 실전가이드</t>
        </is>
      </c>
      <c r="B281" s="22" t="inlineStr">
        <is>
          <t>정지영</t>
        </is>
      </c>
      <c r="C281" s="22" t="inlineStr">
        <is>
          <t>내하출판사</t>
        </is>
      </c>
      <c r="D281" s="22" t="inlineStr">
        <is>
          <t>2026년 03월</t>
        </is>
      </c>
      <c r="E281" s="28" t="n">
        <v>23000</v>
      </c>
      <c r="F281" s="28" t="n">
        <v>23000</v>
      </c>
      <c r="G281" s="29" t="n">
        <v>0</v>
      </c>
      <c r="H281" s="29" t="n">
        <v>384</v>
      </c>
      <c r="I281" s="21" t="inlineStr">
        <is>
          <t>2026</t>
        </is>
      </c>
      <c r="J281" s="21" t="inlineStr">
        <is>
          <t xml:space="preserve"> 0</t>
        </is>
      </c>
      <c r="K281" s="30">
        <f>(E281-F281)/IF(E281&gt;0,E281,1)</f>
        <v/>
      </c>
    </row>
    <row r="282">
      <c r="A282" s="22" t="inlineStr">
        <is>
          <t>업무에서 바로 써먹는 ChatGPT 생성형 AI 활용</t>
        </is>
      </c>
      <c r="B282" s="22" t="inlineStr">
        <is>
          <t>김명석</t>
        </is>
      </c>
      <c r="C282" s="22" t="inlineStr">
        <is>
          <t>광문각출판미디어</t>
        </is>
      </c>
      <c r="D282" s="22" t="inlineStr">
        <is>
          <t>2024년 06월</t>
        </is>
      </c>
      <c r="E282" s="28" t="n">
        <v>17000</v>
      </c>
      <c r="F282" s="28" t="n">
        <v>17000</v>
      </c>
      <c r="G282" s="29" t="n">
        <v>20</v>
      </c>
      <c r="H282" s="29" t="n">
        <v>438</v>
      </c>
      <c r="I282" s="21" t="inlineStr">
        <is>
          <t>2024</t>
        </is>
      </c>
      <c r="J282" s="21" t="inlineStr">
        <is>
          <t xml:space="preserve"> 0</t>
        </is>
      </c>
      <c r="K282" s="30">
        <f>(E282-F282)/IF(E282&gt;0,E282,1)</f>
        <v/>
      </c>
    </row>
    <row r="283">
      <c r="A283" s="22" t="inlineStr">
        <is>
          <t>쉽게 배우고 바로 쓰는 에듀테크 첫걸음</t>
        </is>
      </c>
      <c r="B283" s="22" t="inlineStr">
        <is>
          <t>조종현, 박미지, 김승길</t>
        </is>
      </c>
      <c r="C283" s="22" t="inlineStr">
        <is>
          <t>성안당</t>
        </is>
      </c>
      <c r="D283" s="22" t="inlineStr">
        <is>
          <t>2025년 11월</t>
        </is>
      </c>
      <c r="E283" s="28" t="n">
        <v>18000</v>
      </c>
      <c r="F283" s="28" t="n">
        <v>16200</v>
      </c>
      <c r="G283" s="29" t="n">
        <v>24</v>
      </c>
      <c r="H283" s="29" t="n">
        <v>2100</v>
      </c>
      <c r="I283" s="21" t="inlineStr">
        <is>
          <t>2025</t>
        </is>
      </c>
      <c r="J283" s="21" t="inlineStr">
        <is>
          <t xml:space="preserve"> 1</t>
        </is>
      </c>
      <c r="K283" s="30">
        <f>(E283-F283)/IF(E283&gt;0,E283,1)</f>
        <v/>
      </c>
    </row>
    <row r="284">
      <c r="A284" s="22" t="inlineStr">
        <is>
          <t>AI 상식 사전</t>
        </is>
      </c>
      <c r="B284" s="22" t="inlineStr">
        <is>
          <t>김지현</t>
        </is>
      </c>
      <c r="C284" s="22" t="inlineStr">
        <is>
          <t>크레타</t>
        </is>
      </c>
      <c r="D284" s="22" t="inlineStr">
        <is>
          <t>2025년 06월</t>
        </is>
      </c>
      <c r="E284" s="28" t="n">
        <v>19800</v>
      </c>
      <c r="F284" s="28" t="n">
        <v>17820</v>
      </c>
      <c r="G284" s="29" t="n">
        <v>17</v>
      </c>
      <c r="H284" s="29" t="n">
        <v>1560</v>
      </c>
      <c r="I284" s="21" t="inlineStr">
        <is>
          <t>2025</t>
        </is>
      </c>
      <c r="J284" s="21" t="inlineStr">
        <is>
          <t xml:space="preserve"> 0</t>
        </is>
      </c>
      <c r="K284" s="30">
        <f>(E284-F284)/IF(E284&gt;0,E284,1)</f>
        <v/>
      </c>
    </row>
    <row r="285">
      <c r="A285" s="22" t="inlineStr">
        <is>
          <t>살아 보니, 지능</t>
        </is>
      </c>
      <c r="B285" s="22" t="inlineStr">
        <is>
          <t>이권우, 이명현, 이정모, 정재승, 강양구</t>
        </is>
      </c>
      <c r="C285" s="22" t="inlineStr">
        <is>
          <t>어크로스</t>
        </is>
      </c>
      <c r="D285" s="22" t="inlineStr">
        <is>
          <t>2023년 12월</t>
        </is>
      </c>
      <c r="E285" s="28" t="n">
        <v>16800</v>
      </c>
      <c r="F285" s="28" t="n">
        <v>15120</v>
      </c>
      <c r="G285" s="29" t="n">
        <v>7</v>
      </c>
      <c r="H285" s="29" t="n">
        <v>510</v>
      </c>
      <c r="I285" s="21" t="inlineStr">
        <is>
          <t>2023</t>
        </is>
      </c>
      <c r="J285" s="21" t="inlineStr">
        <is>
          <t xml:space="preserve"> 1</t>
        </is>
      </c>
      <c r="K285" s="30">
        <f>(E285-F285)/IF(E285&gt;0,E285,1)</f>
        <v/>
      </c>
    </row>
    <row r="286">
      <c r="A286" s="22" t="inlineStr">
        <is>
          <t>AI 교양 수업</t>
        </is>
      </c>
      <c r="B286" s="22" t="inlineStr">
        <is>
          <t>최윤철</t>
        </is>
      </c>
      <c r="C286" s="22" t="inlineStr">
        <is>
          <t>생능북스</t>
        </is>
      </c>
      <c r="D286" s="22" t="inlineStr">
        <is>
          <t>2026년 04월</t>
        </is>
      </c>
      <c r="E286" s="28" t="n">
        <v>18500</v>
      </c>
      <c r="F286" s="28" t="n">
        <v>16650</v>
      </c>
      <c r="G286" s="29" t="n">
        <v>23</v>
      </c>
      <c r="H286" s="29" t="n">
        <v>372</v>
      </c>
      <c r="I286" s="21" t="inlineStr">
        <is>
          <t>2026</t>
        </is>
      </c>
      <c r="J286" s="21" t="inlineStr">
        <is>
          <t xml:space="preserve"> 0</t>
        </is>
      </c>
      <c r="K286" s="30">
        <f>(E286-F286)/IF(E286&gt;0,E286,1)</f>
        <v/>
      </c>
    </row>
    <row r="287">
      <c r="A287" s="22" t="inlineStr">
        <is>
          <t>직장인을 위한 미드저니 이미지 &amp; 영상 제작</t>
        </is>
      </c>
      <c r="B287" s="22" t="inlineStr">
        <is>
          <t>고희청, 박범희</t>
        </is>
      </c>
      <c r="C287" s="22" t="inlineStr">
        <is>
          <t>성안당</t>
        </is>
      </c>
      <c r="D287" s="22" t="inlineStr">
        <is>
          <t>2025년 11월</t>
        </is>
      </c>
      <c r="E287" s="28" t="n">
        <v>27000</v>
      </c>
      <c r="F287" s="28" t="n">
        <v>24300</v>
      </c>
      <c r="G287" s="29" t="n">
        <v>43</v>
      </c>
      <c r="H287" s="29" t="n">
        <v>390</v>
      </c>
      <c r="I287" s="21" t="inlineStr">
        <is>
          <t>2025</t>
        </is>
      </c>
      <c r="J287" s="21" t="inlineStr">
        <is>
          <t xml:space="preserve"> 1</t>
        </is>
      </c>
      <c r="K287" s="30">
        <f>(E287-F287)/IF(E287&gt;0,E287,1)</f>
        <v/>
      </c>
    </row>
    <row r="288">
      <c r="A288" s="22" t="inlineStr">
        <is>
          <t>AI로 기획하라</t>
        </is>
      </c>
      <c r="B288" s="22" t="inlineStr">
        <is>
          <t>노중석</t>
        </is>
      </c>
      <c r="C288" s="22" t="inlineStr">
        <is>
          <t>두드림미디어</t>
        </is>
      </c>
      <c r="D288" s="22" t="inlineStr">
        <is>
          <t>2026년 01월</t>
        </is>
      </c>
      <c r="E288" s="28" t="n">
        <v>19800</v>
      </c>
      <c r="F288" s="28" t="n">
        <v>17820</v>
      </c>
      <c r="G288" s="29" t="n">
        <v>13</v>
      </c>
      <c r="H288" s="29" t="n">
        <v>402</v>
      </c>
      <c r="I288" s="21" t="inlineStr">
        <is>
          <t>2026</t>
        </is>
      </c>
      <c r="J288" s="21" t="inlineStr">
        <is>
          <t xml:space="preserve"> 0</t>
        </is>
      </c>
      <c r="K288" s="30">
        <f>(E288-F288)/IF(E288&gt;0,E288,1)</f>
        <v/>
      </c>
    </row>
    <row r="289">
      <c r="A289" s="22" t="inlineStr">
        <is>
          <t>AI 대전환 시대, 조직은 문화다</t>
        </is>
      </c>
      <c r="B289" s="22" t="inlineStr">
        <is>
          <t>김기진, 조원규, 임정훈, 김현, 박지연, 정보 더 보기/감추기, 김기진, 조원규, 임정훈, 김현, 박지연, 송구, 최선용, 정화연</t>
        </is>
      </c>
      <c r="C289" s="22" t="inlineStr">
        <is>
          <t>에릭스토리</t>
        </is>
      </c>
      <c r="D289" s="22" t="inlineStr">
        <is>
          <t>2025년 06월</t>
        </is>
      </c>
      <c r="E289" s="28" t="n">
        <v>17000</v>
      </c>
      <c r="F289" s="28" t="n">
        <v>15300</v>
      </c>
      <c r="G289" s="29" t="n">
        <v>0</v>
      </c>
      <c r="H289" s="29" t="n">
        <v>486</v>
      </c>
      <c r="I289" s="21" t="inlineStr">
        <is>
          <t>2025</t>
        </is>
      </c>
      <c r="J289" s="21" t="inlineStr">
        <is>
          <t xml:space="preserve"> 0</t>
        </is>
      </c>
      <c r="K289" s="30">
        <f>(E289-F289)/IF(E289&gt;0,E289,1)</f>
        <v/>
      </c>
    </row>
    <row r="290">
      <c r="A290" s="22" t="inlineStr">
        <is>
          <t>추천 시스템</t>
        </is>
      </c>
      <c r="B290" s="22" t="inlineStr">
        <is>
          <t>차루 아가르왈, 박희원, 이주희, 이진형</t>
        </is>
      </c>
      <c r="C290" s="22" t="inlineStr">
        <is>
          <t>에이콘출판사</t>
        </is>
      </c>
      <c r="D290" s="22" t="inlineStr">
        <is>
          <t>2021년 12월</t>
        </is>
      </c>
      <c r="E290" s="28" t="n">
        <v>40000</v>
      </c>
      <c r="F290" s="28" t="n">
        <v>36000</v>
      </c>
      <c r="G290" s="29" t="n">
        <v>5</v>
      </c>
      <c r="H290" s="29" t="n">
        <v>318</v>
      </c>
      <c r="I290" s="21" t="inlineStr">
        <is>
          <t>2021</t>
        </is>
      </c>
      <c r="J290" s="21" t="inlineStr">
        <is>
          <t xml:space="preserve"> 1</t>
        </is>
      </c>
      <c r="K290" s="30">
        <f>(E290-F290)/IF(E290&gt;0,E290,1)</f>
        <v/>
      </c>
    </row>
    <row r="291">
      <c r="A291" s="22" t="inlineStr">
        <is>
          <t>실무에서 바로 통하는 데이터 시각화 노하우</t>
        </is>
      </c>
      <c r="B291" s="22" t="inlineStr">
        <is>
          <t>전익진</t>
        </is>
      </c>
      <c r="C291" s="22" t="inlineStr">
        <is>
          <t>디스커버리미디어</t>
        </is>
      </c>
      <c r="D291" s="22" t="inlineStr">
        <is>
          <t>2024년 07월</t>
        </is>
      </c>
      <c r="E291" s="28" t="n">
        <v>22000</v>
      </c>
      <c r="F291" s="28" t="n">
        <v>19800</v>
      </c>
      <c r="G291" s="29" t="n">
        <v>2</v>
      </c>
      <c r="H291" s="29" t="n">
        <v>288</v>
      </c>
      <c r="I291" s="21" t="inlineStr">
        <is>
          <t>2024</t>
        </is>
      </c>
      <c r="J291" s="21" t="inlineStr">
        <is>
          <t xml:space="preserve"> 0</t>
        </is>
      </c>
      <c r="K291" s="30">
        <f>(E291-F291)/IF(E291&gt;0,E291,1)</f>
        <v/>
      </c>
    </row>
    <row r="292">
      <c r="A292" s="22" t="inlineStr">
        <is>
          <t>알아두면 평생 써먹는 인공지능(AI) 그림 수업</t>
        </is>
      </c>
      <c r="B292" s="22" t="inlineStr">
        <is>
          <t>이미앙, 이용태</t>
        </is>
      </c>
      <c r="C292" s="22" t="inlineStr">
        <is>
          <t>책바세</t>
        </is>
      </c>
      <c r="D292" s="22" t="inlineStr">
        <is>
          <t>2023년 11월</t>
        </is>
      </c>
      <c r="E292" s="28" t="n">
        <v>17000</v>
      </c>
      <c r="F292" s="28" t="n">
        <v>15300</v>
      </c>
      <c r="G292" s="29" t="n">
        <v>6</v>
      </c>
      <c r="H292" s="29" t="n">
        <v>414</v>
      </c>
      <c r="I292" s="21" t="inlineStr">
        <is>
          <t>2023</t>
        </is>
      </c>
      <c r="J292" s="21" t="inlineStr">
        <is>
          <t xml:space="preserve"> 1</t>
        </is>
      </c>
      <c r="K292" s="30">
        <f>(E292-F292)/IF(E292&gt;0,E292,1)</f>
        <v/>
      </c>
    </row>
    <row r="293">
      <c r="A293" s="22" t="inlineStr">
        <is>
          <t>제조AI빅데이터 분석기법 (코딩편)</t>
        </is>
      </c>
      <c r="B293" s="22" t="inlineStr">
        <is>
          <t>김일중, 유승화, 임성훈, 신민수, 박준용, 정보 더 보기/감추기, 김일중, 유승화, 임성훈, 신민수, 박준용, 권종원, 김흥남</t>
        </is>
      </c>
      <c r="C293" s="22" t="inlineStr">
        <is>
          <t>보민출판사</t>
        </is>
      </c>
      <c r="D293" s="22" t="inlineStr">
        <is>
          <t>2024년 05월</t>
        </is>
      </c>
      <c r="E293" s="28" t="n">
        <v>30000</v>
      </c>
      <c r="F293" s="28" t="n">
        <v>27000</v>
      </c>
      <c r="G293" s="29" t="n">
        <v>10</v>
      </c>
      <c r="H293" s="29" t="n">
        <v>288</v>
      </c>
      <c r="I293" s="21" t="inlineStr">
        <is>
          <t>2024</t>
        </is>
      </c>
      <c r="J293" s="21" t="inlineStr">
        <is>
          <t xml:space="preserve"> 0</t>
        </is>
      </c>
      <c r="K293" s="30">
        <f>(E293-F293)/IF(E293&gt;0,E293,1)</f>
        <v/>
      </c>
    </row>
    <row r="294">
      <c r="A294" s="22" t="inlineStr">
        <is>
          <t>AI시대 교육혁명 : 태재대학교</t>
        </is>
      </c>
      <c r="B294" s="22" t="inlineStr">
        <is>
          <t>염재호</t>
        </is>
      </c>
      <c r="C294" s="22" t="inlineStr">
        <is>
          <t>태재대학교출판문화원</t>
        </is>
      </c>
      <c r="D294" s="22" t="inlineStr">
        <is>
          <t>2026년 01월</t>
        </is>
      </c>
      <c r="E294" s="28" t="n">
        <v>15000</v>
      </c>
      <c r="F294" s="28" t="n">
        <v>13500</v>
      </c>
      <c r="G294" s="29" t="n">
        <v>0</v>
      </c>
      <c r="H294" s="29" t="n">
        <v>276</v>
      </c>
      <c r="I294" s="21" t="inlineStr">
        <is>
          <t>2026</t>
        </is>
      </c>
      <c r="J294" s="21" t="inlineStr">
        <is>
          <t xml:space="preserve"> 0</t>
        </is>
      </c>
      <c r="K294" s="30">
        <f>(E294-F294)/IF(E294&gt;0,E294,1)</f>
        <v/>
      </c>
    </row>
    <row r="295">
      <c r="A295" s="22" t="inlineStr">
        <is>
          <t>생성형 AI, AI STUDIOS로 인공지능 영상제작 -더 쉽고/더 빠르게-</t>
        </is>
      </c>
      <c r="B295" s="22" t="inlineStr">
        <is>
          <t>장세영, 안창현</t>
        </is>
      </c>
      <c r="C295" s="22" t="inlineStr">
        <is>
          <t>코드미디어</t>
        </is>
      </c>
      <c r="D295" s="22" t="inlineStr">
        <is>
          <t>2025년 03월</t>
        </is>
      </c>
      <c r="E295" s="28" t="n">
        <v>30000</v>
      </c>
      <c r="F295" s="28" t="n">
        <v>27000</v>
      </c>
      <c r="G295" s="29" t="n">
        <v>2</v>
      </c>
      <c r="H295" s="29" t="n">
        <v>330</v>
      </c>
      <c r="I295" s="21" t="inlineStr">
        <is>
          <t>2025</t>
        </is>
      </c>
      <c r="J295" s="21" t="inlineStr">
        <is>
          <t xml:space="preserve"> 0</t>
        </is>
      </c>
      <c r="K295" s="30">
        <f>(E295-F295)/IF(E295&gt;0,E295,1)</f>
        <v/>
      </c>
    </row>
    <row r="296">
      <c r="A296" s="22" t="inlineStr">
        <is>
          <t>데이터 과학 기반의 파이썬 빅데이터 분석</t>
        </is>
      </c>
      <c r="B296" s="22" t="inlineStr">
        <is>
          <t>이지영</t>
        </is>
      </c>
      <c r="C296" s="22" t="inlineStr">
        <is>
          <t>한빛아카데미</t>
        </is>
      </c>
      <c r="D296" s="22" t="inlineStr">
        <is>
          <t>2024년 11월</t>
        </is>
      </c>
      <c r="E296" s="28" t="n">
        <v>31000</v>
      </c>
      <c r="F296" s="28" t="n">
        <v>31000</v>
      </c>
      <c r="G296" s="29" t="n">
        <v>0</v>
      </c>
      <c r="H296" s="29" t="n">
        <v>1590</v>
      </c>
      <c r="I296" s="21" t="inlineStr">
        <is>
          <t>2024</t>
        </is>
      </c>
      <c r="J296" s="21" t="inlineStr">
        <is>
          <t xml:space="preserve"> 1</t>
        </is>
      </c>
      <c r="K296" s="30">
        <f>(E296-F296)/IF(E296&gt;0,E296,1)</f>
        <v/>
      </c>
    </row>
    <row r="297">
      <c r="A297" s="22" t="inlineStr">
        <is>
          <t>AI로 만드는 노래와 뮤직비디오</t>
        </is>
      </c>
      <c r="B297" s="22" t="inlineStr">
        <is>
          <t>전진규</t>
        </is>
      </c>
      <c r="C297" s="22" t="inlineStr">
        <is>
          <t>시대인</t>
        </is>
      </c>
      <c r="D297" s="22" t="inlineStr">
        <is>
          <t>2026년 04월</t>
        </is>
      </c>
      <c r="E297" s="28" t="n">
        <v>14000</v>
      </c>
      <c r="F297" s="28" t="n">
        <v>12600</v>
      </c>
      <c r="G297" s="29" t="n">
        <v>8</v>
      </c>
      <c r="H297" s="29" t="n">
        <v>228</v>
      </c>
      <c r="I297" s="21" t="inlineStr">
        <is>
          <t>2026</t>
        </is>
      </c>
      <c r="J297" s="21" t="inlineStr">
        <is>
          <t xml:space="preserve"> 0</t>
        </is>
      </c>
      <c r="K297" s="30">
        <f>(E297-F297)/IF(E297&gt;0,E297,1)</f>
        <v/>
      </c>
    </row>
    <row r="298">
      <c r="A298" s="22" t="inlineStr">
        <is>
          <t>AI 비즈니스 정복하기</t>
        </is>
      </c>
      <c r="B298" s="22" t="inlineStr">
        <is>
          <t>오석현</t>
        </is>
      </c>
      <c r="C298" s="22" t="inlineStr">
        <is>
          <t>고북이</t>
        </is>
      </c>
      <c r="D298" s="22" t="inlineStr">
        <is>
          <t>2026년 03월</t>
        </is>
      </c>
      <c r="E298" s="28" t="n">
        <v>25000</v>
      </c>
      <c r="F298" s="28" t="n">
        <v>22500</v>
      </c>
      <c r="G298" s="29" t="n">
        <v>5</v>
      </c>
      <c r="H298" s="29" t="n">
        <v>438</v>
      </c>
      <c r="I298" s="21" t="inlineStr">
        <is>
          <t>2026</t>
        </is>
      </c>
      <c r="J298" s="21" t="inlineStr">
        <is>
          <t xml:space="preserve"> 0</t>
        </is>
      </c>
      <c r="K298" s="30">
        <f>(E298-F298)/IF(E298&gt;0,E298,1)</f>
        <v/>
      </c>
    </row>
    <row r="299">
      <c r="A299" s="22" t="inlineStr">
        <is>
          <t>김변호사의 스마트한 AI 활용법</t>
        </is>
      </c>
      <c r="B299" s="22" t="inlineStr">
        <is>
          <t>김변호사 팀</t>
        </is>
      </c>
      <c r="C299" s="22" t="inlineStr">
        <is>
          <t>(주)박영사</t>
        </is>
      </c>
      <c r="D299" s="22" t="inlineStr">
        <is>
          <t>2025년 03월</t>
        </is>
      </c>
      <c r="E299" s="28" t="n">
        <v>18000</v>
      </c>
      <c r="F299" s="28" t="n">
        <v>18000</v>
      </c>
      <c r="G299" s="29" t="n">
        <v>1</v>
      </c>
      <c r="H299" s="29" t="n">
        <v>1320</v>
      </c>
      <c r="I299" s="21" t="inlineStr">
        <is>
          <t>2025</t>
        </is>
      </c>
      <c r="J299" s="21" t="inlineStr">
        <is>
          <t xml:space="preserve"> 0</t>
        </is>
      </c>
      <c r="K299" s="30">
        <f>(E299-F299)/IF(E299&gt;0,E299,1)</f>
        <v/>
      </c>
    </row>
    <row r="300">
      <c r="A300" s="22" t="inlineStr">
        <is>
          <t>Data AI</t>
        </is>
      </c>
      <c r="B300" s="22" t="n">
        <v/>
      </c>
      <c r="C300" s="22" t="inlineStr">
        <is>
          <t>호산나</t>
        </is>
      </c>
      <c r="D300" s="22" t="inlineStr">
        <is>
          <t>2026년 05월</t>
        </is>
      </c>
      <c r="E300" s="28" t="n">
        <v>35000</v>
      </c>
      <c r="F300" s="28" t="n">
        <v>33250</v>
      </c>
      <c r="G300" s="29" t="n">
        <v>6</v>
      </c>
      <c r="H300" s="29" t="n">
        <v>168</v>
      </c>
      <c r="I300" s="21" t="inlineStr">
        <is>
          <t>2026</t>
        </is>
      </c>
      <c r="J300" s="21" t="inlineStr">
        <is>
          <t xml:space="preserve"> 0</t>
        </is>
      </c>
      <c r="K300" s="30">
        <f>(E300-F300)/IF(E300&gt;0,E300,1)</f>
        <v/>
      </c>
    </row>
    <row r="301">
      <c r="A301" s="22" t="inlineStr">
        <is>
          <t>AI 시대 사고의 정석 - 유추</t>
        </is>
      </c>
      <c r="B301" s="22" t="inlineStr">
        <is>
          <t>이진화</t>
        </is>
      </c>
      <c r="C301" s="22" t="inlineStr">
        <is>
          <t>지식과감성#</t>
        </is>
      </c>
      <c r="D301" s="22" t="inlineStr">
        <is>
          <t>2026년 05월</t>
        </is>
      </c>
      <c r="E301" s="28" t="n">
        <v>23000</v>
      </c>
      <c r="F301" s="28" t="n">
        <v>20700</v>
      </c>
      <c r="G301" s="29" t="n">
        <v>1</v>
      </c>
      <c r="H301" s="29" t="n">
        <v>168</v>
      </c>
      <c r="I301" s="21" t="inlineStr">
        <is>
          <t>2026</t>
        </is>
      </c>
      <c r="J301" s="21" t="inlineStr">
        <is>
          <t xml:space="preserve"> 0</t>
        </is>
      </c>
      <c r="K301" s="30">
        <f>(E301-F301)/IF(E301&gt;0,E301,1)</f>
        <v/>
      </c>
    </row>
    <row r="302">
      <c r="A302" s="22" t="inlineStr">
        <is>
          <t>AI를 직원처럼 쓰는 마케팅 자동화 시스템</t>
        </is>
      </c>
      <c r="B302" s="22" t="inlineStr">
        <is>
          <t>이종구, 이정화, 김회균, 손정화</t>
        </is>
      </c>
      <c r="C302" s="22" t="inlineStr">
        <is>
          <t>디지털콘텐츠그룹</t>
        </is>
      </c>
      <c r="D302" s="22" t="inlineStr">
        <is>
          <t>2026년 05월</t>
        </is>
      </c>
      <c r="E302" s="28" t="n">
        <v>24000</v>
      </c>
      <c r="F302" s="28" t="n">
        <v>21600</v>
      </c>
      <c r="G302" s="29" t="n">
        <v>0</v>
      </c>
      <c r="H302" s="29" t="n">
        <v>168</v>
      </c>
      <c r="I302" s="21" t="inlineStr">
        <is>
          <t>2026</t>
        </is>
      </c>
      <c r="J302" s="21" t="inlineStr">
        <is>
          <t xml:space="preserve"> 0</t>
        </is>
      </c>
      <c r="K302" s="30">
        <f>(E302-F302)/IF(E302&gt;0,E302,1)</f>
        <v/>
      </c>
    </row>
    <row r="303">
      <c r="A303" s="22" t="inlineStr">
        <is>
          <t>말로 만드는 창업의 시대</t>
        </is>
      </c>
      <c r="B303" s="22" t="inlineStr">
        <is>
          <t>심재우, 선웅규</t>
        </is>
      </c>
      <c r="C303" s="22" t="inlineStr">
        <is>
          <t>진한엠앤비</t>
        </is>
      </c>
      <c r="D303" s="22" t="inlineStr">
        <is>
          <t>2026년 05월</t>
        </is>
      </c>
      <c r="E303" s="28" t="n">
        <v>23000</v>
      </c>
      <c r="F303" s="28" t="n">
        <v>21850</v>
      </c>
      <c r="G303" s="29" t="n">
        <v>0</v>
      </c>
      <c r="H303" s="29" t="n">
        <v>192</v>
      </c>
      <c r="I303" s="21" t="inlineStr">
        <is>
          <t>2026</t>
        </is>
      </c>
      <c r="J303" s="21" t="inlineStr">
        <is>
          <t xml:space="preserve"> 0</t>
        </is>
      </c>
      <c r="K303" s="30">
        <f>(E303-F303)/IF(E303&gt;0,E303,1)</f>
        <v/>
      </c>
    </row>
    <row r="304">
      <c r="A304" s="22" t="inlineStr">
        <is>
          <t>AI로 쉽게 자기역사 쓰기</t>
        </is>
      </c>
      <c r="B304" s="22" t="inlineStr">
        <is>
          <t>진순희</t>
        </is>
      </c>
      <c r="C304" s="22" t="inlineStr">
        <is>
          <t>씽크스마트</t>
        </is>
      </c>
      <c r="D304" s="22" t="inlineStr">
        <is>
          <t>2026년 03월</t>
        </is>
      </c>
      <c r="E304" s="28" t="n">
        <v>17000</v>
      </c>
      <c r="F304" s="28" t="n">
        <v>15300</v>
      </c>
      <c r="G304" s="29" t="n">
        <v>19</v>
      </c>
      <c r="H304" s="29" t="n">
        <v>186</v>
      </c>
      <c r="I304" s="21" t="inlineStr">
        <is>
          <t>2026</t>
        </is>
      </c>
      <c r="J304" s="21" t="inlineStr">
        <is>
          <t xml:space="preserve"> 0</t>
        </is>
      </c>
      <c r="K304" s="30">
        <f>(E304-F304)/IF(E304&gt;0,E304,1)</f>
        <v/>
      </c>
    </row>
    <row r="305">
      <c r="A305" s="22" t="inlineStr">
        <is>
          <t>수학으로 이해하는 기초강화학습</t>
        </is>
      </c>
      <c r="B305" s="22" t="inlineStr">
        <is>
          <t>이동환</t>
        </is>
      </c>
      <c r="C305" s="22" t="inlineStr">
        <is>
          <t>가우스출판</t>
        </is>
      </c>
      <c r="D305" s="22" t="inlineStr">
        <is>
          <t>2025년 03월</t>
        </is>
      </c>
      <c r="E305" s="28" t="n">
        <v>35000</v>
      </c>
      <c r="F305" s="28" t="n">
        <v>31500</v>
      </c>
      <c r="G305" s="29" t="n">
        <v>0</v>
      </c>
      <c r="H305" s="29" t="n">
        <v>198</v>
      </c>
      <c r="I305" s="21" t="inlineStr">
        <is>
          <t>2025</t>
        </is>
      </c>
      <c r="J305" s="21" t="inlineStr">
        <is>
          <t xml:space="preserve"> 0</t>
        </is>
      </c>
      <c r="K305" s="30">
        <f>(E305-F305)/IF(E305&gt;0,E305,1)</f>
        <v/>
      </c>
    </row>
    <row r="306">
      <c r="A306" s="22" t="inlineStr">
        <is>
          <t>핵심 딥러닝 입문: RNN, LSTM, GRU, VAE, GAN 구현</t>
        </is>
      </c>
      <c r="B306" s="22" t="inlineStr">
        <is>
          <t>아즈마 유키나가, 최재원, 장건희</t>
        </is>
      </c>
      <c r="C306" s="22" t="inlineStr">
        <is>
          <t>책만</t>
        </is>
      </c>
      <c r="D306" s="22" t="inlineStr">
        <is>
          <t>2020년 12월</t>
        </is>
      </c>
      <c r="E306" s="28" t="n">
        <v>28000</v>
      </c>
      <c r="F306" s="28" t="n">
        <v>25200</v>
      </c>
      <c r="G306" s="29" t="n">
        <v>4</v>
      </c>
      <c r="H306" s="29" t="n">
        <v>198</v>
      </c>
      <c r="I306" s="21" t="inlineStr">
        <is>
          <t>2020</t>
        </is>
      </c>
      <c r="J306" s="21" t="inlineStr">
        <is>
          <t xml:space="preserve"> 1</t>
        </is>
      </c>
      <c r="K306" s="30">
        <f>(E306-F306)/IF(E306&gt;0,E306,1)</f>
        <v/>
      </c>
    </row>
    <row r="307">
      <c r="A307" s="22" t="inlineStr">
        <is>
          <t>인공지능과 국제정치 전환</t>
        </is>
      </c>
      <c r="B307" s="22" t="inlineStr">
        <is>
          <t>김상배, 이원태, 유인태, 이승주, 윤정현, 정보 더 보기/감추기, 김상배, 이원태, 유인태, 이승주, 윤정현, 이종진, 정헌주, 윤대엽, 이수연, 송태은</t>
        </is>
      </c>
      <c r="C307" s="22" t="inlineStr">
        <is>
          <t>한울아카데미</t>
        </is>
      </c>
      <c r="D307" s="22" t="inlineStr">
        <is>
          <t>2025년 10월</t>
        </is>
      </c>
      <c r="E307" s="28" t="n">
        <v>39000</v>
      </c>
      <c r="F307" s="28" t="n">
        <v>39000</v>
      </c>
      <c r="G307" s="29" t="n">
        <v>0</v>
      </c>
      <c r="H307" s="29" t="n">
        <v>204</v>
      </c>
      <c r="I307" s="21" t="inlineStr">
        <is>
          <t>2025</t>
        </is>
      </c>
      <c r="J307" s="21" t="inlineStr">
        <is>
          <t xml:space="preserve"> 1</t>
        </is>
      </c>
      <c r="K307" s="30">
        <f>(E307-F307)/IF(E307&gt;0,E307,1)</f>
        <v/>
      </c>
    </row>
    <row r="308">
      <c r="A308" s="22" t="inlineStr">
        <is>
          <t>AI 코드, 디코딩: AI 시대, 개발자의 연봉과 가치를 증명하는 코드 리터러시</t>
        </is>
      </c>
      <c r="B308" s="22" t="inlineStr">
        <is>
          <t>엄경률</t>
        </is>
      </c>
      <c r="C308" s="22" t="inlineStr">
        <is>
          <t>BOOKK(부크크)</t>
        </is>
      </c>
      <c r="D308" s="22" t="inlineStr">
        <is>
          <t>2025년 07월</t>
        </is>
      </c>
      <c r="E308" s="28" t="n">
        <v>28900</v>
      </c>
      <c r="F308" s="28" t="n">
        <v>28900</v>
      </c>
      <c r="G308" s="29" t="n">
        <v>0</v>
      </c>
      <c r="H308" s="29" t="n">
        <v>192</v>
      </c>
      <c r="I308" s="21" t="inlineStr">
        <is>
          <t>2025</t>
        </is>
      </c>
      <c r="J308" s="21" t="inlineStr">
        <is>
          <t xml:space="preserve"> 0</t>
        </is>
      </c>
      <c r="K308" s="30">
        <f>(E308-F308)/IF(E308&gt;0,E308,1)</f>
        <v/>
      </c>
    </row>
    <row r="309">
      <c r="A309" s="22" t="inlineStr">
        <is>
          <t>초보로</t>
        </is>
      </c>
      <c r="B309" s="22" t="inlineStr">
        <is>
          <t>김홍순, 권현중, 김민주, 오승영, 박지숙</t>
        </is>
      </c>
      <c r="C309" s="22" t="inlineStr">
        <is>
          <t>홍릉</t>
        </is>
      </c>
      <c r="D309" s="22" t="inlineStr">
        <is>
          <t>2026년 03월</t>
        </is>
      </c>
      <c r="E309" s="28" t="n">
        <v>19000</v>
      </c>
      <c r="F309" s="28" t="n">
        <v>19000</v>
      </c>
      <c r="G309" s="29" t="n">
        <v>1</v>
      </c>
      <c r="H309" s="29" t="n">
        <v>144</v>
      </c>
      <c r="I309" s="21" t="inlineStr">
        <is>
          <t>2026</t>
        </is>
      </c>
      <c r="J309" s="21" t="inlineStr">
        <is>
          <t xml:space="preserve"> 0</t>
        </is>
      </c>
      <c r="K309" s="30">
        <f>(E309-F309)/IF(E309&gt;0,E309,1)</f>
        <v/>
      </c>
    </row>
    <row r="310">
      <c r="A310" s="22" t="inlineStr">
        <is>
          <t>데이터 그랩</t>
        </is>
      </c>
      <c r="B310" s="22" t="inlineStr">
        <is>
          <t>울리세스 알리 메히아스, 닉 콜드리, 공경희</t>
        </is>
      </c>
      <c r="C310" s="22" t="inlineStr">
        <is>
          <t>영림카디널</t>
        </is>
      </c>
      <c r="D310" s="22" t="inlineStr">
        <is>
          <t>2024년 06월</t>
        </is>
      </c>
      <c r="E310" s="28" t="n">
        <v>21000</v>
      </c>
      <c r="F310" s="28" t="n">
        <v>18900</v>
      </c>
      <c r="G310" s="29" t="n">
        <v>15</v>
      </c>
      <c r="H310" s="29" t="n">
        <v>126</v>
      </c>
      <c r="I310" s="21" t="inlineStr">
        <is>
          <t>2024</t>
        </is>
      </c>
      <c r="J310" s="21" t="inlineStr">
        <is>
          <t xml:space="preserve"> 0</t>
        </is>
      </c>
      <c r="K310" s="30">
        <f>(E310-F310)/IF(E310&gt;0,E310,1)</f>
        <v/>
      </c>
    </row>
    <row r="311">
      <c r="A311" s="22" t="inlineStr">
        <is>
          <t>테크니컬 리더</t>
        </is>
      </c>
      <c r="B311" s="22" t="inlineStr">
        <is>
          <t>제럴드 M. 와인버그</t>
        </is>
      </c>
      <c r="C311" s="22" t="inlineStr">
        <is>
          <t>인사이트(insight)</t>
        </is>
      </c>
      <c r="D311" s="22" t="inlineStr">
        <is>
          <t>2013년 01월</t>
        </is>
      </c>
      <c r="E311" s="28" t="n">
        <v>18000</v>
      </c>
      <c r="F311" s="28" t="n">
        <v>16200</v>
      </c>
      <c r="G311" s="29" t="n">
        <v>4</v>
      </c>
      <c r="H311" s="29" t="n">
        <v>156</v>
      </c>
      <c r="I311" s="21" t="inlineStr">
        <is>
          <t>2013</t>
        </is>
      </c>
      <c r="J311" s="21" t="inlineStr">
        <is>
          <t xml:space="preserve"> 0</t>
        </is>
      </c>
      <c r="K311" s="30">
        <f>(E311-F311)/IF(E311&gt;0,E311,1)</f>
        <v/>
      </c>
    </row>
    <row r="312">
      <c r="A312" s="22" t="inlineStr">
        <is>
          <t>MS 365의 모든 것</t>
        </is>
      </c>
      <c r="B312" s="22" t="inlineStr">
        <is>
          <t>이상민, 김홍순, 강현욱</t>
        </is>
      </c>
      <c r="C312" s="22" t="inlineStr">
        <is>
          <t>리더북스</t>
        </is>
      </c>
      <c r="D312" s="22" t="inlineStr">
        <is>
          <t>2025년 07월</t>
        </is>
      </c>
      <c r="E312" s="28" t="n">
        <v>18000</v>
      </c>
      <c r="F312" s="28" t="n">
        <v>16200</v>
      </c>
      <c r="G312" s="29" t="n">
        <v>8</v>
      </c>
      <c r="H312" s="29" t="n">
        <v>1962</v>
      </c>
      <c r="I312" s="21" t="inlineStr">
        <is>
          <t>2025</t>
        </is>
      </c>
      <c r="J312" s="21" t="inlineStr">
        <is>
          <t xml:space="preserve"> 0</t>
        </is>
      </c>
      <c r="K312" s="30">
        <f>(E312-F312)/IF(E312&gt;0,E312,1)</f>
        <v/>
      </c>
    </row>
    <row r="313">
      <c r="A313" s="22" t="inlineStr">
        <is>
          <t>인공지능, 언플러그드를 만나다 2</t>
        </is>
      </c>
      <c r="B313" s="22" t="inlineStr">
        <is>
          <t>홍지연</t>
        </is>
      </c>
      <c r="C313" s="22" t="inlineStr">
        <is>
          <t>영진닷컴</t>
        </is>
      </c>
      <c r="D313" s="22" t="inlineStr">
        <is>
          <t>2022년 05월</t>
        </is>
      </c>
      <c r="E313" s="28" t="n">
        <v>15000</v>
      </c>
      <c r="F313" s="28" t="n">
        <v>13500</v>
      </c>
      <c r="G313" s="29" t="n">
        <v>11</v>
      </c>
      <c r="H313" s="29" t="n">
        <v>126</v>
      </c>
      <c r="I313" s="21" t="inlineStr">
        <is>
          <t>2022</t>
        </is>
      </c>
      <c r="J313" s="21" t="inlineStr">
        <is>
          <t xml:space="preserve"> 0</t>
        </is>
      </c>
      <c r="K313" s="30">
        <f>(E313-F313)/IF(E313&gt;0,E313,1)</f>
        <v/>
      </c>
    </row>
    <row r="314">
      <c r="A314" s="22" t="inlineStr">
        <is>
          <t>할 수 있다! 구글 크롬 기초&amp;활용 with AI</t>
        </is>
      </c>
      <c r="B314" s="22" t="inlineStr">
        <is>
          <t>IT교재연구팀</t>
        </is>
      </c>
      <c r="C314" s="22" t="inlineStr">
        <is>
          <t>시대인</t>
        </is>
      </c>
      <c r="D314" s="22" t="inlineStr">
        <is>
          <t>2026년 04월</t>
        </is>
      </c>
      <c r="E314" s="28" t="n">
        <v>12000</v>
      </c>
      <c r="F314" s="28" t="n">
        <v>10800</v>
      </c>
      <c r="G314" s="29" t="n">
        <v>9</v>
      </c>
      <c r="H314" s="29" t="n">
        <v>114</v>
      </c>
      <c r="I314" s="21" t="inlineStr">
        <is>
          <t>2026</t>
        </is>
      </c>
      <c r="J314" s="21" t="inlineStr">
        <is>
          <t xml:space="preserve"> 0</t>
        </is>
      </c>
      <c r="K314" s="30">
        <f>(E314-F314)/IF(E314&gt;0,E314,1)</f>
        <v/>
      </c>
    </row>
    <row r="315">
      <c r="A315" s="22" t="inlineStr">
        <is>
          <t>AI와 함께 살기 (큰글자도서)</t>
        </is>
      </c>
      <c r="B315" s="22" t="inlineStr">
        <is>
          <t>박영순, 이운성</t>
        </is>
      </c>
      <c r="C315" s="22" t="inlineStr">
        <is>
          <t>살림출판사</t>
        </is>
      </c>
      <c r="D315" s="22" t="inlineStr">
        <is>
          <t>2026년 03월</t>
        </is>
      </c>
      <c r="E315" s="28" t="n">
        <v>20000</v>
      </c>
      <c r="F315" s="28" t="n">
        <v>20000</v>
      </c>
      <c r="G315" s="29" t="n">
        <v>0</v>
      </c>
      <c r="H315" s="29" t="n">
        <v>114</v>
      </c>
      <c r="I315" s="21" t="inlineStr">
        <is>
          <t>2026</t>
        </is>
      </c>
      <c r="J315" s="21" t="inlineStr">
        <is>
          <t xml:space="preserve"> 0</t>
        </is>
      </c>
      <c r="K315" s="30">
        <f>(E315-F315)/IF(E315&gt;0,E315,1)</f>
        <v/>
      </c>
    </row>
    <row r="316">
      <c r="A316" s="22" t="inlineStr">
        <is>
          <t>AI 시대, 개발자는 어떻게 진화하는가</t>
        </is>
      </c>
      <c r="B316" s="22" t="inlineStr">
        <is>
          <t>금창섭</t>
        </is>
      </c>
      <c r="C316" s="22" t="inlineStr">
        <is>
          <t>좋은땅</t>
        </is>
      </c>
      <c r="D316" s="22" t="inlineStr">
        <is>
          <t>2026년 02월</t>
        </is>
      </c>
      <c r="E316" s="28" t="n">
        <v>18000</v>
      </c>
      <c r="F316" s="28" t="n">
        <v>16200</v>
      </c>
      <c r="G316" s="29" t="n">
        <v>0</v>
      </c>
      <c r="H316" s="29" t="n">
        <v>114</v>
      </c>
      <c r="I316" s="21" t="inlineStr">
        <is>
          <t>2026</t>
        </is>
      </c>
      <c r="J316" s="21" t="inlineStr">
        <is>
          <t xml:space="preserve"> 0</t>
        </is>
      </c>
      <c r="K316" s="30">
        <f>(E316-F316)/IF(E316&gt;0,E316,1)</f>
        <v/>
      </c>
    </row>
    <row r="317">
      <c r="A317" s="22" t="inlineStr">
        <is>
          <t>AI DEEP RESEARCH 완전 정복</t>
        </is>
      </c>
      <c r="B317" s="22" t="inlineStr">
        <is>
          <t>최흥식</t>
        </is>
      </c>
      <c r="C317" s="22" t="inlineStr">
        <is>
          <t>BOOKK(부크크)</t>
        </is>
      </c>
      <c r="D317" s="22" t="inlineStr">
        <is>
          <t>2025년 04월</t>
        </is>
      </c>
      <c r="E317" s="28" t="n">
        <v>15700</v>
      </c>
      <c r="F317" s="28" t="n">
        <v>15700</v>
      </c>
      <c r="G317" s="29" t="n">
        <v>0</v>
      </c>
      <c r="H317" s="29" t="n">
        <v>102</v>
      </c>
      <c r="I317" s="21" t="inlineStr">
        <is>
          <t>2025</t>
        </is>
      </c>
      <c r="J317" s="21" t="inlineStr">
        <is>
          <t xml:space="preserve"> 0</t>
        </is>
      </c>
      <c r="K317" s="30">
        <f>(E317-F317)/IF(E317&gt;0,E317,1)</f>
        <v/>
      </c>
    </row>
    <row r="318">
      <c r="A318" s="22" t="inlineStr">
        <is>
          <t>AI 대전환 시대, 나는 리더</t>
        </is>
      </c>
      <c r="B318" s="22" t="inlineStr">
        <is>
          <t>김기진, 황교석, 이재실, 최규철, 김택수, 정보 더 보기/감추기, 김기진, 황교석, 이재실, 최규철, 김택수, 마은경, 이소민, 채명석, 김대경, 최준오</t>
        </is>
      </c>
      <c r="C318" s="22" t="inlineStr">
        <is>
          <t>에릭스토리</t>
        </is>
      </c>
      <c r="D318" s="22" t="inlineStr">
        <is>
          <t>2025년 04월</t>
        </is>
      </c>
      <c r="E318" s="28" t="n">
        <v>17000</v>
      </c>
      <c r="F318" s="28" t="n">
        <v>15300</v>
      </c>
      <c r="G318" s="29" t="n">
        <v>0</v>
      </c>
      <c r="H318" s="29" t="n">
        <v>90</v>
      </c>
      <c r="I318" s="21" t="inlineStr">
        <is>
          <t>2025</t>
        </is>
      </c>
      <c r="J318" s="21" t="inlineStr">
        <is>
          <t xml:space="preserve"> 0</t>
        </is>
      </c>
      <c r="K318" s="30">
        <f>(E318-F318)/IF(E318&gt;0,E318,1)</f>
        <v/>
      </c>
    </row>
    <row r="319">
      <c r="A319" s="22" t="inlineStr">
        <is>
          <t>한국 게임의 역사</t>
        </is>
      </c>
      <c r="B319" s="22" t="inlineStr">
        <is>
          <t>윤형섭, 강지웅, 박수영, 오영욱, 전홍식, 조기현</t>
        </is>
      </c>
      <c r="C319" s="22" t="inlineStr">
        <is>
          <t>북코리아(Bookorea)</t>
        </is>
      </c>
      <c r="D319" s="22" t="inlineStr">
        <is>
          <t>2012년 12월</t>
        </is>
      </c>
      <c r="E319" s="28" t="n">
        <v>19000</v>
      </c>
      <c r="F319" s="28" t="n">
        <v>18050</v>
      </c>
      <c r="G319" s="29" t="n">
        <v>2</v>
      </c>
      <c r="H319" s="29" t="n">
        <v>90</v>
      </c>
      <c r="I319" s="21" t="inlineStr">
        <is>
          <t>2012</t>
        </is>
      </c>
      <c r="J319" s="21" t="inlineStr">
        <is>
          <t xml:space="preserve"> 1</t>
        </is>
      </c>
      <c r="K319" s="30">
        <f>(E319-F319)/IF(E319&gt;0,E319,1)</f>
        <v/>
      </c>
    </row>
    <row r="320">
      <c r="A320" s="22" t="inlineStr">
        <is>
          <t>AI와 대화의 기술 : AI 시대를 지배하는 소통의 연금술</t>
        </is>
      </c>
      <c r="B320" s="22" t="inlineStr">
        <is>
          <t>엄경률</t>
        </is>
      </c>
      <c r="C320" s="22" t="inlineStr">
        <is>
          <t>BOOKK(부크크)</t>
        </is>
      </c>
      <c r="D320" s="22" t="inlineStr">
        <is>
          <t>2025년 08월</t>
        </is>
      </c>
      <c r="E320" s="28" t="n">
        <v>18400</v>
      </c>
      <c r="F320" s="28" t="n">
        <v>18400</v>
      </c>
      <c r="G320" s="29" t="n">
        <v>0</v>
      </c>
      <c r="H320" s="29" t="n">
        <v>132</v>
      </c>
      <c r="I320" s="21" t="inlineStr">
        <is>
          <t>2025</t>
        </is>
      </c>
      <c r="J320" s="21" t="inlineStr">
        <is>
          <t xml:space="preserve"> 0</t>
        </is>
      </c>
      <c r="K320" s="30">
        <f>(E320-F320)/IF(E320&gt;0,E320,1)</f>
        <v/>
      </c>
    </row>
    <row r="321">
      <c r="A321" s="22" t="inlineStr">
        <is>
          <t>AI 시대, 마크다운이라는 교양</t>
        </is>
      </c>
      <c r="B321" s="22" t="inlineStr">
        <is>
          <t>김준</t>
        </is>
      </c>
      <c r="C321" s="22" t="inlineStr">
        <is>
          <t>콩콩 컴퍼니</t>
        </is>
      </c>
      <c r="D321" s="22" t="inlineStr">
        <is>
          <t>2026년 01월</t>
        </is>
      </c>
      <c r="E321" s="28" t="n">
        <v>21000</v>
      </c>
      <c r="F321" s="28" t="n">
        <v>21000</v>
      </c>
      <c r="G321" s="29" t="n">
        <v>0</v>
      </c>
      <c r="H321" s="29" t="n">
        <v>192</v>
      </c>
      <c r="I321" s="21" t="inlineStr">
        <is>
          <t>2026</t>
        </is>
      </c>
      <c r="J321" s="21" t="inlineStr">
        <is>
          <t xml:space="preserve"> 0</t>
        </is>
      </c>
      <c r="K321" s="30">
        <f>(E321-F321)/IF(E321&gt;0,E321,1)</f>
        <v/>
      </c>
    </row>
    <row r="322">
      <c r="A322" s="22" t="inlineStr">
        <is>
          <t>파이썬 데이터 과학 통계 학습</t>
        </is>
      </c>
      <c r="B322" s="22" t="inlineStr">
        <is>
          <t>황보현우, 정지현</t>
        </is>
      </c>
      <c r="C322" s="22" t="inlineStr">
        <is>
          <t>정보문화사</t>
        </is>
      </c>
      <c r="D322" s="22" t="inlineStr">
        <is>
          <t>2021년 05월</t>
        </is>
      </c>
      <c r="E322" s="28" t="n">
        <v>29000</v>
      </c>
      <c r="F322" s="28" t="n">
        <v>26100</v>
      </c>
      <c r="G322" s="29" t="n">
        <v>22</v>
      </c>
      <c r="H322" s="29" t="n">
        <v>114</v>
      </c>
      <c r="I322" s="21" t="inlineStr">
        <is>
          <t>2021</t>
        </is>
      </c>
      <c r="J322" s="21" t="inlineStr">
        <is>
          <t xml:space="preserve"> 0</t>
        </is>
      </c>
      <c r="K322" s="30">
        <f>(E322-F322)/IF(E322&gt;0,E322,1)</f>
        <v/>
      </c>
    </row>
    <row r="323">
      <c r="A323" s="22" t="inlineStr">
        <is>
          <t>AI 시대의 업무 자동화</t>
        </is>
      </c>
      <c r="B323" s="22" t="inlineStr">
        <is>
          <t>임세원</t>
        </is>
      </c>
      <c r="C323" s="22" t="inlineStr">
        <is>
          <t>열린인공지능</t>
        </is>
      </c>
      <c r="D323" s="22" t="inlineStr">
        <is>
          <t>2023년 04월</t>
        </is>
      </c>
      <c r="E323" s="28" t="n">
        <v>13000</v>
      </c>
      <c r="F323" s="28" t="n">
        <v>13000</v>
      </c>
      <c r="G323" s="29" t="n">
        <v>0</v>
      </c>
      <c r="H323" s="29" t="n">
        <v>102</v>
      </c>
      <c r="I323" s="21" t="inlineStr">
        <is>
          <t>2023</t>
        </is>
      </c>
      <c r="J323" s="21" t="inlineStr">
        <is>
          <t xml:space="preserve"> 0</t>
        </is>
      </c>
      <c r="K323" s="30">
        <f>(E323-F323)/IF(E323&gt;0,E323,1)</f>
        <v/>
      </c>
    </row>
    <row r="324">
      <c r="A324" s="22" t="inlineStr">
        <is>
          <t>스마트폰으로 배우는 챗GPT &amp; 생성형 AI</t>
        </is>
      </c>
      <c r="B324" s="22" t="inlineStr">
        <is>
          <t>안은진</t>
        </is>
      </c>
      <c r="C324" s="22" t="inlineStr">
        <is>
          <t>아티오</t>
        </is>
      </c>
      <c r="D324" s="22" t="inlineStr">
        <is>
          <t>2026년 06월</t>
        </is>
      </c>
      <c r="E324" s="28" t="n">
        <v>15000</v>
      </c>
      <c r="F324" s="28" t="n">
        <v>13500</v>
      </c>
      <c r="G324" s="29" t="n">
        <v>0</v>
      </c>
      <c r="H324" s="29" t="n">
        <v>60</v>
      </c>
      <c r="I324" s="21" t="inlineStr">
        <is>
          <t>2026</t>
        </is>
      </c>
      <c r="J324" s="21" t="inlineStr">
        <is>
          <t xml:space="preserve"> 0</t>
        </is>
      </c>
      <c r="K324" s="30">
        <f>(E324-F324)/IF(E324&gt;0,E324,1)</f>
        <v/>
      </c>
    </row>
    <row r="325">
      <c r="A325" s="22" t="inlineStr">
        <is>
          <t>누가 인공지능을 두려워하나?</t>
        </is>
      </c>
      <c r="B325" s="22" t="inlineStr">
        <is>
          <t>토마스 람게, 이수영, 한종혜</t>
        </is>
      </c>
      <c r="C325" s="22" t="inlineStr">
        <is>
          <t>다섯수레</t>
        </is>
      </c>
      <c r="D325" s="22" t="inlineStr">
        <is>
          <t>2021년 01월</t>
        </is>
      </c>
      <c r="E325" s="28" t="n">
        <v>14000</v>
      </c>
      <c r="F325" s="28" t="n">
        <v>12600</v>
      </c>
      <c r="G325" s="29" t="n">
        <v>11</v>
      </c>
      <c r="H325" s="29" t="n">
        <v>72</v>
      </c>
      <c r="I325" s="21" t="inlineStr">
        <is>
          <t>2021</t>
        </is>
      </c>
      <c r="J325" s="21" t="inlineStr">
        <is>
          <t xml:space="preserve"> 0</t>
        </is>
      </c>
      <c r="K325" s="30">
        <f>(E325-F325)/IF(E325&gt;0,E325,1)</f>
        <v/>
      </c>
    </row>
    <row r="326">
      <c r="A326" s="22" t="inlineStr">
        <is>
          <t>인공지능을 만드는 법</t>
        </is>
      </c>
      <c r="B326" s="22" t="inlineStr">
        <is>
          <t>미야케 요이치로, 이도희</t>
        </is>
      </c>
      <c r="C326" s="22" t="inlineStr">
        <is>
          <t>성안당</t>
        </is>
      </c>
      <c r="D326" s="22" t="inlineStr">
        <is>
          <t>2017년 10월</t>
        </is>
      </c>
      <c r="E326" s="28" t="n">
        <v>25000</v>
      </c>
      <c r="F326" s="28" t="n">
        <v>22500</v>
      </c>
      <c r="G326" s="29" t="n">
        <v>3</v>
      </c>
      <c r="H326" s="29" t="n">
        <v>72</v>
      </c>
      <c r="I326" s="21" t="inlineStr">
        <is>
          <t>2017</t>
        </is>
      </c>
      <c r="J326" s="21" t="inlineStr">
        <is>
          <t xml:space="preserve"> 1</t>
        </is>
      </c>
      <c r="K326" s="30">
        <f>(E326-F326)/IF(E326&gt;0,E326,1)</f>
        <v/>
      </c>
    </row>
    <row r="327">
      <c r="A327" s="22" t="inlineStr">
        <is>
          <t>생성형 AI디자인</t>
        </is>
      </c>
      <c r="B327" s="22" t="inlineStr">
        <is>
          <t>최순호</t>
        </is>
      </c>
      <c r="C327" s="22" t="inlineStr">
        <is>
          <t>BOOKK(부크크)</t>
        </is>
      </c>
      <c r="D327" s="22" t="inlineStr">
        <is>
          <t>2026년 04월</t>
        </is>
      </c>
      <c r="E327" s="28" t="n">
        <v>20000</v>
      </c>
      <c r="F327" s="28" t="n">
        <v>20000</v>
      </c>
      <c r="G327" s="29" t="n">
        <v>0</v>
      </c>
      <c r="H327" s="29" t="n">
        <v>72</v>
      </c>
      <c r="I327" s="21" t="inlineStr">
        <is>
          <t>2026</t>
        </is>
      </c>
      <c r="J327" s="21" t="inlineStr">
        <is>
          <t xml:space="preserve"> 0</t>
        </is>
      </c>
      <c r="K327" s="30">
        <f>(E327-F327)/IF(E327&gt;0,E327,1)</f>
        <v/>
      </c>
    </row>
    <row r="328">
      <c r="A328" s="22" t="inlineStr">
        <is>
          <t>AI로 살아가기, AI와 살아가기</t>
        </is>
      </c>
      <c r="B328" s="22" t="inlineStr">
        <is>
          <t>석종득</t>
        </is>
      </c>
      <c r="C328" s="22" t="inlineStr">
        <is>
          <t>전략집단이음</t>
        </is>
      </c>
      <c r="D328" s="22" t="inlineStr">
        <is>
          <t>2026년 04월</t>
        </is>
      </c>
      <c r="E328" s="28" t="n">
        <v>18300</v>
      </c>
      <c r="F328" s="28" t="n">
        <v>18300</v>
      </c>
      <c r="G328" s="29" t="n">
        <v>0</v>
      </c>
      <c r="H328" s="29" t="n">
        <v>60</v>
      </c>
      <c r="I328" s="21" t="inlineStr">
        <is>
          <t>2026</t>
        </is>
      </c>
      <c r="J328" s="21" t="inlineStr">
        <is>
          <t xml:space="preserve"> 0</t>
        </is>
      </c>
      <c r="K328" s="30">
        <f>(E328-F328)/IF(E328&gt;0,E328,1)</f>
        <v/>
      </c>
    </row>
    <row r="329">
      <c r="A329" s="22" t="inlineStr">
        <is>
          <t>어려운 인공지능? 쉬운 인공지능!</t>
        </is>
      </c>
      <c r="B329" s="22" t="inlineStr">
        <is>
          <t>오현승, 장현석</t>
        </is>
      </c>
      <c r="C329" s="22" t="inlineStr">
        <is>
          <t>BOOKK(부크크)</t>
        </is>
      </c>
      <c r="D329" s="22" t="inlineStr">
        <is>
          <t>2022년 11월</t>
        </is>
      </c>
      <c r="E329" s="28" t="n">
        <v>20300</v>
      </c>
      <c r="F329" s="28" t="n">
        <v>20300</v>
      </c>
      <c r="G329" s="29" t="n">
        <v>1</v>
      </c>
      <c r="H329" s="29" t="n">
        <v>42</v>
      </c>
      <c r="I329" s="21" t="inlineStr">
        <is>
          <t>2022</t>
        </is>
      </c>
      <c r="J329" s="21" t="inlineStr">
        <is>
          <t xml:space="preserve"> 1</t>
        </is>
      </c>
      <c r="K329" s="30">
        <f>(E329-F329)/IF(E329&gt;0,E329,1)</f>
        <v/>
      </c>
    </row>
    <row r="330">
      <c r="A330" s="22" t="inlineStr">
        <is>
          <t>신뢰 사회의 적들</t>
        </is>
      </c>
      <c r="B330" s="22" t="inlineStr">
        <is>
          <t>박나룡</t>
        </is>
      </c>
      <c r="C330" s="22" t="inlineStr">
        <is>
          <t>에이콘온</t>
        </is>
      </c>
      <c r="D330" s="22" t="inlineStr">
        <is>
          <t>2026년 05월</t>
        </is>
      </c>
      <c r="E330" s="28" t="n">
        <v>32000</v>
      </c>
      <c r="F330" s="28" t="n">
        <v>30400</v>
      </c>
      <c r="G330" s="29" t="n">
        <v>0</v>
      </c>
      <c r="H330" s="29" t="n">
        <v>84</v>
      </c>
      <c r="I330" s="21" t="inlineStr">
        <is>
          <t>2026</t>
        </is>
      </c>
      <c r="J330" s="21" t="inlineStr">
        <is>
          <t xml:space="preserve"> 0</t>
        </is>
      </c>
      <c r="K330" s="30">
        <f>(E330-F330)/IF(E330&gt;0,E330,1)</f>
        <v/>
      </c>
    </row>
    <row r="331">
      <c r="A331" s="22" t="inlineStr">
        <is>
          <t>JMP를 활용한 통계적 품질 관리</t>
        </is>
      </c>
      <c r="B331" s="22" t="inlineStr">
        <is>
          <t>신익주</t>
        </is>
      </c>
      <c r="C331" s="22" t="inlineStr">
        <is>
          <t>BOOKK(부크크)</t>
        </is>
      </c>
      <c r="D331" s="22" t="inlineStr">
        <is>
          <t>2026년 05월</t>
        </is>
      </c>
      <c r="E331" s="28" t="n">
        <v>29000</v>
      </c>
      <c r="F331" s="28" t="n">
        <v>29000</v>
      </c>
      <c r="G331" s="29" t="n">
        <v>0</v>
      </c>
      <c r="H331" s="29" t="n">
        <v>42</v>
      </c>
      <c r="I331" s="21" t="inlineStr">
        <is>
          <t>2026</t>
        </is>
      </c>
      <c r="J331" s="21" t="inlineStr">
        <is>
          <t xml:space="preserve"> 0</t>
        </is>
      </c>
      <c r="K331" s="30">
        <f>(E331-F331)/IF(E331&gt;0,E331,1)</f>
        <v/>
      </c>
    </row>
    <row r="332">
      <c r="A332" s="22" t="inlineStr">
        <is>
          <t>AI 사고 설계 M-PREP™</t>
        </is>
      </c>
      <c r="B332" s="22" t="inlineStr">
        <is>
          <t>임재춘</t>
        </is>
      </c>
      <c r="C332" s="22" t="inlineStr">
        <is>
          <t>북코리아(Bookorea)</t>
        </is>
      </c>
      <c r="D332" s="22" t="inlineStr">
        <is>
          <t>2026년 04월</t>
        </is>
      </c>
      <c r="E332" s="28" t="n">
        <v>20000</v>
      </c>
      <c r="F332" s="28" t="n">
        <v>20000</v>
      </c>
      <c r="G332" s="29" t="n">
        <v>0</v>
      </c>
      <c r="H332" s="29" t="n">
        <v>54</v>
      </c>
      <c r="I332" s="21" t="inlineStr">
        <is>
          <t>2026</t>
        </is>
      </c>
      <c r="J332" s="21" t="inlineStr">
        <is>
          <t xml:space="preserve"> 0</t>
        </is>
      </c>
      <c r="K332" s="30">
        <f>(E332-F332)/IF(E332&gt;0,E332,1)</f>
        <v/>
      </c>
    </row>
    <row r="333">
      <c r="A333" s="22" t="inlineStr">
        <is>
          <t>업무 속도를 2배 높이는 AI 활용법</t>
        </is>
      </c>
      <c r="B333" s="22" t="inlineStr">
        <is>
          <t>이종구, 한금화, 조선아, 백세균</t>
        </is>
      </c>
      <c r="C333" s="22" t="inlineStr">
        <is>
          <t>디지털콘텐츠그룹</t>
        </is>
      </c>
      <c r="D333" s="22" t="inlineStr">
        <is>
          <t>2026년 04월</t>
        </is>
      </c>
      <c r="E333" s="28" t="n">
        <v>24000</v>
      </c>
      <c r="F333" s="28" t="n">
        <v>21600</v>
      </c>
      <c r="G333" s="29" t="n">
        <v>0</v>
      </c>
      <c r="H333" s="29" t="n">
        <v>84</v>
      </c>
      <c r="I333" s="21" t="inlineStr">
        <is>
          <t>2026</t>
        </is>
      </c>
      <c r="J333" s="21" t="inlineStr">
        <is>
          <t xml:space="preserve"> 0</t>
        </is>
      </c>
      <c r="K333" s="30">
        <f>(E333-F333)/IF(E333&gt;0,E333,1)</f>
        <v/>
      </c>
    </row>
    <row r="334">
      <c r="A334" s="22" t="inlineStr">
        <is>
          <t>AI 의료 경영</t>
        </is>
      </c>
      <c r="B334" s="22" t="inlineStr">
        <is>
          <t>김하나</t>
        </is>
      </c>
      <c r="C334" s="22" t="inlineStr">
        <is>
          <t>한빛아카데미</t>
        </is>
      </c>
      <c r="D334" s="22" t="inlineStr">
        <is>
          <t>2026년 02월</t>
        </is>
      </c>
      <c r="E334" s="28" t="n">
        <v>36000</v>
      </c>
      <c r="F334" s="28" t="n">
        <v>36000</v>
      </c>
      <c r="G334" s="29" t="n">
        <v>0</v>
      </c>
      <c r="H334" s="29" t="n">
        <v>60</v>
      </c>
      <c r="I334" s="21" t="inlineStr">
        <is>
          <t>2026</t>
        </is>
      </c>
      <c r="J334" s="21" t="inlineStr">
        <is>
          <t xml:space="preserve"> 0</t>
        </is>
      </c>
      <c r="K334" s="30">
        <f>(E334-F334)/IF(E334&gt;0,E334,1)</f>
        <v/>
      </c>
    </row>
    <row r="335">
      <c r="A335" s="22" t="inlineStr">
        <is>
          <t>예술 인공지능을 만나다</t>
        </is>
      </c>
      <c r="B335" s="22" t="inlineStr">
        <is>
          <t>신석근</t>
        </is>
      </c>
      <c r="C335" s="22" t="inlineStr">
        <is>
          <t>BOOKK(부크크)</t>
        </is>
      </c>
      <c r="D335" s="22" t="inlineStr">
        <is>
          <t>2024년 04월</t>
        </is>
      </c>
      <c r="E335" s="28" t="n">
        <v>18000</v>
      </c>
      <c r="F335" s="28" t="n">
        <v>18000</v>
      </c>
      <c r="G335" s="29" t="n">
        <v>3</v>
      </c>
      <c r="H335" s="29" t="n">
        <v>60</v>
      </c>
      <c r="I335" s="21" t="inlineStr">
        <is>
          <t>2024</t>
        </is>
      </c>
      <c r="J335" s="21" t="inlineStr">
        <is>
          <t xml:space="preserve"> 0</t>
        </is>
      </c>
      <c r="K335" s="30">
        <f>(E335-F335)/IF(E335&gt;0,E335,1)</f>
        <v/>
      </c>
    </row>
    <row r="336">
      <c r="A336" s="22" t="inlineStr">
        <is>
          <t>가상 면접 사례로 배우는 머신러닝 시스템 설계 기초</t>
        </is>
      </c>
      <c r="B336" s="22" t="inlineStr">
        <is>
          <t>알리 아미니안, 알렉스 쉬, 최종일</t>
        </is>
      </c>
      <c r="C336" s="22" t="inlineStr">
        <is>
          <t>인사이트(insight)</t>
        </is>
      </c>
      <c r="D336" s="22" t="inlineStr">
        <is>
          <t>2024년 02월</t>
        </is>
      </c>
      <c r="E336" s="28" t="n">
        <v>27000</v>
      </c>
      <c r="F336" s="28" t="n">
        <v>24300</v>
      </c>
      <c r="G336" s="29" t="n">
        <v>12</v>
      </c>
      <c r="H336" s="29" t="n">
        <v>1170</v>
      </c>
      <c r="I336" s="21" t="inlineStr">
        <is>
          <t>2024</t>
        </is>
      </c>
      <c r="J336" s="21" t="inlineStr">
        <is>
          <t xml:space="preserve"> 0</t>
        </is>
      </c>
      <c r="K336" s="30">
        <f>(E336-F336)/IF(E336&gt;0,E336,1)</f>
        <v/>
      </c>
    </row>
    <row r="337">
      <c r="A337" s="22" t="inlineStr">
        <is>
          <t>생성형 AI로 웹툰 만화 제작하기</t>
        </is>
      </c>
      <c r="B337" s="22" t="inlineStr">
        <is>
          <t>김한재</t>
        </is>
      </c>
      <c r="C337" s="22" t="inlineStr">
        <is>
          <t>성안당</t>
        </is>
      </c>
      <c r="D337" s="22" t="inlineStr">
        <is>
          <t>2024년 04월</t>
        </is>
      </c>
      <c r="E337" s="28" t="n">
        <v>25000</v>
      </c>
      <c r="F337" s="28" t="n">
        <v>22500</v>
      </c>
      <c r="G337" s="29" t="n">
        <v>103</v>
      </c>
      <c r="H337" s="29" t="n">
        <v>1164</v>
      </c>
      <c r="I337" s="21" t="inlineStr">
        <is>
          <t>2024</t>
        </is>
      </c>
      <c r="J337" s="21" t="inlineStr">
        <is>
          <t xml:space="preserve"> 0</t>
        </is>
      </c>
      <c r="K337" s="30">
        <f>(E337-F337)/IF(E337&gt;0,E337,1)</f>
        <v/>
      </c>
    </row>
    <row r="338">
      <c r="A338" s="22" t="inlineStr">
        <is>
          <t>그림으로 배우는 AI</t>
        </is>
      </c>
      <c r="B338" s="22" t="inlineStr">
        <is>
          <t>미츠무라 나오키, 양성건</t>
        </is>
      </c>
      <c r="C338" s="22" t="inlineStr">
        <is>
          <t>영진닷컴</t>
        </is>
      </c>
      <c r="D338" s="22" t="inlineStr">
        <is>
          <t>2023년 10월</t>
        </is>
      </c>
      <c r="E338" s="28" t="n">
        <v>17000</v>
      </c>
      <c r="F338" s="28" t="n">
        <v>15300</v>
      </c>
      <c r="G338" s="29" t="n">
        <v>21</v>
      </c>
      <c r="H338" s="29" t="n">
        <v>906</v>
      </c>
      <c r="I338" s="21" t="inlineStr">
        <is>
          <t>2023</t>
        </is>
      </c>
      <c r="J338" s="21" t="inlineStr">
        <is>
          <t xml:space="preserve"> 1</t>
        </is>
      </c>
      <c r="K338" s="30">
        <f>(E338-F338)/IF(E338&gt;0,E338,1)</f>
        <v/>
      </c>
    </row>
    <row r="339">
      <c r="A339" s="22" t="inlineStr">
        <is>
          <t>AI 시대, 동네 사장님을 위한 요즘 마케팅</t>
        </is>
      </c>
      <c r="B339" s="22" t="inlineStr">
        <is>
          <t>은종성</t>
        </is>
      </c>
      <c r="C339" s="22" t="inlineStr">
        <is>
          <t>책길</t>
        </is>
      </c>
      <c r="D339" s="22" t="inlineStr">
        <is>
          <t>2026년 02월</t>
        </is>
      </c>
      <c r="E339" s="28" t="n">
        <v>19800</v>
      </c>
      <c r="F339" s="28" t="n">
        <v>17820</v>
      </c>
      <c r="G339" s="29" t="n">
        <v>14</v>
      </c>
      <c r="H339" s="29" t="n">
        <v>828</v>
      </c>
      <c r="I339" s="21" t="inlineStr">
        <is>
          <t>2026</t>
        </is>
      </c>
      <c r="J339" s="21" t="inlineStr">
        <is>
          <t xml:space="preserve"> 0</t>
        </is>
      </c>
      <c r="K339" s="30">
        <f>(E339-F339)/IF(E339&gt;0,E339,1)</f>
        <v/>
      </c>
    </row>
    <row r="340">
      <c r="A340" s="22" t="inlineStr">
        <is>
          <t>AI 초강국의 조건</t>
        </is>
      </c>
      <c r="B340" s="22" t="inlineStr">
        <is>
          <t>최윤식</t>
        </is>
      </c>
      <c r="C340" s="22" t="inlineStr">
        <is>
          <t>위즈덤하우스</t>
        </is>
      </c>
      <c r="D340" s="22" t="inlineStr">
        <is>
          <t>2025년 10월</t>
        </is>
      </c>
      <c r="E340" s="28" t="n">
        <v>20000</v>
      </c>
      <c r="F340" s="28" t="n">
        <v>18000</v>
      </c>
      <c r="G340" s="29" t="n">
        <v>16</v>
      </c>
      <c r="H340" s="29" t="n">
        <v>570</v>
      </c>
      <c r="I340" s="21" t="inlineStr">
        <is>
          <t>2025</t>
        </is>
      </c>
      <c r="J340" s="21" t="inlineStr">
        <is>
          <t xml:space="preserve"> 1</t>
        </is>
      </c>
      <c r="K340" s="30">
        <f>(E340-F340)/IF(E340&gt;0,E340,1)</f>
        <v/>
      </c>
    </row>
    <row r="341">
      <c r="A341" s="22" t="inlineStr">
        <is>
          <t>한 권으로 끝내는 미드저니</t>
        </is>
      </c>
      <c r="B341" s="22" t="inlineStr">
        <is>
          <t>민자경</t>
        </is>
      </c>
      <c r="C341" s="22" t="inlineStr">
        <is>
          <t>에듀웨이</t>
        </is>
      </c>
      <c r="D341" s="22" t="inlineStr">
        <is>
          <t>2025년 04월</t>
        </is>
      </c>
      <c r="E341" s="28" t="n">
        <v>23000</v>
      </c>
      <c r="F341" s="28" t="n">
        <v>20700</v>
      </c>
      <c r="G341" s="29" t="n">
        <v>12</v>
      </c>
      <c r="H341" s="29" t="n">
        <v>582</v>
      </c>
      <c r="I341" s="21" t="inlineStr">
        <is>
          <t>2025</t>
        </is>
      </c>
      <c r="J341" s="21" t="inlineStr">
        <is>
          <t xml:space="preserve"> 0</t>
        </is>
      </c>
      <c r="K341" s="30">
        <f>(E341-F341)/IF(E341&gt;0,E341,1)</f>
        <v/>
      </c>
    </row>
    <row r="342">
      <c r="A342" s="22" t="inlineStr">
        <is>
          <t>개발자를 위한 AI 알고리즘</t>
        </is>
      </c>
      <c r="B342" s="22" t="inlineStr">
        <is>
          <t>임란 아마드, 박지윤</t>
        </is>
      </c>
      <c r="C342" s="22" t="inlineStr">
        <is>
          <t>영진닷컴</t>
        </is>
      </c>
      <c r="D342" s="22" t="inlineStr">
        <is>
          <t>2025년 12월</t>
        </is>
      </c>
      <c r="E342" s="28" t="n">
        <v>35000</v>
      </c>
      <c r="F342" s="28" t="n">
        <v>31500</v>
      </c>
      <c r="G342" s="29" t="n">
        <v>16</v>
      </c>
      <c r="H342" s="29" t="n">
        <v>564</v>
      </c>
      <c r="I342" s="21" t="inlineStr">
        <is>
          <t>2025</t>
        </is>
      </c>
      <c r="J342" s="21" t="inlineStr">
        <is>
          <t xml:space="preserve"> 1</t>
        </is>
      </c>
      <c r="K342" s="30">
        <f>(E342-F342)/IF(E342&gt;0,E342,1)</f>
        <v/>
      </c>
    </row>
    <row r="343">
      <c r="A343" s="22" t="inlineStr">
        <is>
          <t>인공지능, 주식투자 좀 부탁해</t>
        </is>
      </c>
      <c r="B343" s="22" t="inlineStr">
        <is>
          <t>곽경일</t>
        </is>
      </c>
      <c r="C343" s="22" t="inlineStr">
        <is>
          <t>비제이퍼블릭(BJ퍼블릭)</t>
        </is>
      </c>
      <c r="D343" s="22" t="inlineStr">
        <is>
          <t>2023년 06월</t>
        </is>
      </c>
      <c r="E343" s="28" t="n">
        <v>25000</v>
      </c>
      <c r="F343" s="28" t="n">
        <v>22500</v>
      </c>
      <c r="G343" s="29" t="n">
        <v>23</v>
      </c>
      <c r="H343" s="29" t="n">
        <v>450</v>
      </c>
      <c r="I343" s="21" t="inlineStr">
        <is>
          <t>2023</t>
        </is>
      </c>
      <c r="J343" s="21" t="inlineStr">
        <is>
          <t xml:space="preserve"> 0</t>
        </is>
      </c>
      <c r="K343" s="30">
        <f>(E343-F343)/IF(E343&gt;0,E343,1)</f>
        <v/>
      </c>
    </row>
    <row r="344">
      <c r="A344" s="22" t="inlineStr">
        <is>
          <t>AI를 지배하라</t>
        </is>
      </c>
      <c r="B344" s="22" t="inlineStr">
        <is>
          <t>채수완</t>
        </is>
      </c>
      <c r="C344" s="22" t="inlineStr">
        <is>
          <t>도서출판청람</t>
        </is>
      </c>
      <c r="D344" s="22" t="inlineStr">
        <is>
          <t>2026년 04월</t>
        </is>
      </c>
      <c r="E344" s="28" t="n">
        <v>22000</v>
      </c>
      <c r="F344" s="28" t="n">
        <v>22000</v>
      </c>
      <c r="G344" s="29" t="n">
        <v>3</v>
      </c>
      <c r="H344" s="29" t="n">
        <v>510</v>
      </c>
      <c r="I344" s="21" t="inlineStr">
        <is>
          <t>2026</t>
        </is>
      </c>
      <c r="J344" s="21" t="inlineStr">
        <is>
          <t xml:space="preserve"> 0</t>
        </is>
      </c>
      <c r="K344" s="30">
        <f>(E344-F344)/IF(E344&gt;0,E344,1)</f>
        <v/>
      </c>
    </row>
    <row r="345">
      <c r="A345" s="22" t="inlineStr">
        <is>
          <t>스토리텔링 생성형 AI, 코스페이시스 에듀를 만나다</t>
        </is>
      </c>
      <c r="B345" s="22" t="inlineStr">
        <is>
          <t>송해남, 김태령, 박기림, 박미림, 최형윤, 정보 더 보기/감추기, 송해남, 김태령, 박기림, 박미림, 최형윤, 전혜린</t>
        </is>
      </c>
      <c r="C345" s="22" t="inlineStr">
        <is>
          <t>광문각출판미디어</t>
        </is>
      </c>
      <c r="D345" s="22" t="inlineStr">
        <is>
          <t>2025년 03월</t>
        </is>
      </c>
      <c r="E345" s="28" t="n">
        <v>19000</v>
      </c>
      <c r="F345" s="28" t="n">
        <v>19000</v>
      </c>
      <c r="G345" s="29" t="n">
        <v>22</v>
      </c>
      <c r="H345" s="29" t="n">
        <v>408</v>
      </c>
      <c r="I345" s="21" t="inlineStr">
        <is>
          <t>2025</t>
        </is>
      </c>
      <c r="J345" s="21" t="inlineStr">
        <is>
          <t xml:space="preserve"> 0</t>
        </is>
      </c>
      <c r="K345" s="30">
        <f>(E345-F345)/IF(E345&gt;0,E345,1)</f>
        <v/>
      </c>
    </row>
    <row r="346">
      <c r="A346" s="22" t="inlineStr">
        <is>
          <t>AI 증강 독해와 AI 드리블링 바이블 개념·기초 편</t>
        </is>
      </c>
      <c r="B346" s="22" t="inlineStr">
        <is>
          <t>나준호, 성낙환, 이하영</t>
        </is>
      </c>
      <c r="C346" s="22" t="inlineStr">
        <is>
          <t>성안당</t>
        </is>
      </c>
      <c r="D346" s="22" t="inlineStr">
        <is>
          <t>2026년 02월</t>
        </is>
      </c>
      <c r="E346" s="28" t="n">
        <v>25000</v>
      </c>
      <c r="F346" s="28" t="n">
        <v>22500</v>
      </c>
      <c r="G346" s="29" t="n">
        <v>26</v>
      </c>
      <c r="H346" s="29" t="n">
        <v>336</v>
      </c>
      <c r="I346" s="21" t="inlineStr">
        <is>
          <t>2026</t>
        </is>
      </c>
      <c r="J346" s="21" t="inlineStr">
        <is>
          <t xml:space="preserve"> 0</t>
        </is>
      </c>
      <c r="K346" s="30">
        <f>(E346-F346)/IF(E346&gt;0,E346,1)</f>
        <v/>
      </c>
    </row>
    <row r="347">
      <c r="A347" s="22" t="inlineStr">
        <is>
          <t>생성형 AI 투닝, 수업의 터닝포인트가 되다 vol.1</t>
        </is>
      </c>
      <c r="B347" s="22" t="inlineStr">
        <is>
          <t>툰스퀘어, 에듀테크교사연구회</t>
        </is>
      </c>
      <c r="C347" s="22" t="inlineStr">
        <is>
          <t>툰스퀘어</t>
        </is>
      </c>
      <c r="D347" s="22" t="inlineStr">
        <is>
          <t>2024년 07월</t>
        </is>
      </c>
      <c r="E347" s="28" t="n">
        <v>18000</v>
      </c>
      <c r="F347" s="28" t="n">
        <v>16200</v>
      </c>
      <c r="G347" s="29" t="n">
        <v>9</v>
      </c>
      <c r="H347" s="29" t="n">
        <v>432</v>
      </c>
      <c r="I347" s="21" t="inlineStr">
        <is>
          <t>2024</t>
        </is>
      </c>
      <c r="J347" s="21" t="inlineStr">
        <is>
          <t xml:space="preserve"> 0</t>
        </is>
      </c>
      <c r="K347" s="30">
        <f>(E347-F347)/IF(E347&gt;0,E347,1)</f>
        <v/>
      </c>
    </row>
    <row r="348">
      <c r="A348" s="22" t="inlineStr">
        <is>
          <t>시니어를 위한 똑똑한 AI 생활 with 챗GPT</t>
        </is>
      </c>
      <c r="B348" s="22" t="inlineStr">
        <is>
          <t>진현주</t>
        </is>
      </c>
      <c r="C348" s="22" t="inlineStr">
        <is>
          <t>시대인</t>
        </is>
      </c>
      <c r="D348" s="22" t="inlineStr">
        <is>
          <t>2025년 03월</t>
        </is>
      </c>
      <c r="E348" s="28" t="n">
        <v>13000</v>
      </c>
      <c r="F348" s="28" t="n">
        <v>11700</v>
      </c>
      <c r="G348" s="29" t="n">
        <v>13</v>
      </c>
      <c r="H348" s="29" t="n">
        <v>312</v>
      </c>
      <c r="I348" s="21" t="inlineStr">
        <is>
          <t>2025</t>
        </is>
      </c>
      <c r="J348" s="21" t="inlineStr">
        <is>
          <t xml:space="preserve"> 0</t>
        </is>
      </c>
      <c r="K348" s="30">
        <f>(E348-F348)/IF(E348&gt;0,E348,1)</f>
        <v/>
      </c>
    </row>
    <row r="349">
      <c r="A349" s="22" t="inlineStr">
        <is>
          <t>AI 시대, 일 잘하는 사람들의 비밀</t>
        </is>
      </c>
      <c r="B349" s="22" t="inlineStr">
        <is>
          <t>남시언</t>
        </is>
      </c>
      <c r="C349" s="22" t="inlineStr">
        <is>
          <t>아티오</t>
        </is>
      </c>
      <c r="D349" s="22" t="inlineStr">
        <is>
          <t>2025년 09월</t>
        </is>
      </c>
      <c r="E349" s="28" t="n">
        <v>22000</v>
      </c>
      <c r="F349" s="28" t="n">
        <v>19800</v>
      </c>
      <c r="G349" s="29" t="n">
        <v>7</v>
      </c>
      <c r="H349" s="29" t="n">
        <v>258</v>
      </c>
      <c r="I349" s="21" t="inlineStr">
        <is>
          <t>2025</t>
        </is>
      </c>
      <c r="J349" s="21" t="inlineStr">
        <is>
          <t xml:space="preserve"> 0</t>
        </is>
      </c>
      <c r="K349" s="30">
        <f>(E349-F349)/IF(E349&gt;0,E349,1)</f>
        <v/>
      </c>
    </row>
    <row r="350">
      <c r="A350" s="22" t="inlineStr">
        <is>
          <t>피지컬 AI 프런티어</t>
        </is>
      </c>
      <c r="B350" s="22" t="inlineStr">
        <is>
          <t>김동환, 최영호</t>
        </is>
      </c>
      <c r="C350" s="22" t="inlineStr">
        <is>
          <t>에이콘온</t>
        </is>
      </c>
      <c r="D350" s="22" t="inlineStr">
        <is>
          <t>2026년 04월</t>
        </is>
      </c>
      <c r="E350" s="28" t="n">
        <v>28000</v>
      </c>
      <c r="F350" s="28" t="n">
        <v>25200</v>
      </c>
      <c r="G350" s="29" t="n">
        <v>6</v>
      </c>
      <c r="H350" s="29" t="n">
        <v>156</v>
      </c>
      <c r="I350" s="21" t="inlineStr">
        <is>
          <t>2026</t>
        </is>
      </c>
      <c r="J350" s="21" t="inlineStr">
        <is>
          <t xml:space="preserve"> 0</t>
        </is>
      </c>
      <c r="K350" s="30">
        <f>(E350-F350)/IF(E350&gt;0,E350,1)</f>
        <v/>
      </c>
    </row>
    <row r="351">
      <c r="A351" s="22" t="inlineStr">
        <is>
          <t>생성형 AI 건축 디자인 인테리어·가구·조경까지</t>
        </is>
      </c>
      <c r="B351" s="22" t="inlineStr">
        <is>
          <t>김현수</t>
        </is>
      </c>
      <c r="C351" s="22" t="inlineStr">
        <is>
          <t>책바세</t>
        </is>
      </c>
      <c r="D351" s="22" t="inlineStr">
        <is>
          <t>2024년 04월</t>
        </is>
      </c>
      <c r="E351" s="28" t="n">
        <v>26000</v>
      </c>
      <c r="F351" s="28" t="n">
        <v>23400</v>
      </c>
      <c r="G351" s="29" t="n">
        <v>7</v>
      </c>
      <c r="H351" s="29" t="n">
        <v>1353</v>
      </c>
      <c r="I351" s="21" t="inlineStr">
        <is>
          <t>2024</t>
        </is>
      </c>
      <c r="J351" s="21" t="inlineStr">
        <is>
          <t xml:space="preserve"> 0</t>
        </is>
      </c>
      <c r="K351" s="30">
        <f>(E351-F351)/IF(E351&gt;0,E351,1)</f>
        <v/>
      </c>
    </row>
    <row r="352">
      <c r="A352" s="22" t="inlineStr">
        <is>
          <t>AI시대, 스마트하게 글쓰기</t>
        </is>
      </c>
      <c r="B352" s="22" t="inlineStr">
        <is>
          <t>최전혁</t>
        </is>
      </c>
      <c r="C352" s="22" t="inlineStr">
        <is>
          <t>두현</t>
        </is>
      </c>
      <c r="D352" s="22" t="inlineStr">
        <is>
          <t>2026년 01월</t>
        </is>
      </c>
      <c r="E352" s="28" t="n">
        <v>20000</v>
      </c>
      <c r="F352" s="28" t="n">
        <v>18000</v>
      </c>
      <c r="G352" s="29" t="n">
        <v>0</v>
      </c>
      <c r="H352" s="29" t="n">
        <v>156</v>
      </c>
      <c r="I352" s="21" t="inlineStr">
        <is>
          <t>2026</t>
        </is>
      </c>
      <c r="J352" s="21" t="inlineStr">
        <is>
          <t xml:space="preserve"> 0</t>
        </is>
      </c>
      <c r="K352" s="30">
        <f>(E352-F352)/IF(E352&gt;0,E352,1)</f>
        <v/>
      </c>
    </row>
    <row r="353">
      <c r="A353" s="22" t="inlineStr">
        <is>
          <t>피지컬 AI</t>
        </is>
      </c>
      <c r="B353" s="22" t="inlineStr">
        <is>
          <t>유형근, 이정헌</t>
        </is>
      </c>
      <c r="C353" s="22" t="inlineStr">
        <is>
          <t>홍릉</t>
        </is>
      </c>
      <c r="D353" s="22" t="inlineStr">
        <is>
          <t>2026년 05월</t>
        </is>
      </c>
      <c r="E353" s="28" t="n">
        <v>65000</v>
      </c>
      <c r="F353" s="28" t="n">
        <v>65000</v>
      </c>
      <c r="G353" s="29" t="n">
        <v>0</v>
      </c>
      <c r="H353" s="29" t="n">
        <v>186</v>
      </c>
      <c r="I353" s="21" t="inlineStr">
        <is>
          <t>2026</t>
        </is>
      </c>
      <c r="J353" s="21" t="inlineStr">
        <is>
          <t xml:space="preserve"> 0</t>
        </is>
      </c>
      <c r="K353" s="30">
        <f>(E353-F353)/IF(E353&gt;0,E353,1)</f>
        <v/>
      </c>
    </row>
    <row r="354">
      <c r="A354" s="22" t="inlineStr">
        <is>
          <t>난생처음 인공지능 with 스크래치</t>
        </is>
      </c>
      <c r="B354" s="22" t="inlineStr">
        <is>
          <t>고광일</t>
        </is>
      </c>
      <c r="C354" s="22" t="inlineStr">
        <is>
          <t>한빛아카데미</t>
        </is>
      </c>
      <c r="D354" s="22" t="inlineStr">
        <is>
          <t>2023년 10월</t>
        </is>
      </c>
      <c r="E354" s="28" t="n">
        <v>25000</v>
      </c>
      <c r="F354" s="28" t="n">
        <v>25000</v>
      </c>
      <c r="G354" s="29" t="n">
        <v>3</v>
      </c>
      <c r="H354" s="29" t="n">
        <v>1230</v>
      </c>
      <c r="I354" s="21" t="inlineStr">
        <is>
          <t>2023</t>
        </is>
      </c>
      <c r="J354" s="21" t="inlineStr">
        <is>
          <t xml:space="preserve"> 1</t>
        </is>
      </c>
      <c r="K354" s="30">
        <f>(E354-F354)/IF(E354&gt;0,E354,1)</f>
        <v/>
      </c>
    </row>
    <row r="355">
      <c r="A355" s="22" t="inlineStr">
        <is>
          <t>음악과 AI 기술 트렌드 2026</t>
        </is>
      </c>
      <c r="B355" s="22" t="inlineStr">
        <is>
          <t>이주원, 이지원, 백설우, 김순근, 장용철, 정보 더 보기/감추기, 이주원, 이지원, 백설우, 김순근, 장용철, 한일명, 김용호, 최안식</t>
        </is>
      </c>
      <c r="C355" s="22" t="inlineStr">
        <is>
          <t>팀스토리</t>
        </is>
      </c>
      <c r="D355" s="22" t="inlineStr">
        <is>
          <t>2026년 04월</t>
        </is>
      </c>
      <c r="E355" s="28" t="n">
        <v>30000</v>
      </c>
      <c r="F355" s="28" t="n">
        <v>30000</v>
      </c>
      <c r="G355" s="29" t="n">
        <v>0</v>
      </c>
      <c r="H355" s="29" t="n">
        <v>96</v>
      </c>
      <c r="I355" s="21" t="inlineStr">
        <is>
          <t>2026</t>
        </is>
      </c>
      <c r="J355" s="21" t="inlineStr">
        <is>
          <t xml:space="preserve"> 0</t>
        </is>
      </c>
      <c r="K355" s="30">
        <f>(E355-F355)/IF(E355&gt;0,E355,1)</f>
        <v/>
      </c>
    </row>
    <row r="356">
      <c r="A356" s="22" t="inlineStr">
        <is>
          <t>생성형 AI를 활용한 논문 작성법</t>
        </is>
      </c>
      <c r="B356" s="22" t="inlineStr">
        <is>
          <t>김귀훈</t>
        </is>
      </c>
      <c r="C356" s="22" t="inlineStr">
        <is>
          <t>홍릉</t>
        </is>
      </c>
      <c r="D356" s="22" t="inlineStr">
        <is>
          <t>2025년 06월</t>
        </is>
      </c>
      <c r="E356" s="28" t="n">
        <v>29000</v>
      </c>
      <c r="F356" s="28" t="n">
        <v>29000</v>
      </c>
      <c r="G356" s="29" t="n">
        <v>0</v>
      </c>
      <c r="H356" s="29" t="n">
        <v>930</v>
      </c>
      <c r="I356" s="21" t="inlineStr">
        <is>
          <t>2025</t>
        </is>
      </c>
      <c r="J356" s="21" t="inlineStr">
        <is>
          <t xml:space="preserve"> 0</t>
        </is>
      </c>
      <c r="K356" s="30">
        <f>(E356-F356)/IF(E356&gt;0,E356,1)</f>
        <v/>
      </c>
    </row>
    <row r="357">
      <c r="A357" s="22" t="inlineStr">
        <is>
          <t>AI 인류혁명</t>
        </is>
      </c>
      <c r="B357" s="22" t="inlineStr">
        <is>
          <t>안종배</t>
        </is>
      </c>
      <c r="C357" s="22" t="inlineStr">
        <is>
          <t>박영사</t>
        </is>
      </c>
      <c r="D357" s="22" t="inlineStr">
        <is>
          <t>2025년 10월</t>
        </is>
      </c>
      <c r="E357" s="28" t="n">
        <v>10000</v>
      </c>
      <c r="F357" s="28" t="n">
        <v>10000</v>
      </c>
      <c r="G357" s="29" t="n">
        <v>8</v>
      </c>
      <c r="H357" s="29" t="n">
        <v>1050</v>
      </c>
      <c r="I357" s="21" t="inlineStr">
        <is>
          <t>2025</t>
        </is>
      </c>
      <c r="J357" s="21" t="inlineStr">
        <is>
          <t xml:space="preserve"> 1</t>
        </is>
      </c>
      <c r="K357" s="30">
        <f>(E357-F357)/IF(E357&gt;0,E357,1)</f>
        <v/>
      </c>
    </row>
    <row r="358">
      <c r="A358" s="22" t="inlineStr">
        <is>
          <t>챗GPT 120% 투자 질문 기술</t>
        </is>
      </c>
      <c r="B358" s="22" t="inlineStr">
        <is>
          <t>ChatGPT 비즈니스 연구회, 김모세</t>
        </is>
      </c>
      <c r="C358" s="22" t="inlineStr">
        <is>
          <t>정보문화사</t>
        </is>
      </c>
      <c r="D358" s="22" t="inlineStr">
        <is>
          <t>2025년 06월</t>
        </is>
      </c>
      <c r="E358" s="28" t="n">
        <v>15000</v>
      </c>
      <c r="F358" s="28" t="n">
        <v>13500</v>
      </c>
      <c r="G358" s="29" t="n">
        <v>22</v>
      </c>
      <c r="H358" s="29" t="n">
        <v>933</v>
      </c>
      <c r="I358" s="21" t="inlineStr">
        <is>
          <t>2025</t>
        </is>
      </c>
      <c r="J358" s="21" t="inlineStr">
        <is>
          <t xml:space="preserve"> 0</t>
        </is>
      </c>
      <c r="K358" s="30">
        <f>(E358-F358)/IF(E358&gt;0,E358,1)</f>
        <v/>
      </c>
    </row>
    <row r="359">
      <c r="A359" s="22" t="inlineStr">
        <is>
          <t>대체불가 AI 교사 업무 자동화</t>
        </is>
      </c>
      <c r="B359" s="22" t="inlineStr">
        <is>
          <t>이승우</t>
        </is>
      </c>
      <c r="C359" s="22" t="inlineStr">
        <is>
          <t>책바세</t>
        </is>
      </c>
      <c r="D359" s="22" t="inlineStr">
        <is>
          <t>2025년 04월</t>
        </is>
      </c>
      <c r="E359" s="28" t="n">
        <v>24000</v>
      </c>
      <c r="F359" s="28" t="n">
        <v>21600</v>
      </c>
      <c r="G359" s="29" t="n">
        <v>11</v>
      </c>
      <c r="H359" s="29" t="n">
        <v>1236</v>
      </c>
      <c r="I359" s="21" t="inlineStr">
        <is>
          <t>2025</t>
        </is>
      </c>
      <c r="J359" s="21" t="inlineStr">
        <is>
          <t xml:space="preserve"> 0</t>
        </is>
      </c>
      <c r="K359" s="30">
        <f>(E359-F359)/IF(E359&gt;0,E359,1)</f>
        <v/>
      </c>
    </row>
    <row r="360">
      <c r="A360" s="22" t="inlineStr">
        <is>
          <t>데이터를 읽는 사람은 언제나 강하다</t>
        </is>
      </c>
      <c r="B360" s="22" t="inlineStr">
        <is>
          <t>노무라종합연구소 데이터사이언스랩, 전선영</t>
        </is>
      </c>
      <c r="C360" s="22" t="inlineStr">
        <is>
          <t>머스트리드북</t>
        </is>
      </c>
      <c r="D360" s="22" t="inlineStr">
        <is>
          <t>2024년 11월</t>
        </is>
      </c>
      <c r="E360" s="28" t="n">
        <v>17000</v>
      </c>
      <c r="F360" s="28" t="n">
        <v>15300</v>
      </c>
      <c r="G360" s="29" t="n">
        <v>15</v>
      </c>
      <c r="H360" s="29" t="n">
        <v>924</v>
      </c>
      <c r="I360" s="21" t="inlineStr">
        <is>
          <t>2024</t>
        </is>
      </c>
      <c r="J360" s="21" t="inlineStr">
        <is>
          <t xml:space="preserve"> 1</t>
        </is>
      </c>
      <c r="K360" s="30">
        <f>(E360-F360)/IF(E360&gt;0,E360,1)</f>
        <v/>
      </c>
    </row>
    <row r="361">
      <c r="A361" s="22" t="inlineStr">
        <is>
          <t>시민 개발자의 시대, 생성형 AI 업무 자동화</t>
        </is>
      </c>
      <c r="B361" s="22" t="inlineStr">
        <is>
          <t>비현코</t>
        </is>
      </c>
      <c r="C361" s="22" t="inlineStr">
        <is>
          <t>영진닷컴</t>
        </is>
      </c>
      <c r="D361" s="22" t="inlineStr">
        <is>
          <t>2025년 06월</t>
        </is>
      </c>
      <c r="E361" s="28" t="n">
        <v>24000</v>
      </c>
      <c r="F361" s="28" t="n">
        <v>21600</v>
      </c>
      <c r="G361" s="29" t="n">
        <v>8</v>
      </c>
      <c r="H361" s="29" t="n">
        <v>792</v>
      </c>
      <c r="I361" s="21" t="inlineStr">
        <is>
          <t>2025</t>
        </is>
      </c>
      <c r="J361" s="21" t="inlineStr">
        <is>
          <t xml:space="preserve"> 0</t>
        </is>
      </c>
      <c r="K361" s="30">
        <f>(E361-F361)/IF(E361&gt;0,E361,1)</f>
        <v/>
      </c>
    </row>
    <row r="362">
      <c r="A362" s="22" t="inlineStr">
        <is>
          <t>인공지능과 뇌는 어떻게 생각하는가</t>
        </is>
      </c>
      <c r="B362" s="22" t="inlineStr">
        <is>
          <t>이상완</t>
        </is>
      </c>
      <c r="C362" s="22" t="inlineStr">
        <is>
          <t>솔</t>
        </is>
      </c>
      <c r="D362" s="22" t="inlineStr">
        <is>
          <t>2022년 09월</t>
        </is>
      </c>
      <c r="E362" s="28" t="n">
        <v>18000</v>
      </c>
      <c r="F362" s="28" t="n">
        <v>16200</v>
      </c>
      <c r="G362" s="29" t="n">
        <v>58</v>
      </c>
      <c r="H362" s="29" t="n">
        <v>762</v>
      </c>
      <c r="I362" s="21" t="inlineStr">
        <is>
          <t>2022</t>
        </is>
      </c>
      <c r="J362" s="21" t="inlineStr">
        <is>
          <t xml:space="preserve"> 0</t>
        </is>
      </c>
      <c r="K362" s="30">
        <f>(E362-F362)/IF(E362&gt;0,E362,1)</f>
        <v/>
      </c>
    </row>
    <row r="363">
      <c r="A363" s="22" t="inlineStr">
        <is>
          <t>진짜 업무에 쓰는 챗GPT 노코드 데이터 분석</t>
        </is>
      </c>
      <c r="B363" s="22" t="inlineStr">
        <is>
          <t>머신러너</t>
        </is>
      </c>
      <c r="C363" s="22" t="inlineStr">
        <is>
          <t>디지털북스</t>
        </is>
      </c>
      <c r="D363" s="22" t="inlineStr">
        <is>
          <t>2025년 03월</t>
        </is>
      </c>
      <c r="E363" s="28" t="n">
        <v>33000</v>
      </c>
      <c r="F363" s="28" t="n">
        <v>29700</v>
      </c>
      <c r="G363" s="29" t="n">
        <v>6</v>
      </c>
      <c r="H363" s="29" t="n">
        <v>732</v>
      </c>
      <c r="I363" s="21" t="inlineStr">
        <is>
          <t>2025</t>
        </is>
      </c>
      <c r="J363" s="21" t="inlineStr">
        <is>
          <t xml:space="preserve"> 0</t>
        </is>
      </c>
      <c r="K363" s="30">
        <f>(E363-F363)/IF(E363&gt;0,E363,1)</f>
        <v/>
      </c>
    </row>
    <row r="364">
      <c r="A364" s="22" t="inlineStr">
        <is>
          <t>딥러닝의 정석 with 파이토치</t>
        </is>
      </c>
      <c r="B364" s="22" t="inlineStr">
        <is>
          <t>김현정, 유상현</t>
        </is>
      </c>
      <c r="C364" s="22" t="inlineStr">
        <is>
          <t>길벗캠퍼스</t>
        </is>
      </c>
      <c r="D364" s="22" t="inlineStr">
        <is>
          <t>2025년 09월</t>
        </is>
      </c>
      <c r="E364" s="28" t="n">
        <v>34000</v>
      </c>
      <c r="F364" s="28" t="n">
        <v>34000</v>
      </c>
      <c r="G364" s="29" t="n">
        <v>0</v>
      </c>
      <c r="H364" s="29" t="n">
        <v>738</v>
      </c>
      <c r="I364" s="21" t="inlineStr">
        <is>
          <t>2025</t>
        </is>
      </c>
      <c r="J364" s="21" t="inlineStr">
        <is>
          <t xml:space="preserve"> 0</t>
        </is>
      </c>
      <c r="K364" s="30">
        <f>(E364-F364)/IF(E364&gt;0,E364,1)</f>
        <v/>
      </c>
    </row>
    <row r="365">
      <c r="A365" s="22" t="inlineStr">
        <is>
          <t>AI 덕분에 오늘도 칼퇴합니다</t>
        </is>
      </c>
      <c r="B365" s="22" t="inlineStr">
        <is>
          <t>박소이</t>
        </is>
      </c>
      <c r="C365" s="22" t="inlineStr">
        <is>
          <t>비전코리아</t>
        </is>
      </c>
      <c r="D365" s="22" t="inlineStr">
        <is>
          <t>2025년 05월</t>
        </is>
      </c>
      <c r="E365" s="28" t="n">
        <v>16800</v>
      </c>
      <c r="F365" s="28" t="n">
        <v>15120</v>
      </c>
      <c r="G365" s="29" t="n">
        <v>65</v>
      </c>
      <c r="H365" s="29" t="n">
        <v>990</v>
      </c>
      <c r="I365" s="21" t="inlineStr">
        <is>
          <t>2025</t>
        </is>
      </c>
      <c r="J365" s="21" t="inlineStr">
        <is>
          <t xml:space="preserve"> 0</t>
        </is>
      </c>
      <c r="K365" s="30">
        <f>(E365-F365)/IF(E365&gt;0,E365,1)</f>
        <v/>
      </c>
    </row>
    <row r="366">
      <c r="A366" s="22" t="inlineStr">
        <is>
          <t>미드저니 마스터 바이블</t>
        </is>
      </c>
      <c r="B366" s="22" t="inlineStr">
        <is>
          <t>조남경</t>
        </is>
      </c>
      <c r="C366" s="22" t="inlineStr">
        <is>
          <t>비엘북스</t>
        </is>
      </c>
      <c r="D366" s="22" t="inlineStr">
        <is>
          <t>2025년 04월</t>
        </is>
      </c>
      <c r="E366" s="28" t="n">
        <v>33000</v>
      </c>
      <c r="F366" s="28" t="n">
        <v>29700</v>
      </c>
      <c r="G366" s="29" t="n">
        <v>8</v>
      </c>
      <c r="H366" s="29" t="n">
        <v>3084</v>
      </c>
      <c r="I366" s="21" t="inlineStr">
        <is>
          <t>2025</t>
        </is>
      </c>
      <c r="J366" s="21" t="inlineStr">
        <is>
          <t xml:space="preserve"> 0</t>
        </is>
      </c>
      <c r="K366" s="30">
        <f>(E366-F366)/IF(E366&gt;0,E366,1)</f>
        <v/>
      </c>
    </row>
    <row r="367">
      <c r="A367" s="22" t="inlineStr">
        <is>
          <t>챗GPT·퍼플렉시티·클로드·코파일럿·제미나이 다 잘함</t>
        </is>
      </c>
      <c r="B367" s="22" t="inlineStr">
        <is>
          <t>이호정</t>
        </is>
      </c>
      <c r="C367" s="22" t="inlineStr">
        <is>
          <t>리코멘드</t>
        </is>
      </c>
      <c r="D367" s="22" t="inlineStr">
        <is>
          <t>2025년 01월</t>
        </is>
      </c>
      <c r="E367" s="28" t="n">
        <v>24000</v>
      </c>
      <c r="F367" s="28" t="n">
        <v>21600</v>
      </c>
      <c r="G367" s="29" t="n">
        <v>14</v>
      </c>
      <c r="H367" s="29" t="n">
        <v>3036</v>
      </c>
      <c r="I367" s="21" t="inlineStr">
        <is>
          <t>2025</t>
        </is>
      </c>
      <c r="J367" s="21" t="inlineStr">
        <is>
          <t xml:space="preserve"> 0</t>
        </is>
      </c>
      <c r="K367" s="30">
        <f>(E367-F367)/IF(E367&gt;0,E367,1)</f>
        <v/>
      </c>
    </row>
    <row r="368">
      <c r="A368" s="22" t="inlineStr">
        <is>
          <t>커서 AI로 나만의 수익형 앱 서비스 만들기</t>
        </is>
      </c>
      <c r="B368" s="22" t="inlineStr">
        <is>
          <t>빈센트</t>
        </is>
      </c>
      <c r="C368" s="22" t="inlineStr">
        <is>
          <t>루비페이퍼</t>
        </is>
      </c>
      <c r="D368" s="22" t="inlineStr">
        <is>
          <t>2025년 06월</t>
        </is>
      </c>
      <c r="E368" s="28" t="n">
        <v>28000</v>
      </c>
      <c r="F368" s="28" t="n">
        <v>25200</v>
      </c>
      <c r="G368" s="29" t="n">
        <v>4</v>
      </c>
      <c r="H368" s="29" t="n">
        <v>2808</v>
      </c>
      <c r="I368" s="21" t="inlineStr">
        <is>
          <t>2025</t>
        </is>
      </c>
      <c r="J368" s="21" t="inlineStr">
        <is>
          <t xml:space="preserve"> 0</t>
        </is>
      </c>
      <c r="K368" s="30">
        <f>(E368-F368)/IF(E368&gt;0,E368,1)</f>
        <v/>
      </c>
    </row>
    <row r="369">
      <c r="A369" s="22" t="inlineStr">
        <is>
          <t>1일 1단어 1분으로 끝내는 AI공부</t>
        </is>
      </c>
      <c r="B369" s="22" t="inlineStr">
        <is>
          <t>최재운</t>
        </is>
      </c>
      <c r="C369" s="22" t="inlineStr">
        <is>
          <t>글담</t>
        </is>
      </c>
      <c r="D369" s="22" t="inlineStr">
        <is>
          <t>2024년 10월</t>
        </is>
      </c>
      <c r="E369" s="28" t="n">
        <v>17000</v>
      </c>
      <c r="F369" s="28" t="n">
        <v>15300</v>
      </c>
      <c r="G369" s="29" t="n">
        <v>29</v>
      </c>
      <c r="H369" s="29" t="n">
        <v>654</v>
      </c>
      <c r="I369" s="21" t="inlineStr">
        <is>
          <t>2024</t>
        </is>
      </c>
      <c r="J369" s="21" t="inlineStr">
        <is>
          <t xml:space="preserve"> 1</t>
        </is>
      </c>
      <c r="K369" s="30">
        <f>(E369-F369)/IF(E369&gt;0,E369,1)</f>
        <v/>
      </c>
    </row>
    <row r="370">
      <c r="A370" s="22" t="inlineStr">
        <is>
          <t>1784</t>
        </is>
      </c>
      <c r="B370" s="22" t="inlineStr">
        <is>
          <t>네이버 1784 TF</t>
        </is>
      </c>
      <c r="C370" s="22" t="inlineStr">
        <is>
          <t>NAVER</t>
        </is>
      </c>
      <c r="D370" s="22" t="inlineStr">
        <is>
          <t>2024년 08월</t>
        </is>
      </c>
      <c r="E370" s="28" t="n">
        <v>22000</v>
      </c>
      <c r="F370" s="28" t="n">
        <v>19800</v>
      </c>
      <c r="G370" s="29" t="n">
        <v>9</v>
      </c>
      <c r="H370" s="29" t="n">
        <v>732</v>
      </c>
      <c r="I370" s="21" t="inlineStr">
        <is>
          <t>2024</t>
        </is>
      </c>
      <c r="J370" s="21" t="inlineStr">
        <is>
          <t xml:space="preserve"> 0</t>
        </is>
      </c>
      <c r="K370" s="30">
        <f>(E370-F370)/IF(E370&gt;0,E370,1)</f>
        <v/>
      </c>
    </row>
    <row r="371">
      <c r="A371" s="22" t="inlineStr">
        <is>
          <t>트랜스포머로 시작하는 언어 모델과 생성형 인공지능</t>
        </is>
      </c>
      <c r="B371" s="22" t="inlineStr">
        <is>
          <t>추형석</t>
        </is>
      </c>
      <c r="C371" s="22" t="inlineStr">
        <is>
          <t>위즈앤북</t>
        </is>
      </c>
      <c r="D371" s="22" t="inlineStr">
        <is>
          <t>2025년 01월</t>
        </is>
      </c>
      <c r="E371" s="28" t="n">
        <v>17800</v>
      </c>
      <c r="F371" s="28" t="n">
        <v>16020</v>
      </c>
      <c r="G371" s="29" t="n">
        <v>4</v>
      </c>
      <c r="H371" s="29" t="n">
        <v>540</v>
      </c>
      <c r="I371" s="21" t="inlineStr">
        <is>
          <t>2025</t>
        </is>
      </c>
      <c r="J371" s="21" t="inlineStr">
        <is>
          <t xml:space="preserve"> 0</t>
        </is>
      </c>
      <c r="K371" s="30">
        <f>(E371-F371)/IF(E371&gt;0,E371,1)</f>
        <v/>
      </c>
    </row>
    <row r="372">
      <c r="A372" s="22" t="inlineStr">
        <is>
          <t>최적합 프롬프트엔지니어 2급</t>
        </is>
      </c>
      <c r="B372" s="22" t="inlineStr">
        <is>
          <t>김현정</t>
        </is>
      </c>
      <c r="C372" s="22" t="inlineStr">
        <is>
          <t>성안당</t>
        </is>
      </c>
      <c r="D372" s="22" t="inlineStr">
        <is>
          <t>2025년 04월</t>
        </is>
      </c>
      <c r="E372" s="28" t="n">
        <v>20000</v>
      </c>
      <c r="F372" s="28" t="n">
        <v>18000</v>
      </c>
      <c r="G372" s="29" t="n">
        <v>1</v>
      </c>
      <c r="H372" s="29" t="n">
        <v>540</v>
      </c>
      <c r="I372" s="21" t="inlineStr">
        <is>
          <t>2025</t>
        </is>
      </c>
      <c r="J372" s="21" t="inlineStr">
        <is>
          <t xml:space="preserve"> 0</t>
        </is>
      </c>
      <c r="K372" s="30">
        <f>(E372-F372)/IF(E372&gt;0,E372,1)</f>
        <v/>
      </c>
    </row>
    <row r="373">
      <c r="A373" s="22" t="inlineStr">
        <is>
          <t>흥미로운 베이지안 통계</t>
        </is>
      </c>
      <c r="B373" s="22" t="inlineStr">
        <is>
          <t>윌 커트, 윤정미</t>
        </is>
      </c>
      <c r="C373" s="22" t="inlineStr">
        <is>
          <t>에이콘출판사</t>
        </is>
      </c>
      <c r="D373" s="22" t="inlineStr">
        <is>
          <t>2020년 12월</t>
        </is>
      </c>
      <c r="E373" s="28" t="n">
        <v>30000</v>
      </c>
      <c r="F373" s="28" t="n">
        <v>27000</v>
      </c>
      <c r="G373" s="29" t="n">
        <v>7</v>
      </c>
      <c r="H373" s="29" t="n">
        <v>534</v>
      </c>
      <c r="I373" s="21" t="inlineStr">
        <is>
          <t>2020</t>
        </is>
      </c>
      <c r="J373" s="21" t="inlineStr">
        <is>
          <t xml:space="preserve"> 1</t>
        </is>
      </c>
      <c r="K373" s="30">
        <f>(E373-F373)/IF(E373&gt;0,E373,1)</f>
        <v/>
      </c>
    </row>
    <row r="374">
      <c r="A374" s="22" t="inlineStr">
        <is>
          <t>Amazon Bedrock으로 시작하는 실전 생성형 AI 개발</t>
        </is>
      </c>
      <c r="B374" s="22" t="inlineStr">
        <is>
          <t>임지훈, 최성우</t>
        </is>
      </c>
      <c r="C374" s="22" t="inlineStr">
        <is>
          <t>디지털북스</t>
        </is>
      </c>
      <c r="D374" s="22" t="inlineStr">
        <is>
          <t>2025년 01월</t>
        </is>
      </c>
      <c r="E374" s="28" t="n">
        <v>22000</v>
      </c>
      <c r="F374" s="28" t="n">
        <v>19800</v>
      </c>
      <c r="G374" s="29" t="n">
        <v>8</v>
      </c>
      <c r="H374" s="29" t="n">
        <v>648</v>
      </c>
      <c r="I374" s="21" t="inlineStr">
        <is>
          <t>2025</t>
        </is>
      </c>
      <c r="J374" s="21" t="inlineStr">
        <is>
          <t xml:space="preserve"> 0</t>
        </is>
      </c>
      <c r="K374" s="30">
        <f>(E374-F374)/IF(E374&gt;0,E374,1)</f>
        <v/>
      </c>
    </row>
    <row r="375">
      <c r="A375" s="22" t="inlineStr">
        <is>
          <t>AI 사고를 위한 인공지능 교육</t>
        </is>
      </c>
      <c r="B375" s="22" t="inlineStr">
        <is>
          <t>한선관, 류미영, 김태령</t>
        </is>
      </c>
      <c r="C375" s="22" t="inlineStr">
        <is>
          <t>성안당</t>
        </is>
      </c>
      <c r="D375" s="22" t="inlineStr">
        <is>
          <t>2021년 01월</t>
        </is>
      </c>
      <c r="E375" s="28" t="n">
        <v>29000</v>
      </c>
      <c r="F375" s="28" t="n">
        <v>26100</v>
      </c>
      <c r="G375" s="29" t="n">
        <v>11</v>
      </c>
      <c r="H375" s="29" t="n">
        <v>516</v>
      </c>
      <c r="I375" s="21" t="inlineStr">
        <is>
          <t>2021</t>
        </is>
      </c>
      <c r="J375" s="21" t="inlineStr">
        <is>
          <t xml:space="preserve"> 0</t>
        </is>
      </c>
      <c r="K375" s="30">
        <f>(E375-F375)/IF(E375&gt;0,E375,1)</f>
        <v/>
      </c>
    </row>
    <row r="376">
      <c r="A376" s="22" t="inlineStr">
        <is>
          <t>파이토치 딥러닝 마스터</t>
        </is>
      </c>
      <c r="B376" s="22" t="inlineStr">
        <is>
          <t>엘리 스티븐스, 루카 안티가, 토마스 피이만, 현동석</t>
        </is>
      </c>
      <c r="C376" s="22" t="inlineStr">
        <is>
          <t>책만</t>
        </is>
      </c>
      <c r="D376" s="22" t="inlineStr">
        <is>
          <t>2022년 06월</t>
        </is>
      </c>
      <c r="E376" s="28" t="n">
        <v>35000</v>
      </c>
      <c r="F376" s="28" t="n">
        <v>31500</v>
      </c>
      <c r="G376" s="29" t="n">
        <v>0</v>
      </c>
      <c r="H376" s="29" t="n">
        <v>468</v>
      </c>
      <c r="I376" s="21" t="inlineStr">
        <is>
          <t>2022</t>
        </is>
      </c>
      <c r="J376" s="21" t="inlineStr">
        <is>
          <t xml:space="preserve"> 0</t>
        </is>
      </c>
      <c r="K376" s="30">
        <f>(E376-F376)/IF(E376&gt;0,E376,1)</f>
        <v/>
      </c>
    </row>
    <row r="377">
      <c r="A377" s="22" t="inlineStr">
        <is>
          <t>몬테카를로 시뮬레이션으로 배우는 확률통계 with 파이썬</t>
        </is>
      </c>
      <c r="B377" s="22" t="inlineStr">
        <is>
          <t>장철원</t>
        </is>
      </c>
      <c r="C377" s="22" t="inlineStr">
        <is>
          <t>비제이퍼블릭(BJ퍼블릭)</t>
        </is>
      </c>
      <c r="D377" s="22" t="inlineStr">
        <is>
          <t>2023년 03월</t>
        </is>
      </c>
      <c r="E377" s="28" t="n">
        <v>33000</v>
      </c>
      <c r="F377" s="28" t="n">
        <v>29700</v>
      </c>
      <c r="G377" s="29" t="n">
        <v>10</v>
      </c>
      <c r="H377" s="29" t="n">
        <v>432</v>
      </c>
      <c r="I377" s="21" t="inlineStr">
        <is>
          <t>2023</t>
        </is>
      </c>
      <c r="J377" s="21" t="inlineStr">
        <is>
          <t xml:space="preserve"> 0</t>
        </is>
      </c>
      <c r="K377" s="30">
        <f>(E377-F377)/IF(E377&gt;0,E377,1)</f>
        <v/>
      </c>
    </row>
    <row r="378">
      <c r="A378" s="22" t="inlineStr">
        <is>
          <t>베테랑 AI 전문가가 만든 가장 쉬운 나노바나나 활용! NanoBanana(나노바나나)로 무엇이든 만들 수 있다 (AI 영상 제작)</t>
        </is>
      </c>
      <c r="B378" s="22" t="inlineStr">
        <is>
          <t>이현, 문서영, 최숙현, 남상억</t>
        </is>
      </c>
      <c r="C378" s="22" t="inlineStr">
        <is>
          <t>광문각출판미디어</t>
        </is>
      </c>
      <c r="D378" s="22" t="inlineStr">
        <is>
          <t>2026년 01월</t>
        </is>
      </c>
      <c r="E378" s="28" t="n">
        <v>19000</v>
      </c>
      <c r="F378" s="28" t="n">
        <v>18050</v>
      </c>
      <c r="G378" s="29" t="n">
        <v>64</v>
      </c>
      <c r="H378" s="29" t="n">
        <v>1554</v>
      </c>
      <c r="I378" s="21" t="inlineStr">
        <is>
          <t>2026</t>
        </is>
      </c>
      <c r="J378" s="21" t="inlineStr">
        <is>
          <t xml:space="preserve"> 0</t>
        </is>
      </c>
      <c r="K378" s="30">
        <f>(E378-F378)/IF(E378&gt;0,E378,1)</f>
        <v/>
      </c>
    </row>
    <row r="379">
      <c r="A379" s="22" t="inlineStr">
        <is>
          <t>딥러닝 EXPRESS</t>
        </is>
      </c>
      <c r="B379" s="22" t="inlineStr">
        <is>
          <t>천인국</t>
        </is>
      </c>
      <c r="C379" s="22" t="inlineStr">
        <is>
          <t>생능출판사</t>
        </is>
      </c>
      <c r="D379" s="22" t="inlineStr">
        <is>
          <t>2024년 07월</t>
        </is>
      </c>
      <c r="E379" s="28" t="n">
        <v>34000</v>
      </c>
      <c r="F379" s="28" t="n">
        <v>34000</v>
      </c>
      <c r="G379" s="29" t="n">
        <v>0</v>
      </c>
      <c r="H379" s="29" t="n">
        <v>1488</v>
      </c>
      <c r="I379" s="21" t="inlineStr">
        <is>
          <t>2024</t>
        </is>
      </c>
      <c r="J379" s="21" t="inlineStr">
        <is>
          <t xml:space="preserve"> 0</t>
        </is>
      </c>
      <c r="K379" s="30">
        <f>(E379-F379)/IF(E379&gt;0,E379,1)</f>
        <v/>
      </c>
    </row>
    <row r="380">
      <c r="A380" s="22" t="inlineStr">
        <is>
          <t>어른들을 위한 가장 쉬운 챗GPT</t>
        </is>
      </c>
      <c r="B380" s="22" t="inlineStr">
        <is>
          <t>혜지원 기획팀</t>
        </is>
      </c>
      <c r="C380" s="22" t="inlineStr">
        <is>
          <t>혜지원</t>
        </is>
      </c>
      <c r="D380" s="22" t="inlineStr">
        <is>
          <t>2025년 03월</t>
        </is>
      </c>
      <c r="E380" s="28" t="n">
        <v>18000</v>
      </c>
      <c r="F380" s="28" t="n">
        <v>16200</v>
      </c>
      <c r="G380" s="29" t="n">
        <v>0</v>
      </c>
      <c r="H380" s="29" t="n">
        <v>888</v>
      </c>
      <c r="I380" s="21" t="inlineStr">
        <is>
          <t>2025</t>
        </is>
      </c>
      <c r="J380" s="21" t="inlineStr">
        <is>
          <t xml:space="preserve"> 0</t>
        </is>
      </c>
      <c r="K380" s="30">
        <f>(E380-F380)/IF(E380&gt;0,E380,1)</f>
        <v/>
      </c>
    </row>
    <row r="381">
      <c r="A381" s="22" t="inlineStr">
        <is>
          <t>세상을 복제하는 공장, Physical AI 데이터팩토리</t>
        </is>
      </c>
      <c r="B381" s="22" t="inlineStr">
        <is>
          <t>손병희</t>
        </is>
      </c>
      <c r="C381" s="22" t="inlineStr">
        <is>
          <t>꾸그티처스</t>
        </is>
      </c>
      <c r="D381" s="22" t="inlineStr">
        <is>
          <t>2026년 02월</t>
        </is>
      </c>
      <c r="E381" s="28" t="n">
        <v>15000</v>
      </c>
      <c r="F381" s="28" t="n">
        <v>13500</v>
      </c>
      <c r="G381" s="29" t="n">
        <v>2</v>
      </c>
      <c r="H381" s="29" t="n">
        <v>366</v>
      </c>
      <c r="I381" s="21" t="inlineStr">
        <is>
          <t>2026</t>
        </is>
      </c>
      <c r="J381" s="21" t="inlineStr">
        <is>
          <t xml:space="preserve"> 0</t>
        </is>
      </c>
      <c r="K381" s="30">
        <f>(E381-F381)/IF(E381&gt;0,E381,1)</f>
        <v/>
      </c>
    </row>
    <row r="382">
      <c r="A382" s="22" t="inlineStr">
        <is>
          <t>경험에서 배운다! 실전 데이터 분석 35</t>
        </is>
      </c>
      <c r="B382" s="22" t="inlineStr">
        <is>
          <t>다카하시 이치로, 시라이시 타쿠야, 시미즈 아키에, 신정원, 권정민</t>
        </is>
      </c>
      <c r="C382" s="22" t="inlineStr">
        <is>
          <t>책만</t>
        </is>
      </c>
      <c r="D382" s="22" t="inlineStr">
        <is>
          <t>2025년 07월</t>
        </is>
      </c>
      <c r="E382" s="28" t="n">
        <v>20000</v>
      </c>
      <c r="F382" s="28" t="n">
        <v>18000</v>
      </c>
      <c r="G382" s="29" t="n">
        <v>10</v>
      </c>
      <c r="H382" s="29" t="n">
        <v>1608</v>
      </c>
      <c r="I382" s="21" t="inlineStr">
        <is>
          <t>2025</t>
        </is>
      </c>
      <c r="J382" s="21" t="inlineStr">
        <is>
          <t xml:space="preserve"> 0</t>
        </is>
      </c>
      <c r="K382" s="30">
        <f>(E382-F382)/IF(E382&gt;0,E382,1)</f>
        <v/>
      </c>
    </row>
    <row r="383">
      <c r="A383" s="22" t="inlineStr">
        <is>
          <t>스마트폰으로 배우는 챗GPT &amp; 생성형 AI</t>
        </is>
      </c>
      <c r="B383" s="22" t="inlineStr">
        <is>
          <t>안은진</t>
        </is>
      </c>
      <c r="C383" s="22" t="inlineStr">
        <is>
          <t>아티오</t>
        </is>
      </c>
      <c r="D383" s="22" t="inlineStr">
        <is>
          <t>2025년 12월</t>
        </is>
      </c>
      <c r="E383" s="28" t="n">
        <v>15000</v>
      </c>
      <c r="F383" s="28" t="n">
        <v>13500</v>
      </c>
      <c r="G383" s="29" t="n">
        <v>0</v>
      </c>
      <c r="H383" s="29" t="n">
        <v>324</v>
      </c>
      <c r="I383" s="21" t="inlineStr">
        <is>
          <t>2025</t>
        </is>
      </c>
      <c r="J383" s="21" t="inlineStr">
        <is>
          <t xml:space="preserve"> 1</t>
        </is>
      </c>
      <c r="K383" s="30">
        <f>(E383-F383)/IF(E383&gt;0,E383,1)</f>
        <v/>
      </c>
    </row>
    <row r="384">
      <c r="A384" s="22" t="inlineStr">
        <is>
          <t>생성형 AI를 활용한 게임 개발</t>
        </is>
      </c>
      <c r="B384" s="22" t="inlineStr">
        <is>
          <t>정금호</t>
        </is>
      </c>
      <c r="C384" s="22" t="inlineStr">
        <is>
          <t>로드북</t>
        </is>
      </c>
      <c r="D384" s="22" t="inlineStr">
        <is>
          <t>2024년 12월</t>
        </is>
      </c>
      <c r="E384" s="28" t="n">
        <v>27000</v>
      </c>
      <c r="F384" s="28" t="n">
        <v>24300</v>
      </c>
      <c r="G384" s="29" t="n">
        <v>1</v>
      </c>
      <c r="H384" s="29" t="n">
        <v>270</v>
      </c>
      <c r="I384" s="21" t="inlineStr">
        <is>
          <t>2024</t>
        </is>
      </c>
      <c r="J384" s="21" t="inlineStr">
        <is>
          <t xml:space="preserve"> 1</t>
        </is>
      </c>
      <c r="K384" s="30">
        <f>(E384-F384)/IF(E384&gt;0,E384,1)</f>
        <v/>
      </c>
    </row>
    <row r="385">
      <c r="A385" s="22" t="inlineStr">
        <is>
          <t>머신러닝 이론과 실습</t>
        </is>
      </c>
      <c r="B385" s="22" t="inlineStr">
        <is>
          <t>권현, 석호식, 김정수, 오세홍, 박주현</t>
        </is>
      </c>
      <c r="C385" s="22" t="inlineStr">
        <is>
          <t>한빛아카데미</t>
        </is>
      </c>
      <c r="D385" s="22" t="inlineStr">
        <is>
          <t>2024년 07월</t>
        </is>
      </c>
      <c r="E385" s="28" t="n">
        <v>28000</v>
      </c>
      <c r="F385" s="28" t="n">
        <v>28000</v>
      </c>
      <c r="G385" s="29" t="n">
        <v>1</v>
      </c>
      <c r="H385" s="29" t="n">
        <v>312</v>
      </c>
      <c r="I385" s="21" t="inlineStr">
        <is>
          <t>2024</t>
        </is>
      </c>
      <c r="J385" s="21" t="inlineStr">
        <is>
          <t xml:space="preserve"> 0</t>
        </is>
      </c>
      <c r="K385" s="30">
        <f>(E385-F385)/IF(E385&gt;0,E385,1)</f>
        <v/>
      </c>
    </row>
    <row r="386">
      <c r="A386" s="22" t="inlineStr">
        <is>
          <t>트랜스포머로 시작하는 자연어 처리</t>
        </is>
      </c>
      <c r="B386" s="22" t="inlineStr">
        <is>
          <t>Denis Rothman, 김윤기, 박지성, 임창대, 하헌규</t>
        </is>
      </c>
      <c r="C386" s="22" t="inlineStr">
        <is>
          <t>영진닷컴</t>
        </is>
      </c>
      <c r="D386" s="22" t="inlineStr">
        <is>
          <t>2024년 07월</t>
        </is>
      </c>
      <c r="E386" s="28" t="n">
        <v>42000</v>
      </c>
      <c r="F386" s="28" t="n">
        <v>37800</v>
      </c>
      <c r="G386" s="29" t="n">
        <v>31</v>
      </c>
      <c r="H386" s="29" t="n">
        <v>270</v>
      </c>
      <c r="I386" s="21" t="inlineStr">
        <is>
          <t>2024</t>
        </is>
      </c>
      <c r="J386" s="21" t="inlineStr">
        <is>
          <t xml:space="preserve"> 0</t>
        </is>
      </c>
      <c r="K386" s="30">
        <f>(E386-F386)/IF(E386&gt;0,E386,1)</f>
        <v/>
      </c>
    </row>
    <row r="387">
      <c r="A387" s="22" t="inlineStr">
        <is>
          <t>챗GPT 시대 교육, AI로 풀다</t>
        </is>
      </c>
      <c r="B387" s="22" t="inlineStr">
        <is>
          <t>노명호, 지미정, 오한나, 윤신영, 윤주현, 정보 더 보기/감추기, 노명호, 지미정, 오한나, 윤신영, 윤주현, 오미숙, 장희영, 표완구, 김봉한, 소민영, 장덕진</t>
        </is>
      </c>
      <c r="C387" s="22" t="inlineStr">
        <is>
          <t>BOOKK(부크크)</t>
        </is>
      </c>
      <c r="D387" s="22" t="inlineStr">
        <is>
          <t>2023년 05월</t>
        </is>
      </c>
      <c r="E387" s="28" t="n">
        <v>15000</v>
      </c>
      <c r="F387" s="28" t="n">
        <v>15000</v>
      </c>
      <c r="G387" s="29" t="n">
        <v>11</v>
      </c>
      <c r="H387" s="29" t="n">
        <v>282</v>
      </c>
      <c r="I387" s="21" t="inlineStr">
        <is>
          <t>2023</t>
        </is>
      </c>
      <c r="J387" s="21" t="inlineStr">
        <is>
          <t xml:space="preserve"> 0</t>
        </is>
      </c>
      <c r="K387" s="30">
        <f>(E387-F387)/IF(E387&gt;0,E387,1)</f>
        <v/>
      </c>
    </row>
    <row r="388">
      <c r="A388" s="22" t="inlineStr">
        <is>
          <t>데이터 마이닝 개념과 기법 4/e</t>
        </is>
      </c>
      <c r="B388" s="22" t="inlineStr">
        <is>
          <t>지아웨이 한, 지안 페이, 항항 통, 동준상</t>
        </is>
      </c>
      <c r="C388" s="22" t="inlineStr">
        <is>
          <t>에이콘출판사</t>
        </is>
      </c>
      <c r="D388" s="22" t="inlineStr">
        <is>
          <t>2025년 01월</t>
        </is>
      </c>
      <c r="E388" s="28" t="n">
        <v>55000</v>
      </c>
      <c r="F388" s="28" t="n">
        <v>49500</v>
      </c>
      <c r="G388" s="29" t="n">
        <v>0</v>
      </c>
      <c r="H388" s="29" t="n">
        <v>321</v>
      </c>
      <c r="I388" s="21" t="inlineStr">
        <is>
          <t>2025</t>
        </is>
      </c>
      <c r="J388" s="21" t="inlineStr">
        <is>
          <t xml:space="preserve"> 0</t>
        </is>
      </c>
      <c r="K388" s="30">
        <f>(E388-F388)/IF(E388&gt;0,E388,1)</f>
        <v/>
      </c>
    </row>
    <row r="389">
      <c r="A389" s="22" t="inlineStr">
        <is>
          <t>라즈베리파이와 파이토치로 만드는 인공지능 자동차</t>
        </is>
      </c>
      <c r="B389" s="22" t="inlineStr">
        <is>
          <t>장문철</t>
        </is>
      </c>
      <c r="C389" s="22" t="inlineStr">
        <is>
          <t>먼슬리북스</t>
        </is>
      </c>
      <c r="D389" s="22" t="inlineStr">
        <is>
          <t>2026년 02월</t>
        </is>
      </c>
      <c r="E389" s="28" t="n">
        <v>24500</v>
      </c>
      <c r="F389" s="28" t="n">
        <v>22050</v>
      </c>
      <c r="G389" s="29" t="n">
        <v>6</v>
      </c>
      <c r="H389" s="29" t="n">
        <v>276</v>
      </c>
      <c r="I389" s="21" t="inlineStr">
        <is>
          <t>2026</t>
        </is>
      </c>
      <c r="J389" s="21" t="inlineStr">
        <is>
          <t xml:space="preserve"> 0</t>
        </is>
      </c>
      <c r="K389" s="30">
        <f>(E389-F389)/IF(E389&gt;0,E389,1)</f>
        <v/>
      </c>
    </row>
    <row r="390">
      <c r="A390" s="22" t="inlineStr">
        <is>
          <t>AI와 함께 평생 일하는 기술</t>
        </is>
      </c>
      <c r="B390" s="22" t="inlineStr">
        <is>
          <t>정종기</t>
        </is>
      </c>
      <c r="C390" s="22" t="inlineStr">
        <is>
          <t>형설출판사</t>
        </is>
      </c>
      <c r="D390" s="22" t="inlineStr">
        <is>
          <t>2025년 08월</t>
        </is>
      </c>
      <c r="E390" s="28" t="n">
        <v>18000</v>
      </c>
      <c r="F390" s="28" t="n">
        <v>18000</v>
      </c>
      <c r="G390" s="29" t="n">
        <v>0</v>
      </c>
      <c r="H390" s="29" t="n">
        <v>252</v>
      </c>
      <c r="I390" s="21" t="inlineStr">
        <is>
          <t>2025</t>
        </is>
      </c>
      <c r="J390" s="21" t="inlineStr">
        <is>
          <t xml:space="preserve"> 0</t>
        </is>
      </c>
      <c r="K390" s="30">
        <f>(E390-F390)/IF(E390&gt;0,E390,1)</f>
        <v/>
      </c>
    </row>
    <row r="391">
      <c r="A391" s="22" t="inlineStr">
        <is>
          <t>파이썬 딥러닝 텐서플로</t>
        </is>
      </c>
      <c r="B391" s="22" t="inlineStr">
        <is>
          <t>오승환, 이경록, 김태헌, 홍재권</t>
        </is>
      </c>
      <c r="C391" s="22" t="inlineStr">
        <is>
          <t>정보문화사</t>
        </is>
      </c>
      <c r="D391" s="22" t="inlineStr">
        <is>
          <t>2021년 06월</t>
        </is>
      </c>
      <c r="E391" s="28" t="n">
        <v>27000</v>
      </c>
      <c r="F391" s="28" t="n">
        <v>24300</v>
      </c>
      <c r="G391" s="29" t="n">
        <v>30</v>
      </c>
      <c r="H391" s="29" t="n">
        <v>294</v>
      </c>
      <c r="I391" s="21" t="inlineStr">
        <is>
          <t>2021</t>
        </is>
      </c>
      <c r="J391" s="21" t="inlineStr">
        <is>
          <t xml:space="preserve"> 0</t>
        </is>
      </c>
      <c r="K391" s="30">
        <f>(E391-F391)/IF(E391&gt;0,E391,1)</f>
        <v/>
      </c>
    </row>
    <row r="392">
      <c r="A392" s="22" t="inlineStr">
        <is>
          <t>AI 시대의 데이터 패러독스</t>
        </is>
      </c>
      <c r="B392" s="22" t="inlineStr">
        <is>
          <t>니틴 세스, 옥경석</t>
        </is>
      </c>
      <c r="C392" s="22" t="inlineStr">
        <is>
          <t>에이콘출판사</t>
        </is>
      </c>
      <c r="D392" s="22" t="inlineStr">
        <is>
          <t>2026년 02월</t>
        </is>
      </c>
      <c r="E392" s="28" t="n">
        <v>38000</v>
      </c>
      <c r="F392" s="28" t="n">
        <v>34200</v>
      </c>
      <c r="G392" s="29" t="n">
        <v>17</v>
      </c>
      <c r="H392" s="29" t="n">
        <v>240</v>
      </c>
      <c r="I392" s="21" t="inlineStr">
        <is>
          <t>2026</t>
        </is>
      </c>
      <c r="J392" s="21" t="inlineStr">
        <is>
          <t xml:space="preserve"> 0</t>
        </is>
      </c>
      <c r="K392" s="30">
        <f>(E392-F392)/IF(E392&gt;0,E392,1)</f>
        <v/>
      </c>
    </row>
    <row r="393">
      <c r="A393" s="22" t="inlineStr">
        <is>
          <t>양자컴퓨팅 혁명</t>
        </is>
      </c>
      <c r="B393" s="22" t="inlineStr">
        <is>
          <t>김정상, 김재완, 정연욱</t>
        </is>
      </c>
      <c r="C393" s="22" t="inlineStr">
        <is>
          <t>플루토</t>
        </is>
      </c>
      <c r="D393" s="22" t="inlineStr">
        <is>
          <t>2025년 12월</t>
        </is>
      </c>
      <c r="E393" s="28" t="n">
        <v>20000</v>
      </c>
      <c r="F393" s="28" t="n">
        <v>18000</v>
      </c>
      <c r="G393" s="29" t="n">
        <v>0</v>
      </c>
      <c r="H393" s="29" t="n">
        <v>186</v>
      </c>
      <c r="I393" s="21" t="inlineStr">
        <is>
          <t>2025</t>
        </is>
      </c>
      <c r="J393" s="21" t="inlineStr">
        <is>
          <t xml:space="preserve"> 1</t>
        </is>
      </c>
      <c r="K393" s="30">
        <f>(E393-F393)/IF(E393&gt;0,E393,1)</f>
        <v/>
      </c>
    </row>
    <row r="394">
      <c r="A394" s="22" t="inlineStr">
        <is>
          <t>AI가 만든 콘텐츠, 누구의 것인가?</t>
        </is>
      </c>
      <c r="B394" s="22" t="inlineStr">
        <is>
          <t>한유진, 하윤수, 정원훈</t>
        </is>
      </c>
      <c r="C394" s="22" t="inlineStr">
        <is>
          <t>재노북스</t>
        </is>
      </c>
      <c r="D394" s="22" t="inlineStr">
        <is>
          <t>2025년 02월</t>
        </is>
      </c>
      <c r="E394" s="28" t="n">
        <v>19800</v>
      </c>
      <c r="F394" s="28" t="n">
        <v>19800</v>
      </c>
      <c r="G394" s="29" t="n">
        <v>0</v>
      </c>
      <c r="H394" s="29" t="n">
        <v>234</v>
      </c>
      <c r="I394" s="21" t="inlineStr">
        <is>
          <t>2025</t>
        </is>
      </c>
      <c r="J394" s="21" t="inlineStr">
        <is>
          <t xml:space="preserve"> 0</t>
        </is>
      </c>
      <c r="K394" s="30">
        <f>(E394-F394)/IF(E394&gt;0,E394,1)</f>
        <v/>
      </c>
    </row>
    <row r="395">
      <c r="A395" s="22" t="inlineStr">
        <is>
          <t>프롬프트 엔지니어링 실전</t>
        </is>
      </c>
      <c r="B395" s="22" t="inlineStr">
        <is>
          <t>김태영</t>
        </is>
      </c>
      <c r="C395" s="22" t="inlineStr">
        <is>
          <t>글ego</t>
        </is>
      </c>
      <c r="D395" s="22" t="inlineStr">
        <is>
          <t>2026년 02월</t>
        </is>
      </c>
      <c r="E395" s="28" t="n">
        <v>26500</v>
      </c>
      <c r="F395" s="28" t="n">
        <v>23850</v>
      </c>
      <c r="G395" s="29" t="n">
        <v>1</v>
      </c>
      <c r="H395" s="29" t="n">
        <v>198</v>
      </c>
      <c r="I395" s="21" t="inlineStr">
        <is>
          <t>2026</t>
        </is>
      </c>
      <c r="J395" s="21" t="inlineStr">
        <is>
          <t xml:space="preserve"> 0</t>
        </is>
      </c>
      <c r="K395" s="30">
        <f>(E395-F395)/IF(E395&gt;0,E395,1)</f>
        <v/>
      </c>
    </row>
    <row r="396">
      <c r="A396" s="22" t="inlineStr">
        <is>
          <t>데이터 사이언스 전문가</t>
        </is>
      </c>
      <c r="B396" s="22" t="inlineStr">
        <is>
          <t>이재호, 장인표, 백승욱, 정지원, 구은서</t>
        </is>
      </c>
      <c r="C396" s="22" t="inlineStr">
        <is>
          <t>홍릉</t>
        </is>
      </c>
      <c r="D396" s="22" t="inlineStr">
        <is>
          <t>2025년 04월</t>
        </is>
      </c>
      <c r="E396" s="28" t="n">
        <v>23000</v>
      </c>
      <c r="F396" s="28" t="n">
        <v>23000</v>
      </c>
      <c r="G396" s="29" t="n">
        <v>0</v>
      </c>
      <c r="H396" s="29" t="n">
        <v>330</v>
      </c>
      <c r="I396" s="21" t="inlineStr">
        <is>
          <t>2025</t>
        </is>
      </c>
      <c r="J396" s="21" t="inlineStr">
        <is>
          <t xml:space="preserve"> 0</t>
        </is>
      </c>
      <c r="K396" s="30">
        <f>(E396-F396)/IF(E396&gt;0,E396,1)</f>
        <v/>
      </c>
    </row>
    <row r="397">
      <c r="A397" s="22" t="inlineStr">
        <is>
          <t>인공지능과 빅데이터로 읽는 미래 스포츠 이야기</t>
        </is>
      </c>
      <c r="B397" s="22" t="inlineStr">
        <is>
          <t>천제민</t>
        </is>
      </c>
      <c r="C397" s="22" t="inlineStr">
        <is>
          <t>BOOKK(부크크)</t>
        </is>
      </c>
      <c r="D397" s="22" t="inlineStr">
        <is>
          <t>2023년 08월</t>
        </is>
      </c>
      <c r="E397" s="28" t="n">
        <v>13000</v>
      </c>
      <c r="F397" s="28" t="n">
        <v>13000</v>
      </c>
      <c r="G397" s="29" t="n">
        <v>3</v>
      </c>
      <c r="H397" s="29" t="n">
        <v>210</v>
      </c>
      <c r="I397" s="21" t="inlineStr">
        <is>
          <t>2023</t>
        </is>
      </c>
      <c r="J397" s="21" t="inlineStr">
        <is>
          <t xml:space="preserve"> 0</t>
        </is>
      </c>
      <c r="K397" s="30">
        <f>(E397-F397)/IF(E397&gt;0,E397,1)</f>
        <v/>
      </c>
    </row>
    <row r="398">
      <c r="A398" s="22" t="inlineStr">
        <is>
          <t>101가지 문제로 배우는 딥러닝 허깅페이스 트랜스포머 with 파이토치</t>
        </is>
      </c>
      <c r="B398" s="22" t="inlineStr">
        <is>
          <t>조슈아 K. 케이지, 임선집</t>
        </is>
      </c>
      <c r="C398" s="22" t="inlineStr">
        <is>
          <t>루비페이퍼</t>
        </is>
      </c>
      <c r="D398" s="22" t="inlineStr">
        <is>
          <t>2023년 08월</t>
        </is>
      </c>
      <c r="E398" s="28" t="n">
        <v>26000</v>
      </c>
      <c r="F398" s="28" t="n">
        <v>23400</v>
      </c>
      <c r="G398" s="29" t="n">
        <v>12</v>
      </c>
      <c r="H398" s="29" t="n">
        <v>210</v>
      </c>
      <c r="I398" s="21" t="inlineStr">
        <is>
          <t>2023</t>
        </is>
      </c>
      <c r="J398" s="21" t="inlineStr">
        <is>
          <t xml:space="preserve"> 0</t>
        </is>
      </c>
      <c r="K398" s="30">
        <f>(E398-F398)/IF(E398&gt;0,E398,1)</f>
        <v/>
      </c>
    </row>
    <row r="399">
      <c r="A399" s="22" t="inlineStr">
        <is>
          <t>3시간에 배우는 인공지능 데이터분석, 오렌지</t>
        </is>
      </c>
      <c r="B399" s="22" t="inlineStr">
        <is>
          <t>서울과학종합대학원 디지털혁신처</t>
        </is>
      </c>
      <c r="C399" s="22" t="inlineStr">
        <is>
          <t>서울경제경영</t>
        </is>
      </c>
      <c r="D399" s="22" t="inlineStr">
        <is>
          <t>2021년 03월</t>
        </is>
      </c>
      <c r="E399" s="28" t="n">
        <v>15000</v>
      </c>
      <c r="F399" s="28" t="n">
        <v>15000</v>
      </c>
      <c r="G399" s="29" t="n">
        <v>9</v>
      </c>
      <c r="H399" s="29" t="n">
        <v>216</v>
      </c>
      <c r="I399" s="21" t="inlineStr">
        <is>
          <t>2021</t>
        </is>
      </c>
      <c r="J399" s="21" t="inlineStr">
        <is>
          <t xml:space="preserve"> 0</t>
        </is>
      </c>
      <c r="K399" s="30">
        <f>(E399-F399)/IF(E399&gt;0,E399,1)</f>
        <v/>
      </c>
    </row>
    <row r="400">
      <c r="A400" s="22" t="inlineStr">
        <is>
          <t>그래프 신경망 입문</t>
        </is>
      </c>
      <c r="B400" s="22" t="inlineStr">
        <is>
          <t>즈위안 리우, 지에 저우, 정지수</t>
        </is>
      </c>
      <c r="C400" s="22" t="inlineStr">
        <is>
          <t>에이콘출판사</t>
        </is>
      </c>
      <c r="D400" s="22" t="inlineStr">
        <is>
          <t>2022년 04월</t>
        </is>
      </c>
      <c r="E400" s="28" t="n">
        <v>20000</v>
      </c>
      <c r="F400" s="28" t="n">
        <v>18000</v>
      </c>
      <c r="G400" s="29" t="n">
        <v>1</v>
      </c>
      <c r="H400" s="29" t="n">
        <v>228</v>
      </c>
      <c r="I400" s="21" t="inlineStr">
        <is>
          <t>2022</t>
        </is>
      </c>
      <c r="J400" s="21" t="inlineStr">
        <is>
          <t xml:space="preserve"> 0</t>
        </is>
      </c>
      <c r="K400" s="30">
        <f>(E400-F400)/IF(E400&gt;0,E400,1)</f>
        <v/>
      </c>
    </row>
    <row r="401">
      <c r="A401" s="22" t="inlineStr">
        <is>
          <t>가장 쉬운 AI 앱 빌더 DIfy 실무 가이드</t>
        </is>
      </c>
      <c r="B401" s="22" t="inlineStr">
        <is>
          <t>오노 사토시, 두발타고</t>
        </is>
      </c>
      <c r="C401" s="22" t="inlineStr">
        <is>
          <t>AK(에이케이 커뮤니케이션즈)</t>
        </is>
      </c>
      <c r="D401" s="22" t="inlineStr">
        <is>
          <t>2026년 02월</t>
        </is>
      </c>
      <c r="E401" s="28" t="n">
        <v>43000</v>
      </c>
      <c r="F401" s="28" t="n">
        <v>40850</v>
      </c>
      <c r="G401" s="29" t="n">
        <v>0</v>
      </c>
      <c r="H401" s="29" t="n">
        <v>210</v>
      </c>
      <c r="I401" s="21" t="inlineStr">
        <is>
          <t>2026</t>
        </is>
      </c>
      <c r="J401" s="21" t="inlineStr">
        <is>
          <t xml:space="preserve"> 0</t>
        </is>
      </c>
      <c r="K401" s="30">
        <f>(E401-F401)/IF(E401&gt;0,E401,1)</f>
        <v/>
      </c>
    </row>
    <row r="402">
      <c r="A402" s="22" t="inlineStr">
        <is>
          <t>AI의 정석</t>
        </is>
      </c>
      <c r="B402" s="22" t="inlineStr">
        <is>
          <t>박승훈, 윤일기</t>
        </is>
      </c>
      <c r="C402" s="22" t="inlineStr">
        <is>
          <t>에이아이컬쳐프레스(AI Culture Press)</t>
        </is>
      </c>
      <c r="D402" s="22" t="inlineStr">
        <is>
          <t>2026년 01월</t>
        </is>
      </c>
      <c r="E402" s="28" t="n">
        <v>34000</v>
      </c>
      <c r="F402" s="28" t="n">
        <v>34000</v>
      </c>
      <c r="G402" s="29" t="n">
        <v>0</v>
      </c>
      <c r="H402" s="29" t="n">
        <v>258</v>
      </c>
      <c r="I402" s="21" t="inlineStr">
        <is>
          <t>2026</t>
        </is>
      </c>
      <c r="J402" s="21" t="inlineStr">
        <is>
          <t xml:space="preserve"> 0</t>
        </is>
      </c>
      <c r="K402" s="30">
        <f>(E402-F402)/IF(E402&gt;0,E402,1)</f>
        <v/>
      </c>
    </row>
    <row r="403">
      <c r="A403" s="22" t="inlineStr">
        <is>
          <t>인공지능 코딩하기</t>
        </is>
      </c>
      <c r="B403" s="22" t="inlineStr">
        <is>
          <t>이수진, 이영은, 박효상, 이재홍</t>
        </is>
      </c>
      <c r="C403" s="22" t="inlineStr">
        <is>
          <t>지오북스</t>
        </is>
      </c>
      <c r="D403" s="22" t="inlineStr">
        <is>
          <t>2022년 02월</t>
        </is>
      </c>
      <c r="E403" s="28" t="n">
        <v>19000</v>
      </c>
      <c r="F403" s="28" t="n">
        <v>19000</v>
      </c>
      <c r="G403" s="29" t="n">
        <v>0</v>
      </c>
      <c r="H403" s="29" t="n">
        <v>204</v>
      </c>
      <c r="I403" s="21" t="inlineStr">
        <is>
          <t>2022</t>
        </is>
      </c>
      <c r="J403" s="21" t="inlineStr">
        <is>
          <t xml:space="preserve"> 0</t>
        </is>
      </c>
      <c r="K403" s="30">
        <f>(E403-F403)/IF(E403&gt;0,E403,1)</f>
        <v/>
      </c>
    </row>
    <row r="404">
      <c r="A404" s="22" t="inlineStr">
        <is>
          <t>챗GPT와 함께하는 소설 창작</t>
        </is>
      </c>
      <c r="B404" s="22" t="inlineStr">
        <is>
          <t>노바 리, 조윤진</t>
        </is>
      </c>
      <c r="C404" s="22" t="inlineStr">
        <is>
          <t>다른</t>
        </is>
      </c>
      <c r="D404" s="22" t="inlineStr">
        <is>
          <t>2023년 10월</t>
        </is>
      </c>
      <c r="E404" s="28" t="n">
        <v>18000</v>
      </c>
      <c r="F404" s="28" t="n">
        <v>16200</v>
      </c>
      <c r="G404" s="29" t="n">
        <v>1</v>
      </c>
      <c r="H404" s="29" t="n">
        <v>240</v>
      </c>
      <c r="I404" s="21" t="inlineStr">
        <is>
          <t>2023</t>
        </is>
      </c>
      <c r="J404" s="21" t="inlineStr">
        <is>
          <t xml:space="preserve"> 1</t>
        </is>
      </c>
      <c r="K404" s="30">
        <f>(E404-F404)/IF(E404&gt;0,E404,1)</f>
        <v/>
      </c>
    </row>
    <row r="405">
      <c r="A405" s="22" t="inlineStr">
        <is>
          <t>어른을 위한 이것이 인공지능이다</t>
        </is>
      </c>
      <c r="B405" s="22" t="inlineStr">
        <is>
          <t>김명락</t>
        </is>
      </c>
      <c r="C405" s="22" t="inlineStr">
        <is>
          <t>슬로디미디어</t>
        </is>
      </c>
      <c r="D405" s="22" t="inlineStr">
        <is>
          <t>2025년 04월</t>
        </is>
      </c>
      <c r="E405" s="28" t="n">
        <v>16800</v>
      </c>
      <c r="F405" s="28" t="n">
        <v>15120</v>
      </c>
      <c r="G405" s="29" t="n">
        <v>3</v>
      </c>
      <c r="H405" s="29" t="n">
        <v>156</v>
      </c>
      <c r="I405" s="21" t="inlineStr">
        <is>
          <t>2025</t>
        </is>
      </c>
      <c r="J405" s="21" t="inlineStr">
        <is>
          <t xml:space="preserve"> 0</t>
        </is>
      </c>
      <c r="K405" s="30">
        <f>(E405-F405)/IF(E405&gt;0,E405,1)</f>
        <v/>
      </c>
    </row>
    <row r="406">
      <c r="A406" s="22" t="inlineStr">
        <is>
          <t>관광 AI 실무 테크닉</t>
        </is>
      </c>
      <c r="B406" s="22" t="inlineStr">
        <is>
          <t>정민제</t>
        </is>
      </c>
      <c r="C406" s="22" t="inlineStr">
        <is>
          <t>선비북스</t>
        </is>
      </c>
      <c r="D406" s="22" t="inlineStr">
        <is>
          <t>2025년 03월</t>
        </is>
      </c>
      <c r="E406" s="28" t="n">
        <v>19000</v>
      </c>
      <c r="F406" s="28" t="n">
        <v>17100</v>
      </c>
      <c r="G406" s="29" t="n">
        <v>0</v>
      </c>
      <c r="H406" s="29" t="n">
        <v>180</v>
      </c>
      <c r="I406" s="21" t="inlineStr">
        <is>
          <t>2025</t>
        </is>
      </c>
      <c r="J406" s="21" t="inlineStr">
        <is>
          <t xml:space="preserve"> 0</t>
        </is>
      </c>
      <c r="K406" s="30">
        <f>(E406-F406)/IF(E406&gt;0,E406,1)</f>
        <v/>
      </c>
    </row>
    <row r="407">
      <c r="A407" s="22" t="inlineStr">
        <is>
          <t>교육을 위한 젭 탐구생활</t>
        </is>
      </c>
      <c r="B407" s="22" t="inlineStr">
        <is>
          <t>조안나, 조재범, 배준호</t>
        </is>
      </c>
      <c r="C407" s="22" t="inlineStr">
        <is>
          <t>지노</t>
        </is>
      </c>
      <c r="D407" s="22" t="inlineStr">
        <is>
          <t>2023년 04월</t>
        </is>
      </c>
      <c r="E407" s="28" t="n">
        <v>20000</v>
      </c>
      <c r="F407" s="28" t="n">
        <v>18000</v>
      </c>
      <c r="G407" s="29" t="n">
        <v>1</v>
      </c>
      <c r="H407" s="29" t="n">
        <v>222</v>
      </c>
      <c r="I407" s="21" t="inlineStr">
        <is>
          <t>2023</t>
        </is>
      </c>
      <c r="J407" s="21" t="inlineStr">
        <is>
          <t xml:space="preserve"> 0</t>
        </is>
      </c>
      <c r="K407" s="30">
        <f>(E407-F407)/IF(E407&gt;0,E407,1)</f>
        <v/>
      </c>
    </row>
    <row r="408">
      <c r="A408" s="22" t="inlineStr">
        <is>
          <t>한눈에 보이는 인공지능 그림책</t>
        </is>
      </c>
      <c r="B408" s="22" t="inlineStr">
        <is>
          <t>한선관, 이정원, 장명현</t>
        </is>
      </c>
      <c r="C408" s="22" t="inlineStr">
        <is>
          <t>성안당</t>
        </is>
      </c>
      <c r="D408" s="22" t="inlineStr">
        <is>
          <t>2022년 10월</t>
        </is>
      </c>
      <c r="E408" s="28" t="n">
        <v>20000</v>
      </c>
      <c r="F408" s="28" t="n">
        <v>18000</v>
      </c>
      <c r="G408" s="29" t="n">
        <v>21</v>
      </c>
      <c r="H408" s="29" t="n">
        <v>312</v>
      </c>
      <c r="I408" s="21" t="inlineStr">
        <is>
          <t>2022</t>
        </is>
      </c>
      <c r="J408" s="21" t="inlineStr">
        <is>
          <t xml:space="preserve"> 1</t>
        </is>
      </c>
      <c r="K408" s="30">
        <f>(E408-F408)/IF(E408&gt;0,E408,1)</f>
        <v/>
      </c>
    </row>
    <row r="409">
      <c r="A409" s="22" t="inlineStr">
        <is>
          <t>코드 없는 알고리즘과 데이터 구조</t>
        </is>
      </c>
      <c r="B409" s="22" t="inlineStr">
        <is>
          <t>암스트롱 수베로, 류태호</t>
        </is>
      </c>
      <c r="C409" s="22" t="inlineStr">
        <is>
          <t>동양북스(동양books)</t>
        </is>
      </c>
      <c r="D409" s="22" t="inlineStr">
        <is>
          <t>2021년 02월</t>
        </is>
      </c>
      <c r="E409" s="28" t="n">
        <v>15000</v>
      </c>
      <c r="F409" s="28" t="n">
        <v>13500</v>
      </c>
      <c r="G409" s="29" t="n">
        <v>3</v>
      </c>
      <c r="H409" s="29" t="n">
        <v>180</v>
      </c>
      <c r="I409" s="21" t="inlineStr">
        <is>
          <t>2021</t>
        </is>
      </c>
      <c r="J409" s="21" t="inlineStr">
        <is>
          <t xml:space="preserve"> 0</t>
        </is>
      </c>
      <c r="K409" s="30">
        <f>(E409-F409)/IF(E409&gt;0,E409,1)</f>
        <v/>
      </c>
    </row>
    <row r="410">
      <c r="A410" s="22" t="inlineStr">
        <is>
          <t>AI는 중립적인가?</t>
        </is>
      </c>
      <c r="B410" s="22" t="inlineStr">
        <is>
          <t>박재형</t>
        </is>
      </c>
      <c r="C410" s="22" t="inlineStr">
        <is>
          <t>지성사</t>
        </is>
      </c>
      <c r="D410" s="22" t="inlineStr">
        <is>
          <t>2022년 11월</t>
        </is>
      </c>
      <c r="E410" s="28" t="n">
        <v>23000</v>
      </c>
      <c r="F410" s="28" t="n">
        <v>21850</v>
      </c>
      <c r="G410" s="29" t="n">
        <v>0</v>
      </c>
      <c r="H410" s="29" t="n">
        <v>48</v>
      </c>
      <c r="I410" s="21" t="inlineStr">
        <is>
          <t>2022</t>
        </is>
      </c>
      <c r="J410" s="21" t="inlineStr">
        <is>
          <t xml:space="preserve"> 1</t>
        </is>
      </c>
      <c r="K410" s="30">
        <f>(E410-F410)/IF(E410&gt;0,E410,1)</f>
        <v/>
      </c>
    </row>
    <row r="411">
      <c r="A411" s="22" t="inlineStr">
        <is>
          <t>AI디톡스</t>
        </is>
      </c>
      <c r="B411" s="22" t="inlineStr">
        <is>
          <t>정강재</t>
        </is>
      </c>
      <c r="C411" s="22" t="inlineStr">
        <is>
          <t>BOOKK(부크크)</t>
        </is>
      </c>
      <c r="D411" s="22" t="inlineStr">
        <is>
          <t>2026년 04월</t>
        </is>
      </c>
      <c r="E411" s="28" t="n">
        <v>21600</v>
      </c>
      <c r="F411" s="28" t="n">
        <v>21600</v>
      </c>
      <c r="G411" s="29" t="n">
        <v>0</v>
      </c>
      <c r="H411" s="29" t="n">
        <v>84</v>
      </c>
      <c r="I411" s="21" t="inlineStr">
        <is>
          <t>2026</t>
        </is>
      </c>
      <c r="J411" s="21" t="inlineStr">
        <is>
          <t xml:space="preserve"> 0</t>
        </is>
      </c>
      <c r="K411" s="30">
        <f>(E411-F411)/IF(E411&gt;0,E411,1)</f>
        <v/>
      </c>
    </row>
    <row r="412">
      <c r="A412" s="22" t="inlineStr">
        <is>
          <t>AI로 완성하는 기획·분석·제안의 기술</t>
        </is>
      </c>
      <c r="B412" s="22" t="inlineStr">
        <is>
          <t>이종구, 정호선, 이중희, 박영식</t>
        </is>
      </c>
      <c r="C412" s="22" t="inlineStr">
        <is>
          <t>디지털콘텐츠그룹</t>
        </is>
      </c>
      <c r="D412" s="22" t="inlineStr">
        <is>
          <t>2026년 04월</t>
        </is>
      </c>
      <c r="E412" s="28" t="n">
        <v>24000</v>
      </c>
      <c r="F412" s="28" t="n">
        <v>21600</v>
      </c>
      <c r="G412" s="29" t="n">
        <v>0</v>
      </c>
      <c r="H412" s="29" t="n">
        <v>132</v>
      </c>
      <c r="I412" s="21" t="inlineStr">
        <is>
          <t>2026</t>
        </is>
      </c>
      <c r="J412" s="21" t="inlineStr">
        <is>
          <t xml:space="preserve"> 0</t>
        </is>
      </c>
      <c r="K412" s="30">
        <f>(E412-F412)/IF(E412&gt;0,E412,1)</f>
        <v/>
      </c>
    </row>
    <row r="413">
      <c r="A413" s="22" t="inlineStr">
        <is>
          <t>AI가 던지는 질문</t>
        </is>
      </c>
      <c r="B413" s="22" t="inlineStr">
        <is>
          <t>노철환, 변완희, 전철, 정혜원</t>
        </is>
      </c>
      <c r="C413" s="22" t="inlineStr">
        <is>
          <t>엠더블유북스(MW Books)</t>
        </is>
      </c>
      <c r="D413" s="22" t="inlineStr">
        <is>
          <t>2026년 04월</t>
        </is>
      </c>
      <c r="E413" s="28" t="n">
        <v>17500</v>
      </c>
      <c r="F413" s="28" t="n">
        <v>15750</v>
      </c>
      <c r="G413" s="29" t="n">
        <v>0</v>
      </c>
      <c r="H413" s="29" t="n">
        <v>90</v>
      </c>
      <c r="I413" s="21" t="inlineStr">
        <is>
          <t>2026</t>
        </is>
      </c>
      <c r="J413" s="21" t="inlineStr">
        <is>
          <t xml:space="preserve"> 0</t>
        </is>
      </c>
      <c r="K413" s="30">
        <f>(E413-F413)/IF(E413&gt;0,E413,1)</f>
        <v/>
      </c>
    </row>
    <row r="414">
      <c r="A414" s="22" t="inlineStr">
        <is>
          <t>생성형 AI GAMMA 활용법</t>
        </is>
      </c>
      <c r="B414" s="22" t="inlineStr">
        <is>
          <t>김인숙</t>
        </is>
      </c>
      <c r="C414" s="22" t="inlineStr">
        <is>
          <t>BOOKK(부크크)</t>
        </is>
      </c>
      <c r="D414" s="22" t="inlineStr">
        <is>
          <t>2025년 02월</t>
        </is>
      </c>
      <c r="E414" s="28" t="n">
        <v>19900</v>
      </c>
      <c r="F414" s="28" t="n">
        <v>19900</v>
      </c>
      <c r="G414" s="29" t="n">
        <v>3</v>
      </c>
      <c r="H414" s="29" t="n">
        <v>132</v>
      </c>
      <c r="I414" s="21" t="inlineStr">
        <is>
          <t>2025</t>
        </is>
      </c>
      <c r="J414" s="21" t="inlineStr">
        <is>
          <t xml:space="preserve"> 0</t>
        </is>
      </c>
      <c r="K414" s="30">
        <f>(E414-F414)/IF(E414&gt;0,E414,1)</f>
        <v/>
      </c>
    </row>
    <row r="415">
      <c r="A415" s="22" t="inlineStr">
        <is>
          <t>공연기획자의 ChatGPT 활용법</t>
        </is>
      </c>
      <c r="B415" s="22" t="inlineStr">
        <is>
          <t>인승현</t>
        </is>
      </c>
      <c r="C415" s="22" t="inlineStr">
        <is>
          <t>사회적협동조합 문화공장</t>
        </is>
      </c>
      <c r="D415" s="22" t="inlineStr">
        <is>
          <t>2023년 08월</t>
        </is>
      </c>
      <c r="E415" s="28" t="n">
        <v>18000</v>
      </c>
      <c r="F415" s="28" t="n">
        <v>16200</v>
      </c>
      <c r="G415" s="29" t="n">
        <v>0</v>
      </c>
      <c r="H415" s="29" t="n">
        <v>108</v>
      </c>
      <c r="I415" s="21" t="inlineStr">
        <is>
          <t>2023</t>
        </is>
      </c>
      <c r="J415" s="21" t="inlineStr">
        <is>
          <t xml:space="preserve"> 0</t>
        </is>
      </c>
      <c r="K415" s="30">
        <f>(E415-F415)/IF(E415&gt;0,E415,1)</f>
        <v/>
      </c>
    </row>
    <row r="416">
      <c r="A416" s="22" t="inlineStr">
        <is>
          <t>음성과 언어 처리 2/e</t>
        </is>
      </c>
      <c r="B416" s="22" t="inlineStr">
        <is>
          <t>댄 주라프스키, 제임스 H. 마틴, 박은숙</t>
        </is>
      </c>
      <c r="C416" s="22" t="inlineStr">
        <is>
          <t>에이콘출판사</t>
        </is>
      </c>
      <c r="D416" s="22" t="inlineStr">
        <is>
          <t>2023년 03월</t>
        </is>
      </c>
      <c r="E416" s="28" t="n">
        <v>75000</v>
      </c>
      <c r="F416" s="28" t="n">
        <v>67500</v>
      </c>
      <c r="G416" s="29" t="n">
        <v>0</v>
      </c>
      <c r="H416" s="29" t="n">
        <v>132</v>
      </c>
      <c r="I416" s="21" t="inlineStr">
        <is>
          <t>2023</t>
        </is>
      </c>
      <c r="J416" s="21" t="inlineStr">
        <is>
          <t xml:space="preserve"> 0</t>
        </is>
      </c>
      <c r="K416" s="30">
        <f>(E416-F416)/IF(E416&gt;0,E416,1)</f>
        <v/>
      </c>
    </row>
    <row r="417">
      <c r="A417" s="22" t="inlineStr">
        <is>
          <t>AI 프롬프트 예제: 마케팅 활용편</t>
        </is>
      </c>
      <c r="B417" s="22" t="inlineStr">
        <is>
          <t>하재웅</t>
        </is>
      </c>
      <c r="C417" s="22" t="inlineStr">
        <is>
          <t>딥인사이트</t>
        </is>
      </c>
      <c r="D417" s="22" t="inlineStr">
        <is>
          <t>2025년 05월</t>
        </is>
      </c>
      <c r="E417" s="28" t="n">
        <v>6000</v>
      </c>
      <c r="F417" s="28" t="n">
        <v>5400</v>
      </c>
      <c r="G417" s="29" t="n">
        <v>0</v>
      </c>
      <c r="H417" s="29" t="n">
        <v>201</v>
      </c>
      <c r="I417" s="21" t="inlineStr">
        <is>
          <t>2025</t>
        </is>
      </c>
      <c r="J417" s="21" t="inlineStr">
        <is>
          <t xml:space="preserve"> 0</t>
        </is>
      </c>
      <c r="K417" s="30">
        <f>(E417-F417)/IF(E417&gt;0,E417,1)</f>
        <v/>
      </c>
    </row>
    <row r="418">
      <c r="A418" s="22" t="inlineStr">
        <is>
          <t>AI와 함께 걷기</t>
        </is>
      </c>
      <c r="B418" s="22" t="inlineStr">
        <is>
          <t>이천우</t>
        </is>
      </c>
      <c r="C418" s="22" t="inlineStr">
        <is>
          <t>율곡출판사</t>
        </is>
      </c>
      <c r="D418" s="22" t="inlineStr">
        <is>
          <t>2026년 05월</t>
        </is>
      </c>
      <c r="E418" s="28" t="n">
        <v>20000</v>
      </c>
      <c r="F418" s="28" t="n">
        <v>20000</v>
      </c>
      <c r="G418" s="29" t="n">
        <v>0</v>
      </c>
      <c r="H418" s="29" t="n">
        <v>84</v>
      </c>
      <c r="I418" s="21" t="inlineStr">
        <is>
          <t>2026</t>
        </is>
      </c>
      <c r="J418" s="21" t="inlineStr">
        <is>
          <t xml:space="preserve"> 0</t>
        </is>
      </c>
      <c r="K418" s="30">
        <f>(E418-F418)/IF(E418&gt;0,E418,1)</f>
        <v/>
      </c>
    </row>
    <row r="419">
      <c r="A419" s="22" t="inlineStr">
        <is>
          <t>당신이 AI를 만나면 생기는 일</t>
        </is>
      </c>
      <c r="B419" s="22" t="inlineStr">
        <is>
          <t>민경호</t>
        </is>
      </c>
      <c r="C419" s="22" t="inlineStr">
        <is>
          <t>세계로미디어</t>
        </is>
      </c>
      <c r="D419" s="22" t="inlineStr">
        <is>
          <t>2026년 05월</t>
        </is>
      </c>
      <c r="E419" s="28" t="n">
        <v>18000</v>
      </c>
      <c r="F419" s="28" t="n">
        <v>16200</v>
      </c>
      <c r="G419" s="29" t="n">
        <v>0</v>
      </c>
      <c r="H419" s="29" t="n">
        <v>84</v>
      </c>
      <c r="I419" s="21" t="inlineStr">
        <is>
          <t>2026</t>
        </is>
      </c>
      <c r="J419" s="21" t="inlineStr">
        <is>
          <t xml:space="preserve"> 0</t>
        </is>
      </c>
      <c r="K419" s="30">
        <f>(E419-F419)/IF(E419&gt;0,E419,1)</f>
        <v/>
      </c>
    </row>
    <row r="420">
      <c r="A420" s="22" t="inlineStr">
        <is>
          <t>라즈베리파이와 함께하는 AI 비전 시스템 구축 첫 걸음</t>
        </is>
      </c>
      <c r="B420" s="22" t="inlineStr">
        <is>
          <t>김기태, 조주용</t>
        </is>
      </c>
      <c r="C420" s="22" t="inlineStr">
        <is>
          <t>BOOKK(부크크)</t>
        </is>
      </c>
      <c r="D420" s="22" t="inlineStr">
        <is>
          <t>2026년 04월</t>
        </is>
      </c>
      <c r="E420" s="28" t="n">
        <v>29000</v>
      </c>
      <c r="F420" s="28" t="n">
        <v>29000</v>
      </c>
      <c r="G420" s="29" t="n">
        <v>0</v>
      </c>
      <c r="H420" s="29" t="n">
        <v>96</v>
      </c>
      <c r="I420" s="21" t="inlineStr">
        <is>
          <t>2026</t>
        </is>
      </c>
      <c r="J420" s="21" t="inlineStr">
        <is>
          <t xml:space="preserve"> 0</t>
        </is>
      </c>
      <c r="K420" s="30">
        <f>(E420-F420)/IF(E420&gt;0,E420,1)</f>
        <v/>
      </c>
    </row>
    <row r="421">
      <c r="A421" s="22" t="inlineStr">
        <is>
          <t>AI 내부자들</t>
        </is>
      </c>
      <c r="B421" s="22" t="inlineStr">
        <is>
          <t>안건, 황민영, 김영현, 이활석, 박지혁, 정보 더 보기/감추기, 안건, 황민영, 김영현, 이활석, 박지혁, 홍창기, 설형욱, 문현지, 한승주, 이성민, 문인태, 이동현, 노지혜, 김수현, 이민아, 장요엘, 유윤아, 오창환</t>
        </is>
      </c>
      <c r="C421" s="22" t="inlineStr">
        <is>
          <t>스마트북스</t>
        </is>
      </c>
      <c r="D421" s="22" t="inlineStr">
        <is>
          <t>2025년 09월</t>
        </is>
      </c>
      <c r="E421" s="28" t="n">
        <v>22000</v>
      </c>
      <c r="F421" s="28" t="n">
        <v>19800</v>
      </c>
      <c r="G421" s="29" t="n">
        <v>6</v>
      </c>
      <c r="H421" s="29" t="n">
        <v>2508</v>
      </c>
      <c r="I421" s="21" t="inlineStr">
        <is>
          <t>2025</t>
        </is>
      </c>
      <c r="J421" s="21" t="inlineStr">
        <is>
          <t xml:space="preserve"> 0</t>
        </is>
      </c>
      <c r="K421" s="30">
        <f>(E421-F421)/IF(E421&gt;0,E421,1)</f>
        <v/>
      </c>
    </row>
    <row r="422">
      <c r="A422" s="22" t="inlineStr">
        <is>
          <t>한국인이 알아야 할 인공지능</t>
        </is>
      </c>
      <c r="B422" s="22" t="inlineStr">
        <is>
          <t>황동현</t>
        </is>
      </c>
      <c r="C422" s="22" t="inlineStr">
        <is>
          <t>스토리하우스</t>
        </is>
      </c>
      <c r="D422" s="22" t="inlineStr">
        <is>
          <t>2023년 07월</t>
        </is>
      </c>
      <c r="E422" s="28" t="n">
        <v>19800</v>
      </c>
      <c r="F422" s="28" t="n">
        <v>17820</v>
      </c>
      <c r="G422" s="29" t="n">
        <v>0</v>
      </c>
      <c r="H422" s="29" t="n">
        <v>84</v>
      </c>
      <c r="I422" s="21" t="inlineStr">
        <is>
          <t>2023</t>
        </is>
      </c>
      <c r="J422" s="21" t="inlineStr">
        <is>
          <t xml:space="preserve"> 0</t>
        </is>
      </c>
      <c r="K422" s="30">
        <f>(E422-F422)/IF(E422&gt;0,E422,1)</f>
        <v/>
      </c>
    </row>
    <row r="423">
      <c r="A423" s="22" t="inlineStr">
        <is>
          <t>바이브 코딩</t>
        </is>
      </c>
      <c r="B423" s="22" t="inlineStr">
        <is>
          <t>이석현</t>
        </is>
      </c>
      <c r="C423" s="22" t="inlineStr">
        <is>
          <t>아이콕스(iCox)</t>
        </is>
      </c>
      <c r="D423" s="22" t="inlineStr">
        <is>
          <t>2025년 11월</t>
        </is>
      </c>
      <c r="E423" s="28" t="n">
        <v>27000</v>
      </c>
      <c r="F423" s="28" t="n">
        <v>24300</v>
      </c>
      <c r="G423" s="29" t="n">
        <v>0</v>
      </c>
      <c r="H423" s="29" t="n">
        <v>1170</v>
      </c>
      <c r="I423" s="21" t="inlineStr">
        <is>
          <t>2025</t>
        </is>
      </c>
      <c r="J423" s="21" t="inlineStr">
        <is>
          <t xml:space="preserve"> 1</t>
        </is>
      </c>
      <c r="K423" s="30">
        <f>(E423-F423)/IF(E423&gt;0,E423,1)</f>
        <v/>
      </c>
    </row>
    <row r="424">
      <c r="A424" s="22" t="inlineStr">
        <is>
          <t>1400만 직장인을 위한 챗GPT 비즈니스 프롬프트</t>
        </is>
      </c>
      <c r="B424" s="22" t="inlineStr">
        <is>
          <t>민진홍, 유경화</t>
        </is>
      </c>
      <c r="C424" s="22" t="inlineStr">
        <is>
          <t>성안당</t>
        </is>
      </c>
      <c r="D424" s="22" t="inlineStr">
        <is>
          <t>2025년 02월</t>
        </is>
      </c>
      <c r="E424" s="28" t="n">
        <v>23000</v>
      </c>
      <c r="F424" s="28" t="n">
        <v>20700</v>
      </c>
      <c r="G424" s="29" t="n">
        <v>92</v>
      </c>
      <c r="H424" s="29" t="n">
        <v>1254</v>
      </c>
      <c r="I424" s="21" t="inlineStr">
        <is>
          <t>2025</t>
        </is>
      </c>
      <c r="J424" s="21" t="inlineStr">
        <is>
          <t xml:space="preserve"> 0</t>
        </is>
      </c>
      <c r="K424" s="30">
        <f>(E424-F424)/IF(E424&gt;0,E424,1)</f>
        <v/>
      </c>
    </row>
    <row r="425">
      <c r="A425" s="22" t="inlineStr">
        <is>
          <t>오렌지3 with 파이썬</t>
        </is>
      </c>
      <c r="B425" s="22" t="inlineStr">
        <is>
          <t>김현철, 김종혜, 박종화, 임진숙</t>
        </is>
      </c>
      <c r="C425" s="22" t="inlineStr">
        <is>
          <t>생능북스</t>
        </is>
      </c>
      <c r="D425" s="22" t="inlineStr">
        <is>
          <t>2024년 07월</t>
        </is>
      </c>
      <c r="E425" s="28" t="n">
        <v>30000</v>
      </c>
      <c r="F425" s="28" t="n">
        <v>27000</v>
      </c>
      <c r="G425" s="29" t="n">
        <v>6</v>
      </c>
      <c r="H425" s="29" t="n">
        <v>1692</v>
      </c>
      <c r="I425" s="21" t="inlineStr">
        <is>
          <t>2024</t>
        </is>
      </c>
      <c r="J425" s="21" t="inlineStr">
        <is>
          <t xml:space="preserve"> 0</t>
        </is>
      </c>
      <c r="K425" s="30">
        <f>(E425-F425)/IF(E425&gt;0,E425,1)</f>
        <v/>
      </c>
    </row>
    <row r="426">
      <c r="A426" s="22" t="inlineStr">
        <is>
          <t>으뜸 데이터 분석과 머신러닝</t>
        </is>
      </c>
      <c r="B426" s="22" t="inlineStr">
        <is>
          <t>박동규, 강영민, 김병욱</t>
        </is>
      </c>
      <c r="C426" s="22" t="inlineStr">
        <is>
          <t>생능출판사</t>
        </is>
      </c>
      <c r="D426" s="22" t="inlineStr">
        <is>
          <t>2024년 12월</t>
        </is>
      </c>
      <c r="E426" s="28" t="n">
        <v>32000</v>
      </c>
      <c r="F426" s="28" t="n">
        <v>32000</v>
      </c>
      <c r="G426" s="29" t="n">
        <v>0</v>
      </c>
      <c r="H426" s="29" t="n">
        <v>1086</v>
      </c>
      <c r="I426" s="21" t="inlineStr">
        <is>
          <t>2024</t>
        </is>
      </c>
      <c r="J426" s="21" t="inlineStr">
        <is>
          <t xml:space="preserve"> 1</t>
        </is>
      </c>
      <c r="K426" s="30">
        <f>(E426-F426)/IF(E426&gt;0,E426,1)</f>
        <v/>
      </c>
    </row>
    <row r="427">
      <c r="A427" s="22" t="inlineStr">
        <is>
          <t>회사에서 바로 쓰는 AI 치트키</t>
        </is>
      </c>
      <c r="B427" s="22" t="inlineStr">
        <is>
          <t>이혜정, 윤재현, 엄혜경</t>
        </is>
      </c>
      <c r="C427" s="22" t="inlineStr">
        <is>
          <t>애드앤미디어</t>
        </is>
      </c>
      <c r="D427" s="22" t="inlineStr">
        <is>
          <t>2025년 06월</t>
        </is>
      </c>
      <c r="E427" s="28" t="n">
        <v>20000</v>
      </c>
      <c r="F427" s="28" t="n">
        <v>18000</v>
      </c>
      <c r="G427" s="29" t="n">
        <v>17</v>
      </c>
      <c r="H427" s="29" t="n">
        <v>1140</v>
      </c>
      <c r="I427" s="21" t="inlineStr">
        <is>
          <t>2025</t>
        </is>
      </c>
      <c r="J427" s="21" t="inlineStr">
        <is>
          <t xml:space="preserve"> 0</t>
        </is>
      </c>
      <c r="K427" s="30">
        <f>(E427-F427)/IF(E427&gt;0,E427,1)</f>
        <v/>
      </c>
    </row>
    <row r="428">
      <c r="A428" s="22" t="inlineStr">
        <is>
          <t>ChatGPT 마케팅</t>
        </is>
      </c>
      <c r="B428" s="22" t="inlineStr">
        <is>
          <t>임헌수</t>
        </is>
      </c>
      <c r="C428" s="22" t="inlineStr">
        <is>
          <t>이코노믹북스</t>
        </is>
      </c>
      <c r="D428" s="22" t="inlineStr">
        <is>
          <t>2025년 01월</t>
        </is>
      </c>
      <c r="E428" s="28" t="n">
        <v>25000</v>
      </c>
      <c r="F428" s="28" t="n">
        <v>22500</v>
      </c>
      <c r="G428" s="29" t="n">
        <v>31</v>
      </c>
      <c r="H428" s="29" t="n">
        <v>1002</v>
      </c>
      <c r="I428" s="21" t="inlineStr">
        <is>
          <t>2025</t>
        </is>
      </c>
      <c r="J428" s="21" t="inlineStr">
        <is>
          <t xml:space="preserve"> 0</t>
        </is>
      </c>
      <c r="K428" s="30">
        <f>(E428-F428)/IF(E428&gt;0,E428,1)</f>
        <v/>
      </c>
    </row>
    <row r="429">
      <c r="A429" s="22" t="inlineStr">
        <is>
          <t>혼자 AI로 끝까지 완성하는 풀스택 온라인 게임 개발</t>
        </is>
      </c>
      <c r="B429" s="22" t="inlineStr">
        <is>
          <t>정금호</t>
        </is>
      </c>
      <c r="C429" s="22" t="inlineStr">
        <is>
          <t>로드북</t>
        </is>
      </c>
      <c r="D429" s="22" t="inlineStr">
        <is>
          <t>2026년 01월</t>
        </is>
      </c>
      <c r="E429" s="28" t="n">
        <v>30000</v>
      </c>
      <c r="F429" s="28" t="n">
        <v>27000</v>
      </c>
      <c r="G429" s="29" t="n">
        <v>1</v>
      </c>
      <c r="H429" s="29" t="n">
        <v>858</v>
      </c>
      <c r="I429" s="21" t="inlineStr">
        <is>
          <t>2026</t>
        </is>
      </c>
      <c r="J429" s="21" t="inlineStr">
        <is>
          <t xml:space="preserve"> 0</t>
        </is>
      </c>
      <c r="K429" s="30">
        <f>(E429-F429)/IF(E429&gt;0,E429,1)</f>
        <v/>
      </c>
    </row>
    <row r="430">
      <c r="A430" s="22" t="inlineStr">
        <is>
          <t>GPTs 제작·노출·고도화·수익화 진짜 잘함</t>
        </is>
      </c>
      <c r="B430" s="22" t="inlineStr">
        <is>
          <t>이태경</t>
        </is>
      </c>
      <c r="C430" s="22" t="inlineStr">
        <is>
          <t>리코멘드</t>
        </is>
      </c>
      <c r="D430" s="22" t="inlineStr">
        <is>
          <t>2024년 12월</t>
        </is>
      </c>
      <c r="E430" s="28" t="n">
        <v>18800</v>
      </c>
      <c r="F430" s="28" t="n">
        <v>16920</v>
      </c>
      <c r="G430" s="29" t="n">
        <v>21</v>
      </c>
      <c r="H430" s="29" t="n">
        <v>798</v>
      </c>
      <c r="I430" s="21" t="inlineStr">
        <is>
          <t>2024</t>
        </is>
      </c>
      <c r="J430" s="21" t="inlineStr">
        <is>
          <t xml:space="preserve"> 1</t>
        </is>
      </c>
      <c r="K430" s="30">
        <f>(E430-F430)/IF(E430&gt;0,E430,1)</f>
        <v/>
      </c>
    </row>
    <row r="431">
      <c r="A431" s="22" t="inlineStr">
        <is>
          <t>AI  혁명</t>
        </is>
      </c>
      <c r="B431" s="22" t="inlineStr">
        <is>
          <t>송경희</t>
        </is>
      </c>
      <c r="C431" s="22" t="inlineStr">
        <is>
          <t>메디치미디어</t>
        </is>
      </c>
      <c r="D431" s="22" t="inlineStr">
        <is>
          <t>2025년 05월</t>
        </is>
      </c>
      <c r="E431" s="28" t="n">
        <v>20000</v>
      </c>
      <c r="F431" s="28" t="n">
        <v>18000</v>
      </c>
      <c r="G431" s="29" t="n">
        <v>2</v>
      </c>
      <c r="H431" s="29" t="n">
        <v>1914</v>
      </c>
      <c r="I431" s="21" t="inlineStr">
        <is>
          <t>2025</t>
        </is>
      </c>
      <c r="J431" s="21" t="inlineStr">
        <is>
          <t xml:space="preserve"> 0</t>
        </is>
      </c>
      <c r="K431" s="30">
        <f>(E431-F431)/IF(E431&gt;0,E431,1)</f>
        <v/>
      </c>
    </row>
    <row r="432">
      <c r="A432" s="22" t="inlineStr">
        <is>
          <t>피그마 with AI</t>
        </is>
      </c>
      <c r="B432" s="22" t="inlineStr">
        <is>
          <t>신승희</t>
        </is>
      </c>
      <c r="C432" s="22" t="inlineStr">
        <is>
          <t>길벗캠퍼스</t>
        </is>
      </c>
      <c r="D432" s="22" t="inlineStr">
        <is>
          <t>2025년 08월</t>
        </is>
      </c>
      <c r="E432" s="28" t="n">
        <v>27000</v>
      </c>
      <c r="F432" s="28" t="n">
        <v>27000</v>
      </c>
      <c r="G432" s="29" t="n">
        <v>4</v>
      </c>
      <c r="H432" s="29" t="n">
        <v>870</v>
      </c>
      <c r="I432" s="21" t="inlineStr">
        <is>
          <t>2025</t>
        </is>
      </c>
      <c r="J432" s="21" t="inlineStr">
        <is>
          <t xml:space="preserve"> 0</t>
        </is>
      </c>
      <c r="K432" s="30">
        <f>(E432-F432)/IF(E432&gt;0,E432,1)</f>
        <v/>
      </c>
    </row>
    <row r="433">
      <c r="A433" s="22" t="inlineStr">
        <is>
          <t>돈이 되는 AI 영상만들기</t>
        </is>
      </c>
      <c r="B433" s="22" t="inlineStr">
        <is>
          <t>심동엽</t>
        </is>
      </c>
      <c r="C433" s="22" t="inlineStr">
        <is>
          <t>비엘북스</t>
        </is>
      </c>
      <c r="D433" s="22" t="inlineStr">
        <is>
          <t>2025년 03월</t>
        </is>
      </c>
      <c r="E433" s="28" t="n">
        <v>22000</v>
      </c>
      <c r="F433" s="28" t="n">
        <v>19800</v>
      </c>
      <c r="G433" s="29" t="n">
        <v>2</v>
      </c>
      <c r="H433" s="29" t="n">
        <v>744</v>
      </c>
      <c r="I433" s="21" t="inlineStr">
        <is>
          <t>2025</t>
        </is>
      </c>
      <c r="J433" s="21" t="inlineStr">
        <is>
          <t xml:space="preserve"> 0</t>
        </is>
      </c>
      <c r="K433" s="30">
        <f>(E433-F433)/IF(E433&gt;0,E433,1)</f>
        <v/>
      </c>
    </row>
    <row r="434">
      <c r="A434" s="22" t="inlineStr">
        <is>
          <t>1인 앱 개발, 커서 AI와 함께 배우기</t>
        </is>
      </c>
      <c r="B434" s="22" t="inlineStr">
        <is>
          <t>이석현</t>
        </is>
      </c>
      <c r="C434" s="22" t="inlineStr">
        <is>
          <t>아이콕스(iCox)</t>
        </is>
      </c>
      <c r="D434" s="22" t="inlineStr">
        <is>
          <t>2025년 09월</t>
        </is>
      </c>
      <c r="E434" s="28" t="n">
        <v>30000</v>
      </c>
      <c r="F434" s="28" t="n">
        <v>27000</v>
      </c>
      <c r="G434" s="29" t="n">
        <v>1</v>
      </c>
      <c r="H434" s="29" t="n">
        <v>648</v>
      </c>
      <c r="I434" s="21" t="inlineStr">
        <is>
          <t>2025</t>
        </is>
      </c>
      <c r="J434" s="21" t="inlineStr">
        <is>
          <t xml:space="preserve"> 0</t>
        </is>
      </c>
      <c r="K434" s="30">
        <f>(E434-F434)/IF(E434&gt;0,E434,1)</f>
        <v/>
      </c>
    </row>
    <row r="435">
      <c r="A435" s="22" t="inlineStr">
        <is>
          <t>AI로 쉽게 만드는 캔바 콘텐츠 디자인</t>
        </is>
      </c>
      <c r="B435" s="22" t="inlineStr">
        <is>
          <t>임진영(갓찌뇽)</t>
        </is>
      </c>
      <c r="C435" s="22" t="inlineStr">
        <is>
          <t>시대인</t>
        </is>
      </c>
      <c r="D435" s="22" t="inlineStr">
        <is>
          <t>2025년 10월</t>
        </is>
      </c>
      <c r="E435" s="28" t="n">
        <v>18000</v>
      </c>
      <c r="F435" s="28" t="n">
        <v>16200</v>
      </c>
      <c r="G435" s="29" t="n">
        <v>18</v>
      </c>
      <c r="H435" s="29" t="n">
        <v>828</v>
      </c>
      <c r="I435" s="21" t="inlineStr">
        <is>
          <t>2025</t>
        </is>
      </c>
      <c r="J435" s="21" t="inlineStr">
        <is>
          <t xml:space="preserve"> 1</t>
        </is>
      </c>
      <c r="K435" s="30">
        <f>(E435-F435)/IF(E435&gt;0,E435,1)</f>
        <v/>
      </c>
    </row>
    <row r="436">
      <c r="A436" s="22" t="inlineStr">
        <is>
          <t>챗GPT를 활용한 파이썬 프로그래밍</t>
        </is>
      </c>
      <c r="B436" s="22" t="inlineStr">
        <is>
          <t>김종덕</t>
        </is>
      </c>
      <c r="C436" s="22" t="inlineStr">
        <is>
          <t>아이티포럼</t>
        </is>
      </c>
      <c r="D436" s="22" t="inlineStr">
        <is>
          <t>2025년 08월</t>
        </is>
      </c>
      <c r="E436" s="28" t="n">
        <v>32000</v>
      </c>
      <c r="F436" s="28" t="n">
        <v>32000</v>
      </c>
      <c r="G436" s="29" t="n">
        <v>0</v>
      </c>
      <c r="H436" s="29" t="n">
        <v>642</v>
      </c>
      <c r="I436" s="21" t="inlineStr">
        <is>
          <t>2025</t>
        </is>
      </c>
      <c r="J436" s="21" t="inlineStr">
        <is>
          <t xml:space="preserve"> 0</t>
        </is>
      </c>
      <c r="K436" s="30">
        <f>(E436-F436)/IF(E436&gt;0,E436,1)</f>
        <v/>
      </c>
    </row>
    <row r="437">
      <c r="A437" s="22" t="inlineStr">
        <is>
          <t>인공지능은 생각하지 않는다</t>
        </is>
      </c>
      <c r="B437" s="22" t="inlineStr">
        <is>
          <t>김송규</t>
        </is>
      </c>
      <c r="C437" s="22" t="inlineStr">
        <is>
          <t>좋은습관연구소</t>
        </is>
      </c>
      <c r="D437" s="22" t="inlineStr">
        <is>
          <t>2025년 05월</t>
        </is>
      </c>
      <c r="E437" s="28" t="n">
        <v>18500</v>
      </c>
      <c r="F437" s="28" t="n">
        <v>16650</v>
      </c>
      <c r="G437" s="29" t="n">
        <v>16</v>
      </c>
      <c r="H437" s="29" t="n">
        <v>771</v>
      </c>
      <c r="I437" s="21" t="inlineStr">
        <is>
          <t>2025</t>
        </is>
      </c>
      <c r="J437" s="21" t="inlineStr">
        <is>
          <t xml:space="preserve"> 0</t>
        </is>
      </c>
      <c r="K437" s="30">
        <f>(E437-F437)/IF(E437&gt;0,E437,1)</f>
        <v/>
      </c>
    </row>
    <row r="438">
      <c r="A438" s="22" t="inlineStr">
        <is>
          <t>머신러닝을 위한 수학</t>
        </is>
      </c>
      <c r="B438" s="22" t="inlineStr">
        <is>
          <t>이병준</t>
        </is>
      </c>
      <c r="C438" s="22" t="inlineStr">
        <is>
          <t>한빛아카데미</t>
        </is>
      </c>
      <c r="D438" s="22" t="inlineStr">
        <is>
          <t>2022년 12월</t>
        </is>
      </c>
      <c r="E438" s="28" t="n">
        <v>28000</v>
      </c>
      <c r="F438" s="28" t="n">
        <v>28000</v>
      </c>
      <c r="G438" s="29" t="n">
        <v>0</v>
      </c>
      <c r="H438" s="29" t="n">
        <v>630</v>
      </c>
      <c r="I438" s="21" t="inlineStr">
        <is>
          <t>2022</t>
        </is>
      </c>
      <c r="J438" s="21" t="inlineStr">
        <is>
          <t xml:space="preserve"> 1</t>
        </is>
      </c>
      <c r="K438" s="30">
        <f>(E438-F438)/IF(E438&gt;0,E438,1)</f>
        <v/>
      </c>
    </row>
    <row r="439">
      <c r="A439" s="22" t="inlineStr">
        <is>
          <t>소라 2 AI</t>
        </is>
      </c>
      <c r="B439" s="22" t="inlineStr">
        <is>
          <t>박범희, 앤미디어</t>
        </is>
      </c>
      <c r="C439" s="22" t="inlineStr">
        <is>
          <t>생능북스</t>
        </is>
      </c>
      <c r="D439" s="22" t="inlineStr">
        <is>
          <t>2026년 02월</t>
        </is>
      </c>
      <c r="E439" s="28" t="n">
        <v>25000</v>
      </c>
      <c r="F439" s="28" t="n">
        <v>22500</v>
      </c>
      <c r="G439" s="29" t="n">
        <v>36</v>
      </c>
      <c r="H439" s="29" t="n">
        <v>630</v>
      </c>
      <c r="I439" s="21" t="inlineStr">
        <is>
          <t>2026</t>
        </is>
      </c>
      <c r="J439" s="21" t="inlineStr">
        <is>
          <t xml:space="preserve"> 0</t>
        </is>
      </c>
      <c r="K439" s="30">
        <f>(E439-F439)/IF(E439&gt;0,E439,1)</f>
        <v/>
      </c>
    </row>
    <row r="440">
      <c r="A440" s="22" t="inlineStr">
        <is>
          <t>HCI 3.0</t>
        </is>
      </c>
      <c r="B440" s="22" t="inlineStr">
        <is>
          <t>김진우, 연세대학교 HCI Lab</t>
        </is>
      </c>
      <c r="C440" s="22" t="inlineStr">
        <is>
          <t>안그라픽스</t>
        </is>
      </c>
      <c r="D440" s="22" t="inlineStr">
        <is>
          <t>2024년 07월</t>
        </is>
      </c>
      <c r="E440" s="28" t="n">
        <v>35000</v>
      </c>
      <c r="F440" s="28" t="n">
        <v>31500</v>
      </c>
      <c r="G440" s="29" t="n">
        <v>1</v>
      </c>
      <c r="H440" s="29" t="n">
        <v>558</v>
      </c>
      <c r="I440" s="21" t="inlineStr">
        <is>
          <t>2024</t>
        </is>
      </c>
      <c r="J440" s="21" t="inlineStr">
        <is>
          <t xml:space="preserve"> 0</t>
        </is>
      </c>
      <c r="K440" s="30">
        <f>(E440-F440)/IF(E440&gt;0,E440,1)</f>
        <v/>
      </c>
    </row>
    <row r="441">
      <c r="A441" s="22" t="inlineStr">
        <is>
          <t>그림으로 배우는 양자 컴퓨터</t>
        </is>
      </c>
      <c r="B441" s="22" t="inlineStr">
        <is>
          <t>미나토 유이치로, 이승훈</t>
        </is>
      </c>
      <c r="C441" s="22" t="inlineStr">
        <is>
          <t>영진닷컴</t>
        </is>
      </c>
      <c r="D441" s="22" t="inlineStr">
        <is>
          <t>2021년 10월</t>
        </is>
      </c>
      <c r="E441" s="28" t="n">
        <v>18000</v>
      </c>
      <c r="F441" s="28" t="n">
        <v>16200</v>
      </c>
      <c r="G441" s="29" t="n">
        <v>13</v>
      </c>
      <c r="H441" s="29" t="n">
        <v>636</v>
      </c>
      <c r="I441" s="21" t="inlineStr">
        <is>
          <t>2021</t>
        </is>
      </c>
      <c r="J441" s="21" t="inlineStr">
        <is>
          <t xml:space="preserve"> 1</t>
        </is>
      </c>
      <c r="K441" s="30">
        <f>(E441-F441)/IF(E441&gt;0,E441,1)</f>
        <v/>
      </c>
    </row>
    <row r="442">
      <c r="A442" s="22" t="inlineStr">
        <is>
          <t>만들면서 배우는 생성형 AI 첫걸음</t>
        </is>
      </c>
      <c r="B442" s="22" t="inlineStr">
        <is>
          <t>천인국, 천명준</t>
        </is>
      </c>
      <c r="C442" s="22" t="inlineStr">
        <is>
          <t>생능출판사</t>
        </is>
      </c>
      <c r="D442" s="22" t="inlineStr">
        <is>
          <t>2025년 12월</t>
        </is>
      </c>
      <c r="E442" s="28" t="n">
        <v>29000</v>
      </c>
      <c r="F442" s="28" t="n">
        <v>29000</v>
      </c>
      <c r="G442" s="29" t="n">
        <v>0</v>
      </c>
      <c r="H442" s="29" t="n">
        <v>1698</v>
      </c>
      <c r="I442" s="21" t="inlineStr">
        <is>
          <t>2025</t>
        </is>
      </c>
      <c r="J442" s="21" t="inlineStr">
        <is>
          <t xml:space="preserve"> 1</t>
        </is>
      </c>
      <c r="K442" s="30">
        <f>(E442-F442)/IF(E442&gt;0,E442,1)</f>
        <v/>
      </c>
    </row>
    <row r="443">
      <c r="A443" s="22" t="inlineStr">
        <is>
          <t>따라만 하세요 챗GPT 비오3 VEO3 미드저니 AI로 유튜브 쇼츠 인스타그램 릴스 틱톡 네이버 클립 숏폼 인공지능 동영상 만들기 제작 책 학원강의 교재보다 좋은 USB 강좌 교육(USB)</t>
        </is>
      </c>
      <c r="B443" s="22" t="inlineStr">
        <is>
          <t>액션미디어 편집부</t>
        </is>
      </c>
      <c r="C443" s="22" t="inlineStr">
        <is>
          <t>액션미디어</t>
        </is>
      </c>
      <c r="D443" s="22" t="inlineStr">
        <is>
          <t>2025년 12월</t>
        </is>
      </c>
      <c r="E443" s="28" t="n">
        <v>39800</v>
      </c>
      <c r="F443" s="28" t="n">
        <v>39800</v>
      </c>
      <c r="G443" s="29" t="n">
        <v>1</v>
      </c>
      <c r="H443" s="29" t="n">
        <v>546</v>
      </c>
      <c r="I443" s="21" t="inlineStr">
        <is>
          <t>2025</t>
        </is>
      </c>
      <c r="J443" s="21" t="inlineStr">
        <is>
          <t xml:space="preserve"> 1</t>
        </is>
      </c>
      <c r="K443" s="30">
        <f>(E443-F443)/IF(E443&gt;0,E443,1)</f>
        <v/>
      </c>
    </row>
    <row r="444">
      <c r="A444" s="22" t="inlineStr">
        <is>
          <t>문과의 언어로 풀어낸 AI 필수 용어 56</t>
        </is>
      </c>
      <c r="B444" s="22" t="inlineStr">
        <is>
          <t>남규택</t>
        </is>
      </c>
      <c r="C444" s="22" t="inlineStr">
        <is>
          <t>파이돈</t>
        </is>
      </c>
      <c r="D444" s="22" t="inlineStr">
        <is>
          <t>2025년 10월</t>
        </is>
      </c>
      <c r="E444" s="28" t="n">
        <v>13000</v>
      </c>
      <c r="F444" s="28" t="n">
        <v>11700</v>
      </c>
      <c r="G444" s="29" t="n">
        <v>2</v>
      </c>
      <c r="H444" s="29" t="n">
        <v>1128</v>
      </c>
      <c r="I444" s="21" t="inlineStr">
        <is>
          <t>2025</t>
        </is>
      </c>
      <c r="J444" s="21" t="inlineStr">
        <is>
          <t xml:space="preserve"> 1</t>
        </is>
      </c>
      <c r="K444" s="30">
        <f>(E444-F444)/IF(E444&gt;0,E444,1)</f>
        <v/>
      </c>
    </row>
    <row r="445">
      <c r="A445" s="22" t="inlineStr">
        <is>
          <t>AI, 너 내 마케터가 돼라!</t>
        </is>
      </c>
      <c r="B445" s="22" t="inlineStr">
        <is>
          <t>오종현</t>
        </is>
      </c>
      <c r="C445" s="22" t="inlineStr">
        <is>
          <t>e비즈북스</t>
        </is>
      </c>
      <c r="D445" s="22" t="inlineStr">
        <is>
          <t>2025년 01월</t>
        </is>
      </c>
      <c r="E445" s="28" t="n">
        <v>18000</v>
      </c>
      <c r="F445" s="28" t="n">
        <v>16200</v>
      </c>
      <c r="G445" s="29" t="n">
        <v>0</v>
      </c>
      <c r="H445" s="29" t="n">
        <v>522</v>
      </c>
      <c r="I445" s="21" t="inlineStr">
        <is>
          <t>2025</t>
        </is>
      </c>
      <c r="J445" s="21" t="inlineStr">
        <is>
          <t xml:space="preserve"> 0</t>
        </is>
      </c>
      <c r="K445" s="30">
        <f>(E445-F445)/IF(E445&gt;0,E445,1)</f>
        <v/>
      </c>
    </row>
    <row r="446">
      <c r="A446" s="22" t="inlineStr">
        <is>
          <t>파이썬 머신러닝 판다스 데이터 분석</t>
        </is>
      </c>
      <c r="B446" s="22" t="inlineStr">
        <is>
          <t>오승환</t>
        </is>
      </c>
      <c r="C446" s="22" t="inlineStr">
        <is>
          <t>정보문화사</t>
        </is>
      </c>
      <c r="D446" s="22" t="inlineStr">
        <is>
          <t>2024년 06월</t>
        </is>
      </c>
      <c r="E446" s="28" t="n">
        <v>30000</v>
      </c>
      <c r="F446" s="28" t="n">
        <v>27000</v>
      </c>
      <c r="G446" s="29" t="n">
        <v>26</v>
      </c>
      <c r="H446" s="29" t="n">
        <v>546</v>
      </c>
      <c r="I446" s="21" t="inlineStr">
        <is>
          <t>2024</t>
        </is>
      </c>
      <c r="J446" s="21" t="inlineStr">
        <is>
          <t xml:space="preserve"> 0</t>
        </is>
      </c>
      <c r="K446" s="30">
        <f>(E446-F446)/IF(E446&gt;0,E446,1)</f>
        <v/>
      </c>
    </row>
    <row r="447">
      <c r="A447" s="22" t="inlineStr">
        <is>
          <t>가장 쉬운 AI (인공지능) 입문서</t>
        </is>
      </c>
      <c r="B447" s="22" t="inlineStr">
        <is>
          <t>오니시 가나코, 전지혜</t>
        </is>
      </c>
      <c r="C447" s="22" t="inlineStr">
        <is>
          <t>아티오</t>
        </is>
      </c>
      <c r="D447" s="22" t="inlineStr">
        <is>
          <t>2019년 07월</t>
        </is>
      </c>
      <c r="E447" s="28" t="n">
        <v>15000</v>
      </c>
      <c r="F447" s="28" t="n">
        <v>13500</v>
      </c>
      <c r="G447" s="29" t="n">
        <v>19</v>
      </c>
      <c r="H447" s="29" t="n">
        <v>2244</v>
      </c>
      <c r="I447" s="21" t="inlineStr">
        <is>
          <t>2019</t>
        </is>
      </c>
      <c r="J447" s="21" t="inlineStr">
        <is>
          <t xml:space="preserve"> 0</t>
        </is>
      </c>
      <c r="K447" s="30">
        <f>(E447-F447)/IF(E447&gt;0,E447,1)</f>
        <v/>
      </c>
    </row>
    <row r="448">
      <c r="A448" s="22" t="inlineStr">
        <is>
          <t>AI로 완성하는 고수익 유튜브 운영 비법</t>
        </is>
      </c>
      <c r="B448" s="22" t="inlineStr">
        <is>
          <t>현승효(디스이즈머니)</t>
        </is>
      </c>
      <c r="C448" s="22" t="inlineStr">
        <is>
          <t>시대인</t>
        </is>
      </c>
      <c r="D448" s="22" t="inlineStr">
        <is>
          <t>2026년 01월</t>
        </is>
      </c>
      <c r="E448" s="28" t="n">
        <v>18000</v>
      </c>
      <c r="F448" s="28" t="n">
        <v>16200</v>
      </c>
      <c r="G448" s="29" t="n">
        <v>21</v>
      </c>
      <c r="H448" s="29" t="n">
        <v>540</v>
      </c>
      <c r="I448" s="21" t="inlineStr">
        <is>
          <t>2026</t>
        </is>
      </c>
      <c r="J448" s="21" t="inlineStr">
        <is>
          <t xml:space="preserve"> 0</t>
        </is>
      </c>
      <c r="K448" s="30">
        <f>(E448-F448)/IF(E448&gt;0,E448,1)</f>
        <v/>
      </c>
    </row>
    <row r="449">
      <c r="A449" s="22" t="inlineStr">
        <is>
          <t>AI 법률문서 작성법 : 형사사건편</t>
        </is>
      </c>
      <c r="B449" s="22" t="inlineStr">
        <is>
          <t>김종엽</t>
        </is>
      </c>
      <c r="C449" s="22" t="inlineStr">
        <is>
          <t>박영사</t>
        </is>
      </c>
      <c r="D449" s="22" t="inlineStr">
        <is>
          <t>2025년 12월</t>
        </is>
      </c>
      <c r="E449" s="28" t="n">
        <v>28000</v>
      </c>
      <c r="F449" s="28" t="n">
        <v>28000</v>
      </c>
      <c r="G449" s="29" t="n">
        <v>2</v>
      </c>
      <c r="H449" s="29" t="n">
        <v>516</v>
      </c>
      <c r="I449" s="21" t="inlineStr">
        <is>
          <t>2025</t>
        </is>
      </c>
      <c r="J449" s="21" t="inlineStr">
        <is>
          <t xml:space="preserve"> 1</t>
        </is>
      </c>
      <c r="K449" s="30">
        <f>(E449-F449)/IF(E449&gt;0,E449,1)</f>
        <v/>
      </c>
    </row>
    <row r="450">
      <c r="A450" s="22" t="inlineStr">
        <is>
          <t>데이터사이언스 입문</t>
        </is>
      </c>
      <c r="B450" s="22" t="inlineStr">
        <is>
          <t>타케무라 아키미치, 황석형, 김응희, 김민경</t>
        </is>
      </c>
      <c r="C450" s="22" t="inlineStr">
        <is>
          <t>인피니티북스</t>
        </is>
      </c>
      <c r="D450" s="22" t="inlineStr">
        <is>
          <t>2020년 03월</t>
        </is>
      </c>
      <c r="E450" s="28" t="n">
        <v>22000</v>
      </c>
      <c r="F450" s="28" t="n">
        <v>22000</v>
      </c>
      <c r="G450" s="29" t="n">
        <v>0</v>
      </c>
      <c r="H450" s="29" t="n">
        <v>474</v>
      </c>
      <c r="I450" s="21" t="inlineStr">
        <is>
          <t>2020</t>
        </is>
      </c>
      <c r="J450" s="21" t="inlineStr">
        <is>
          <t xml:space="preserve"> 0</t>
        </is>
      </c>
      <c r="K450" s="30">
        <f>(E450-F450)/IF(E450&gt;0,E450,1)</f>
        <v/>
      </c>
    </row>
    <row r="451">
      <c r="A451" s="22" t="inlineStr">
        <is>
          <t>슬기로운 AI 생활</t>
        </is>
      </c>
      <c r="B451" s="22" t="inlineStr">
        <is>
          <t>구자영, 이채연, 박상윤, 김소연</t>
        </is>
      </c>
      <c r="C451" s="22" t="inlineStr">
        <is>
          <t>박영사</t>
        </is>
      </c>
      <c r="D451" s="22" t="inlineStr">
        <is>
          <t>2026년 01월</t>
        </is>
      </c>
      <c r="E451" s="28" t="n">
        <v>17000</v>
      </c>
      <c r="F451" s="28" t="n">
        <v>17000</v>
      </c>
      <c r="G451" s="29" t="n">
        <v>1</v>
      </c>
      <c r="H451" s="29" t="n">
        <v>426</v>
      </c>
      <c r="I451" s="21" t="inlineStr">
        <is>
          <t>2026</t>
        </is>
      </c>
      <c r="J451" s="21" t="inlineStr">
        <is>
          <t xml:space="preserve"> 0</t>
        </is>
      </c>
      <c r="K451" s="30">
        <f>(E451-F451)/IF(E451&gt;0,E451,1)</f>
        <v/>
      </c>
    </row>
    <row r="452">
      <c r="A452" s="22" t="inlineStr">
        <is>
          <t>이토록 쉬운 엑셀 데이터 분석 with 챗GPT</t>
        </is>
      </c>
      <c r="B452" s="22" t="inlineStr">
        <is>
          <t>임선집, 채호창, 신경민</t>
        </is>
      </c>
      <c r="C452" s="22" t="inlineStr">
        <is>
          <t>루비페이퍼</t>
        </is>
      </c>
      <c r="D452" s="22" t="inlineStr">
        <is>
          <t>2024년 07월</t>
        </is>
      </c>
      <c r="E452" s="28" t="n">
        <v>30000</v>
      </c>
      <c r="F452" s="28" t="n">
        <v>27000</v>
      </c>
      <c r="G452" s="29" t="n">
        <v>17</v>
      </c>
      <c r="H452" s="29" t="n">
        <v>468</v>
      </c>
      <c r="I452" s="21" t="inlineStr">
        <is>
          <t>2024</t>
        </is>
      </c>
      <c r="J452" s="21" t="inlineStr">
        <is>
          <t xml:space="preserve"> 0</t>
        </is>
      </c>
      <c r="K452" s="30">
        <f>(E452-F452)/IF(E452&gt;0,E452,1)</f>
        <v/>
      </c>
    </row>
    <row r="453">
      <c r="A453" s="22" t="inlineStr">
        <is>
          <t>파이토치로 완성하는 실전 강화학습</t>
        </is>
      </c>
      <c r="B453" s="22" t="inlineStr">
        <is>
          <t>윤성진</t>
        </is>
      </c>
      <c r="C453" s="22" t="inlineStr">
        <is>
          <t>에이콘온</t>
        </is>
      </c>
      <c r="D453" s="22" t="inlineStr">
        <is>
          <t>2025년 08월</t>
        </is>
      </c>
      <c r="E453" s="28" t="n">
        <v>46000</v>
      </c>
      <c r="F453" s="28" t="n">
        <v>43700</v>
      </c>
      <c r="G453" s="29" t="n">
        <v>0</v>
      </c>
      <c r="H453" s="29" t="n">
        <v>522</v>
      </c>
      <c r="I453" s="21" t="inlineStr">
        <is>
          <t>2025</t>
        </is>
      </c>
      <c r="J453" s="21" t="inlineStr">
        <is>
          <t xml:space="preserve"> 0</t>
        </is>
      </c>
      <c r="K453" s="30">
        <f>(E453-F453)/IF(E453&gt;0,E453,1)</f>
        <v/>
      </c>
    </row>
    <row r="454">
      <c r="A454" s="22" t="inlineStr">
        <is>
          <t>머신 러닝 마스터 클래스</t>
        </is>
      </c>
      <c r="B454" s="22" t="inlineStr">
        <is>
          <t>민재식</t>
        </is>
      </c>
      <c r="C454" s="22" t="inlineStr">
        <is>
          <t>인사이트(insight)</t>
        </is>
      </c>
      <c r="D454" s="22" t="inlineStr">
        <is>
          <t>2025년 01월</t>
        </is>
      </c>
      <c r="E454" s="28" t="n">
        <v>25000</v>
      </c>
      <c r="F454" s="28" t="n">
        <v>22500</v>
      </c>
      <c r="G454" s="29" t="n">
        <v>13</v>
      </c>
      <c r="H454" s="29" t="n">
        <v>456</v>
      </c>
      <c r="I454" s="21" t="inlineStr">
        <is>
          <t>2025</t>
        </is>
      </c>
      <c r="J454" s="21" t="inlineStr">
        <is>
          <t xml:space="preserve"> 0</t>
        </is>
      </c>
      <c r="K454" s="30">
        <f>(E454-F454)/IF(E454&gt;0,E454,1)</f>
        <v/>
      </c>
    </row>
    <row r="455">
      <c r="A455" s="22" t="inlineStr">
        <is>
          <t>선형대수와 통계학으로 배우는 머신러닝 with 파이썬</t>
        </is>
      </c>
      <c r="B455" s="22" t="inlineStr">
        <is>
          <t>장철원</t>
        </is>
      </c>
      <c r="C455" s="22" t="inlineStr">
        <is>
          <t>비제이퍼블릭(BJ퍼블릭)</t>
        </is>
      </c>
      <c r="D455" s="22" t="inlineStr">
        <is>
          <t>2021년 01월</t>
        </is>
      </c>
      <c r="E455" s="28" t="n">
        <v>37500</v>
      </c>
      <c r="F455" s="28" t="n">
        <v>33750</v>
      </c>
      <c r="G455" s="29" t="n">
        <v>15</v>
      </c>
      <c r="H455" s="29" t="n">
        <v>426</v>
      </c>
      <c r="I455" s="21" t="inlineStr">
        <is>
          <t>2021</t>
        </is>
      </c>
      <c r="J455" s="21" t="inlineStr">
        <is>
          <t xml:space="preserve"> 0</t>
        </is>
      </c>
      <c r="K455" s="30">
        <f>(E455-F455)/IF(E455&gt;0,E455,1)</f>
        <v/>
      </c>
    </row>
    <row r="456">
      <c r="A456" s="22" t="inlineStr">
        <is>
          <t>Do it! 딥러닝 입문</t>
        </is>
      </c>
      <c r="B456" s="22" t="inlineStr">
        <is>
          <t>박해선</t>
        </is>
      </c>
      <c r="C456" s="22" t="inlineStr">
        <is>
          <t>이지스퍼블리싱</t>
        </is>
      </c>
      <c r="D456" s="22" t="inlineStr">
        <is>
          <t>2019년 09월</t>
        </is>
      </c>
      <c r="E456" s="28" t="n">
        <v>19800</v>
      </c>
      <c r="F456" s="28" t="n">
        <v>17820</v>
      </c>
      <c r="G456" s="29" t="n">
        <v>55</v>
      </c>
      <c r="H456" s="29" t="n">
        <v>474</v>
      </c>
      <c r="I456" s="21" t="inlineStr">
        <is>
          <t>2019</t>
        </is>
      </c>
      <c r="J456" s="21" t="inlineStr">
        <is>
          <t xml:space="preserve"> 0</t>
        </is>
      </c>
      <c r="K456" s="30">
        <f>(E456-F456)/IF(E456&gt;0,E456,1)</f>
        <v/>
      </c>
    </row>
    <row r="457">
      <c r="A457" s="22" t="inlineStr">
        <is>
          <t>수업이 달라지는 교사 맞춤형 ChatGPT 활용 레시피</t>
        </is>
      </c>
      <c r="B457" s="22" t="inlineStr">
        <is>
          <t>정지영</t>
        </is>
      </c>
      <c r="C457" s="22" t="inlineStr">
        <is>
          <t>내하출판사</t>
        </is>
      </c>
      <c r="D457" s="22" t="inlineStr">
        <is>
          <t>2025년 07월</t>
        </is>
      </c>
      <c r="E457" s="28" t="n">
        <v>25000</v>
      </c>
      <c r="F457" s="28" t="n">
        <v>25000</v>
      </c>
      <c r="G457" s="29" t="n">
        <v>0</v>
      </c>
      <c r="H457" s="29" t="n">
        <v>462</v>
      </c>
      <c r="I457" s="21" t="inlineStr">
        <is>
          <t>2025</t>
        </is>
      </c>
      <c r="J457" s="21" t="inlineStr">
        <is>
          <t xml:space="preserve"> 0</t>
        </is>
      </c>
      <c r="K457" s="30">
        <f>(E457-F457)/IF(E457&gt;0,E457,1)</f>
        <v/>
      </c>
    </row>
    <row r="458">
      <c r="A458" s="22" t="inlineStr">
        <is>
          <t>초보자를 위한 ChatGPT 활용법</t>
        </is>
      </c>
      <c r="B458" s="22" t="inlineStr">
        <is>
          <t>정하영, 이도현</t>
        </is>
      </c>
      <c r="C458" s="22" t="inlineStr">
        <is>
          <t>지식과감성#</t>
        </is>
      </c>
      <c r="D458" s="22" t="inlineStr">
        <is>
          <t>2024년 11월</t>
        </is>
      </c>
      <c r="E458" s="28" t="n">
        <v>20000</v>
      </c>
      <c r="F458" s="28" t="n">
        <v>18000</v>
      </c>
      <c r="G458" s="29" t="n">
        <v>8</v>
      </c>
      <c r="H458" s="29" t="n">
        <v>426</v>
      </c>
      <c r="I458" s="21" t="inlineStr">
        <is>
          <t>2024</t>
        </is>
      </c>
      <c r="J458" s="21" t="inlineStr">
        <is>
          <t xml:space="preserve"> 1</t>
        </is>
      </c>
      <c r="K458" s="30">
        <f>(E458-F458)/IF(E458&gt;0,E458,1)</f>
        <v/>
      </c>
    </row>
    <row r="459">
      <c r="A459" s="22" t="inlineStr">
        <is>
          <t>디지털 전환 시대의 AI 디지털 교육</t>
        </is>
      </c>
      <c r="B459" s="22" t="inlineStr">
        <is>
          <t>홍지연, 홍장우</t>
        </is>
      </c>
      <c r="C459" s="22" t="inlineStr">
        <is>
          <t>생능북스</t>
        </is>
      </c>
      <c r="D459" s="22" t="inlineStr">
        <is>
          <t>2025년 02월</t>
        </is>
      </c>
      <c r="E459" s="28" t="n">
        <v>20000</v>
      </c>
      <c r="F459" s="28" t="n">
        <v>18000</v>
      </c>
      <c r="G459" s="29" t="n">
        <v>26</v>
      </c>
      <c r="H459" s="29" t="n">
        <v>924</v>
      </c>
      <c r="I459" s="21" t="inlineStr">
        <is>
          <t>2025</t>
        </is>
      </c>
      <c r="J459" s="21" t="inlineStr">
        <is>
          <t xml:space="preserve"> 0</t>
        </is>
      </c>
      <c r="K459" s="30">
        <f>(E459-F459)/IF(E459&gt;0,E459,1)</f>
        <v/>
      </c>
    </row>
    <row r="460">
      <c r="A460" s="22" t="inlineStr">
        <is>
          <t>실전 비즈니스 프롬프트 엔지니어링</t>
        </is>
      </c>
      <c r="B460" s="22" t="inlineStr">
        <is>
          <t>전용준, 이진천</t>
        </is>
      </c>
      <c r="C460" s="22" t="inlineStr">
        <is>
          <t>홍릉</t>
        </is>
      </c>
      <c r="D460" s="22" t="inlineStr">
        <is>
          <t>2025년 08월</t>
        </is>
      </c>
      <c r="E460" s="28" t="n">
        <v>35000</v>
      </c>
      <c r="F460" s="28" t="n">
        <v>35000</v>
      </c>
      <c r="G460" s="29" t="n">
        <v>0</v>
      </c>
      <c r="H460" s="29" t="n">
        <v>384</v>
      </c>
      <c r="I460" s="21" t="inlineStr">
        <is>
          <t>2025</t>
        </is>
      </c>
      <c r="J460" s="21" t="inlineStr">
        <is>
          <t xml:space="preserve"> 0</t>
        </is>
      </c>
      <c r="K460" s="30">
        <f>(E460-F460)/IF(E460&gt;0,E460,1)</f>
        <v/>
      </c>
    </row>
    <row r="461">
      <c r="A461" s="22" t="inlineStr">
        <is>
          <t>라즈베리파이5로 구현하는 사물인터넷(IoT)과 인공지능(AI) 자율주행 자동차</t>
        </is>
      </c>
      <c r="B461" s="22" t="inlineStr">
        <is>
          <t>이현, 김경연, 김명생</t>
        </is>
      </c>
      <c r="C461" s="22" t="inlineStr">
        <is>
          <t>광문각</t>
        </is>
      </c>
      <c r="D461" s="22" t="inlineStr">
        <is>
          <t>2025년 08월</t>
        </is>
      </c>
      <c r="E461" s="28" t="n">
        <v>26000</v>
      </c>
      <c r="F461" s="28" t="n">
        <v>26000</v>
      </c>
      <c r="G461" s="29" t="n">
        <v>0</v>
      </c>
      <c r="H461" s="29" t="n">
        <v>450</v>
      </c>
      <c r="I461" s="21" t="inlineStr">
        <is>
          <t>2025</t>
        </is>
      </c>
      <c r="J461" s="21" t="inlineStr">
        <is>
          <t xml:space="preserve"> 0</t>
        </is>
      </c>
      <c r="K461" s="30">
        <f>(E461-F461)/IF(E461&gt;0,E461,1)</f>
        <v/>
      </c>
    </row>
    <row r="462">
      <c r="A462" s="22" t="inlineStr">
        <is>
          <t>감으로 하는 브랜딩은 끝났다</t>
        </is>
      </c>
      <c r="B462" s="22" t="inlineStr">
        <is>
          <t>조연심</t>
        </is>
      </c>
      <c r="C462" s="22" t="inlineStr">
        <is>
          <t>힘찬북스</t>
        </is>
      </c>
      <c r="D462" s="22" t="inlineStr">
        <is>
          <t>2025년 03월</t>
        </is>
      </c>
      <c r="E462" s="28" t="n">
        <v>22000</v>
      </c>
      <c r="F462" s="28" t="n">
        <v>19800</v>
      </c>
      <c r="G462" s="29" t="n">
        <v>45</v>
      </c>
      <c r="H462" s="29" t="n">
        <v>378</v>
      </c>
      <c r="I462" s="21" t="inlineStr">
        <is>
          <t>2025</t>
        </is>
      </c>
      <c r="J462" s="21" t="inlineStr">
        <is>
          <t xml:space="preserve"> 0</t>
        </is>
      </c>
      <c r="K462" s="30">
        <f>(E462-F462)/IF(E462&gt;0,E462,1)</f>
        <v/>
      </c>
    </row>
    <row r="463">
      <c r="A463" s="22" t="inlineStr">
        <is>
          <t>챗GPT 영어회화</t>
        </is>
      </c>
      <c r="B463" s="22" t="inlineStr">
        <is>
          <t>반병현, 김연정</t>
        </is>
      </c>
      <c r="C463" s="22" t="inlineStr">
        <is>
          <t>생능북스</t>
        </is>
      </c>
      <c r="D463" s="22" t="inlineStr">
        <is>
          <t>2023년 08월</t>
        </is>
      </c>
      <c r="E463" s="28" t="n">
        <v>19500</v>
      </c>
      <c r="F463" s="28" t="n">
        <v>17550</v>
      </c>
      <c r="G463" s="29" t="n">
        <v>54</v>
      </c>
      <c r="H463" s="29" t="n">
        <v>390</v>
      </c>
      <c r="I463" s="21" t="inlineStr">
        <is>
          <t>2023</t>
        </is>
      </c>
      <c r="J463" s="21" t="inlineStr">
        <is>
          <t xml:space="preserve"> 0</t>
        </is>
      </c>
      <c r="K463" s="30">
        <f>(E463-F463)/IF(E463&gt;0,E463,1)</f>
        <v/>
      </c>
    </row>
    <row r="464">
      <c r="A464" s="22" t="inlineStr">
        <is>
          <t>인공지능</t>
        </is>
      </c>
      <c r="B464" s="22" t="inlineStr">
        <is>
          <t>이건명</t>
        </is>
      </c>
      <c r="C464" s="22" t="inlineStr">
        <is>
          <t>생능출판사</t>
        </is>
      </c>
      <c r="D464" s="22" t="inlineStr">
        <is>
          <t>2018년 09월</t>
        </is>
      </c>
      <c r="E464" s="28" t="n">
        <v>35000</v>
      </c>
      <c r="F464" s="28" t="n">
        <v>35000</v>
      </c>
      <c r="G464" s="29" t="n">
        <v>8</v>
      </c>
      <c r="H464" s="29" t="n">
        <v>342</v>
      </c>
      <c r="I464" s="21" t="inlineStr">
        <is>
          <t>2018</t>
        </is>
      </c>
      <c r="J464" s="21" t="inlineStr">
        <is>
          <t xml:space="preserve"> 0</t>
        </is>
      </c>
      <c r="K464" s="30">
        <f>(E464-F464)/IF(E464&gt;0,E464,1)</f>
        <v/>
      </c>
    </row>
    <row r="465">
      <c r="A465" s="22" t="inlineStr">
        <is>
          <t>모방하는 기계들의 시대</t>
        </is>
      </c>
      <c r="B465" s="22" t="inlineStr">
        <is>
          <t>김태훈</t>
        </is>
      </c>
      <c r="C465" s="22" t="inlineStr">
        <is>
          <t>좋은습관연구소</t>
        </is>
      </c>
      <c r="D465" s="22" t="inlineStr">
        <is>
          <t>2026년 01월</t>
        </is>
      </c>
      <c r="E465" s="28" t="n">
        <v>20000</v>
      </c>
      <c r="F465" s="28" t="n">
        <v>18000</v>
      </c>
      <c r="G465" s="29" t="n">
        <v>2</v>
      </c>
      <c r="H465" s="29" t="n">
        <v>366</v>
      </c>
      <c r="I465" s="21" t="inlineStr">
        <is>
          <t>2026</t>
        </is>
      </c>
      <c r="J465" s="21" t="inlineStr">
        <is>
          <t xml:space="preserve"> 0</t>
        </is>
      </c>
      <c r="K465" s="30">
        <f>(E465-F465)/IF(E465&gt;0,E465,1)</f>
        <v/>
      </c>
    </row>
    <row r="466">
      <c r="A466" s="22" t="inlineStr">
        <is>
          <t>PHYSICAL AI: 인공지능에 몸을 더하다</t>
        </is>
      </c>
      <c r="B466" s="22" t="inlineStr">
        <is>
          <t>손병희, 주해종, 최창훈</t>
        </is>
      </c>
      <c r="C466" s="22" t="inlineStr">
        <is>
          <t>지오북스</t>
        </is>
      </c>
      <c r="D466" s="22" t="inlineStr">
        <is>
          <t>2025년 11월</t>
        </is>
      </c>
      <c r="E466" s="28" t="n">
        <v>24000</v>
      </c>
      <c r="F466" s="28" t="n">
        <v>24000</v>
      </c>
      <c r="G466" s="29" t="n">
        <v>0</v>
      </c>
      <c r="H466" s="29" t="n">
        <v>312</v>
      </c>
      <c r="I466" s="21" t="inlineStr">
        <is>
          <t>2025</t>
        </is>
      </c>
      <c r="J466" s="21" t="inlineStr">
        <is>
          <t xml:space="preserve"> 1</t>
        </is>
      </c>
      <c r="K466" s="30">
        <f>(E466-F466)/IF(E466&gt;0,E466,1)</f>
        <v/>
      </c>
    </row>
    <row r="467">
      <c r="A467" s="22" t="inlineStr">
        <is>
          <t>누구나 쉽게 배우는 딥러닝 스타트</t>
        </is>
      </c>
      <c r="B467" s="22" t="inlineStr">
        <is>
          <t>박동규</t>
        </is>
      </c>
      <c r="C467" s="22" t="inlineStr">
        <is>
          <t>인피니티북스</t>
        </is>
      </c>
      <c r="D467" s="22" t="inlineStr">
        <is>
          <t>2023년 12월</t>
        </is>
      </c>
      <c r="E467" s="28" t="n">
        <v>30000</v>
      </c>
      <c r="F467" s="28" t="n">
        <v>28500</v>
      </c>
      <c r="G467" s="29" t="n">
        <v>1</v>
      </c>
      <c r="H467" s="29" t="n">
        <v>330</v>
      </c>
      <c r="I467" s="21" t="inlineStr">
        <is>
          <t>2023</t>
        </is>
      </c>
      <c r="J467" s="21" t="inlineStr">
        <is>
          <t xml:space="preserve"> 1</t>
        </is>
      </c>
      <c r="K467" s="30">
        <f>(E467-F467)/IF(E467&gt;0,E467,1)</f>
        <v/>
      </c>
    </row>
    <row r="468">
      <c r="A468" s="22" t="inlineStr">
        <is>
          <t>Prophet 시계열 데이터 분석</t>
        </is>
      </c>
      <c r="B468" s="22" t="inlineStr">
        <is>
          <t>그렉 래퍼티, 임선집, 채호창</t>
        </is>
      </c>
      <c r="C468" s="22" t="inlineStr">
        <is>
          <t>루비페이퍼</t>
        </is>
      </c>
      <c r="D468" s="22" t="inlineStr">
        <is>
          <t>2025년 10월</t>
        </is>
      </c>
      <c r="E468" s="28" t="n">
        <v>28000</v>
      </c>
      <c r="F468" s="28" t="n">
        <v>25200</v>
      </c>
      <c r="G468" s="29" t="n">
        <v>0</v>
      </c>
      <c r="H468" s="29" t="n">
        <v>366</v>
      </c>
      <c r="I468" s="21" t="inlineStr">
        <is>
          <t>2025</t>
        </is>
      </c>
      <c r="J468" s="21" t="inlineStr">
        <is>
          <t xml:space="preserve"> 1</t>
        </is>
      </c>
      <c r="K468" s="30">
        <f>(E468-F468)/IF(E468&gt;0,E468,1)</f>
        <v/>
      </c>
    </row>
    <row r="469">
      <c r="A469" s="22" t="inlineStr">
        <is>
          <t>AX2025 세상을 변화시키는 AX</t>
        </is>
      </c>
      <c r="B469" s="22" t="inlineStr">
        <is>
          <t>윤커뮤니케이션즈 디지털미디어랩</t>
        </is>
      </c>
      <c r="C469" s="22" t="inlineStr">
        <is>
          <t>연두에디션</t>
        </is>
      </c>
      <c r="D469" s="22" t="inlineStr">
        <is>
          <t>2025년 02월</t>
        </is>
      </c>
      <c r="E469" s="28" t="n">
        <v>19000</v>
      </c>
      <c r="F469" s="28" t="n">
        <v>19000</v>
      </c>
      <c r="G469" s="29" t="n">
        <v>19</v>
      </c>
      <c r="H469" s="29" t="n">
        <v>330</v>
      </c>
      <c r="I469" s="21" t="inlineStr">
        <is>
          <t>2025</t>
        </is>
      </c>
      <c r="J469" s="21" t="inlineStr">
        <is>
          <t xml:space="preserve"> 0</t>
        </is>
      </c>
      <c r="K469" s="30">
        <f>(E469-F469)/IF(E469&gt;0,E469,1)</f>
        <v/>
      </c>
    </row>
    <row r="470">
      <c r="A470" s="22" t="inlineStr">
        <is>
          <t>업무 생산성을 확 높이는 AI 서비스</t>
        </is>
      </c>
      <c r="B470" s="22" t="inlineStr">
        <is>
          <t>김종철</t>
        </is>
      </c>
      <c r="C470" s="22" t="inlineStr">
        <is>
          <t>성안당</t>
        </is>
      </c>
      <c r="D470" s="22" t="inlineStr">
        <is>
          <t>2025년 01월</t>
        </is>
      </c>
      <c r="E470" s="28" t="n">
        <v>20000</v>
      </c>
      <c r="F470" s="28" t="n">
        <v>18000</v>
      </c>
      <c r="G470" s="29" t="n">
        <v>36</v>
      </c>
      <c r="H470" s="29" t="n">
        <v>384</v>
      </c>
      <c r="I470" s="21" t="inlineStr">
        <is>
          <t>2025</t>
        </is>
      </c>
      <c r="J470" s="21" t="inlineStr">
        <is>
          <t xml:space="preserve"> 0</t>
        </is>
      </c>
      <c r="K470" s="30">
        <f>(E470-F470)/IF(E470&gt;0,E470,1)</f>
        <v/>
      </c>
    </row>
    <row r="471">
      <c r="A471" s="22" t="inlineStr">
        <is>
          <t>비전공자를 위한 딥러닝</t>
        </is>
      </c>
      <c r="B471" s="22" t="inlineStr">
        <is>
          <t>윤준호</t>
        </is>
      </c>
      <c r="C471" s="22" t="inlineStr">
        <is>
          <t>디지털북스</t>
        </is>
      </c>
      <c r="D471" s="22" t="inlineStr">
        <is>
          <t>2022년 02월</t>
        </is>
      </c>
      <c r="E471" s="28" t="n">
        <v>12000</v>
      </c>
      <c r="F471" s="28" t="n">
        <v>10800</v>
      </c>
      <c r="G471" s="29" t="n">
        <v>12</v>
      </c>
      <c r="H471" s="29" t="n">
        <v>372</v>
      </c>
      <c r="I471" s="21" t="inlineStr">
        <is>
          <t>2022</t>
        </is>
      </c>
      <c r="J471" s="21" t="inlineStr">
        <is>
          <t xml:space="preserve"> 0</t>
        </is>
      </c>
      <c r="K471" s="30">
        <f>(E471-F471)/IF(E471&gt;0,E471,1)</f>
        <v/>
      </c>
    </row>
    <row r="472">
      <c r="A472" s="22" t="inlineStr">
        <is>
          <t>라즈베리파이로 만드는 인공지능과 사물인터넷</t>
        </is>
      </c>
      <c r="B472" s="22" t="inlineStr">
        <is>
          <t>장문철</t>
        </is>
      </c>
      <c r="C472" s="22" t="inlineStr">
        <is>
          <t>먼슬리북스</t>
        </is>
      </c>
      <c r="D472" s="22" t="inlineStr">
        <is>
          <t>2026년 03월</t>
        </is>
      </c>
      <c r="E472" s="28" t="n">
        <v>22500</v>
      </c>
      <c r="F472" s="28" t="n">
        <v>20250</v>
      </c>
      <c r="G472" s="29" t="n">
        <v>8</v>
      </c>
      <c r="H472" s="29" t="n">
        <v>264</v>
      </c>
      <c r="I472" s="21" t="inlineStr">
        <is>
          <t>2026</t>
        </is>
      </c>
      <c r="J472" s="21" t="inlineStr">
        <is>
          <t xml:space="preserve"> 0</t>
        </is>
      </c>
      <c r="K472" s="30">
        <f>(E472-F472)/IF(E472&gt;0,E472,1)</f>
        <v/>
      </c>
    </row>
    <row r="473">
      <c r="A473" s="22" t="inlineStr">
        <is>
          <t>전자인간의 탄생</t>
        </is>
      </c>
      <c r="B473" s="22" t="inlineStr">
        <is>
          <t>배종성</t>
        </is>
      </c>
      <c r="C473" s="22" t="inlineStr">
        <is>
          <t>페스트북</t>
        </is>
      </c>
      <c r="D473" s="22" t="inlineStr">
        <is>
          <t>2025년 10월</t>
        </is>
      </c>
      <c r="E473" s="28" t="n">
        <v>18000</v>
      </c>
      <c r="F473" s="28" t="n">
        <v>16200</v>
      </c>
      <c r="G473" s="29" t="n">
        <v>6</v>
      </c>
      <c r="H473" s="29" t="n">
        <v>390</v>
      </c>
      <c r="I473" s="21" t="inlineStr">
        <is>
          <t>2025</t>
        </is>
      </c>
      <c r="J473" s="21" t="inlineStr">
        <is>
          <t xml:space="preserve"> 1</t>
        </is>
      </c>
      <c r="K473" s="30">
        <f>(E473-F473)/IF(E473&gt;0,E473,1)</f>
        <v/>
      </c>
    </row>
    <row r="474">
      <c r="A474" s="22" t="inlineStr">
        <is>
          <t>이것이 생성형 AI다</t>
        </is>
      </c>
      <c r="B474" s="22" t="inlineStr">
        <is>
          <t>김명락</t>
        </is>
      </c>
      <c r="C474" s="22" t="inlineStr">
        <is>
          <t>슬로디미디어</t>
        </is>
      </c>
      <c r="D474" s="22" t="inlineStr">
        <is>
          <t>2025년 02월</t>
        </is>
      </c>
      <c r="E474" s="28" t="n">
        <v>16800</v>
      </c>
      <c r="F474" s="28" t="n">
        <v>15120</v>
      </c>
      <c r="G474" s="29" t="n">
        <v>15</v>
      </c>
      <c r="H474" s="29" t="n">
        <v>306</v>
      </c>
      <c r="I474" s="21" t="inlineStr">
        <is>
          <t>2025</t>
        </is>
      </c>
      <c r="J474" s="21" t="inlineStr">
        <is>
          <t xml:space="preserve"> 0</t>
        </is>
      </c>
      <c r="K474" s="30">
        <f>(E474-F474)/IF(E474&gt;0,E474,1)</f>
        <v/>
      </c>
    </row>
    <row r="475">
      <c r="A475" s="22" t="inlineStr">
        <is>
          <t>AI·디지털 문화유산과 떠나는 역사 여행</t>
        </is>
      </c>
      <c r="B475" s="22" t="inlineStr">
        <is>
          <t>디지털문화유산교육연구회, 김수진, 오송이, 윤혜정, 이수진, 정보 더 보기/감추기, 디지털문화유산교육연구회, 김수진, 오송이, 윤혜정, 이수진, 임효진, 조영훈</t>
        </is>
      </c>
      <c r="C475" s="22" t="inlineStr">
        <is>
          <t>폭스에듀</t>
        </is>
      </c>
      <c r="D475" s="22" t="inlineStr">
        <is>
          <t>2024년 10월</t>
        </is>
      </c>
      <c r="E475" s="28" t="n">
        <v>20000</v>
      </c>
      <c r="F475" s="28" t="n">
        <v>18000</v>
      </c>
      <c r="G475" s="29" t="n">
        <v>2</v>
      </c>
      <c r="H475" s="29" t="n">
        <v>276</v>
      </c>
      <c r="I475" s="21" t="inlineStr">
        <is>
          <t>2024</t>
        </is>
      </c>
      <c r="J475" s="21" t="inlineStr">
        <is>
          <t xml:space="preserve"> 1</t>
        </is>
      </c>
      <c r="K475" s="30">
        <f>(E475-F475)/IF(E475&gt;0,E475,1)</f>
        <v/>
      </c>
    </row>
    <row r="476">
      <c r="A476" s="22" t="inlineStr">
        <is>
          <t>AI와 함께 살기</t>
        </is>
      </c>
      <c r="B476" s="22" t="inlineStr">
        <is>
          <t>이운성, 박영순</t>
        </is>
      </c>
      <c r="C476" s="22" t="inlineStr">
        <is>
          <t>살림출판사</t>
        </is>
      </c>
      <c r="D476" s="22" t="inlineStr">
        <is>
          <t>2026년 03월</t>
        </is>
      </c>
      <c r="E476" s="28" t="n">
        <v>9800</v>
      </c>
      <c r="F476" s="28" t="n">
        <v>8820</v>
      </c>
      <c r="G476" s="29" t="n">
        <v>1</v>
      </c>
      <c r="H476" s="29" t="n">
        <v>354</v>
      </c>
      <c r="I476" s="21" t="inlineStr">
        <is>
          <t>2026</t>
        </is>
      </c>
      <c r="J476" s="21" t="inlineStr">
        <is>
          <t xml:space="preserve"> 0</t>
        </is>
      </c>
      <c r="K476" s="30">
        <f>(E476-F476)/IF(E476&gt;0,E476,1)</f>
        <v/>
      </c>
    </row>
    <row r="477">
      <c r="A477" s="22" t="inlineStr">
        <is>
          <t>로봇, 그리고 로봇을 사랑하는 사람들</t>
        </is>
      </c>
      <c r="B477" s="22" t="inlineStr">
        <is>
          <t>이브 헤롤드, 김창규</t>
        </is>
      </c>
      <c r="C477" s="22" t="inlineStr">
        <is>
          <t>현암사</t>
        </is>
      </c>
      <c r="D477" s="22" t="inlineStr">
        <is>
          <t>2026년 03월</t>
        </is>
      </c>
      <c r="E477" s="28" t="n">
        <v>20000</v>
      </c>
      <c r="F477" s="28" t="n">
        <v>18000</v>
      </c>
      <c r="G477" s="29" t="n">
        <v>10</v>
      </c>
      <c r="H477" s="29" t="n">
        <v>306</v>
      </c>
      <c r="I477" s="21" t="inlineStr">
        <is>
          <t>2026</t>
        </is>
      </c>
      <c r="J477" s="21" t="inlineStr">
        <is>
          <t xml:space="preserve"> 0</t>
        </is>
      </c>
      <c r="K477" s="30">
        <f>(E477-F477)/IF(E477&gt;0,E477,1)</f>
        <v/>
      </c>
    </row>
    <row r="478">
      <c r="A478" s="22" t="inlineStr">
        <is>
          <t>왕초보도 7일 만에 완성하는 동화작가</t>
        </is>
      </c>
      <c r="B478" s="22" t="inlineStr">
        <is>
          <t>윤서아, 서성미, 유양석, 손미화, 이은순, 정보 더 보기/감추기, 윤서아, 서성미, 유양석, 손미화, 이은순, 문혜정, 석승희, 이기정, 이성미, 임혜경</t>
        </is>
      </c>
      <c r="C478" s="22" t="inlineStr">
        <is>
          <t>재노북스</t>
        </is>
      </c>
      <c r="D478" s="22" t="inlineStr">
        <is>
          <t>2025년 10월</t>
        </is>
      </c>
      <c r="E478" s="28" t="n">
        <v>34000</v>
      </c>
      <c r="F478" s="28" t="n">
        <v>34000</v>
      </c>
      <c r="G478" s="29" t="n">
        <v>3</v>
      </c>
      <c r="H478" s="29" t="n">
        <v>270</v>
      </c>
      <c r="I478" s="21" t="inlineStr">
        <is>
          <t>2025</t>
        </is>
      </c>
      <c r="J478" s="21" t="inlineStr">
        <is>
          <t xml:space="preserve"> 1</t>
        </is>
      </c>
      <c r="K478" s="30">
        <f>(E478-F478)/IF(E478&gt;0,E478,1)</f>
        <v/>
      </c>
    </row>
    <row r="479">
      <c r="A479" s="22" t="inlineStr">
        <is>
          <t>하루 5분 A.I 챌린지</t>
        </is>
      </c>
      <c r="B479" s="22" t="inlineStr">
        <is>
          <t>이지선</t>
        </is>
      </c>
      <c r="C479" s="22" t="inlineStr">
        <is>
          <t>쑬딴스북</t>
        </is>
      </c>
      <c r="D479" s="22" t="inlineStr">
        <is>
          <t>2025년 10월</t>
        </is>
      </c>
      <c r="E479" s="28" t="n">
        <v>9900</v>
      </c>
      <c r="F479" s="28" t="n">
        <v>8910</v>
      </c>
      <c r="G479" s="29" t="n">
        <v>0</v>
      </c>
      <c r="H479" s="29" t="n">
        <v>330</v>
      </c>
      <c r="I479" s="21" t="inlineStr">
        <is>
          <t>2025</t>
        </is>
      </c>
      <c r="J479" s="21" t="inlineStr">
        <is>
          <t xml:space="preserve"> 1</t>
        </is>
      </c>
      <c r="K479" s="30">
        <f>(E479-F479)/IF(E479&gt;0,E479,1)</f>
        <v/>
      </c>
    </row>
    <row r="480">
      <c r="A480" s="22" t="inlineStr">
        <is>
          <t>사물인터넷 개론</t>
        </is>
      </c>
      <c r="B480" s="22" t="inlineStr">
        <is>
          <t>서경환, 최종철, 권명규, 장원규</t>
        </is>
      </c>
      <c r="C480" s="22" t="inlineStr">
        <is>
          <t>배움터</t>
        </is>
      </c>
      <c r="D480" s="22" t="inlineStr">
        <is>
          <t>2023년 02월</t>
        </is>
      </c>
      <c r="E480" s="28" t="n">
        <v>22000</v>
      </c>
      <c r="F480" s="28" t="n">
        <v>22000</v>
      </c>
      <c r="G480" s="29" t="n">
        <v>0</v>
      </c>
      <c r="H480" s="29" t="n">
        <v>372</v>
      </c>
      <c r="I480" s="21" t="inlineStr">
        <is>
          <t>2023</t>
        </is>
      </c>
      <c r="J480" s="21" t="inlineStr">
        <is>
          <t xml:space="preserve"> 0</t>
        </is>
      </c>
      <c r="K480" s="30">
        <f>(E480-F480)/IF(E480&gt;0,E480,1)</f>
        <v/>
      </c>
    </row>
    <row r="481">
      <c r="A481" s="22" t="inlineStr">
        <is>
          <t>처음 만나는 AI 수학 with Python</t>
        </is>
      </c>
      <c r="B481" s="22" t="inlineStr">
        <is>
          <t>아즈마 유키나가, 유세라</t>
        </is>
      </c>
      <c r="C481" s="22" t="inlineStr">
        <is>
          <t>영진닷컴</t>
        </is>
      </c>
      <c r="D481" s="22" t="inlineStr">
        <is>
          <t>2021년 01월</t>
        </is>
      </c>
      <c r="E481" s="28" t="n">
        <v>23000</v>
      </c>
      <c r="F481" s="28" t="n">
        <v>20700</v>
      </c>
      <c r="G481" s="29" t="n">
        <v>4</v>
      </c>
      <c r="H481" s="29" t="n">
        <v>291</v>
      </c>
      <c r="I481" s="21" t="inlineStr">
        <is>
          <t>2021</t>
        </is>
      </c>
      <c r="J481" s="21" t="inlineStr">
        <is>
          <t xml:space="preserve"> 0</t>
        </is>
      </c>
      <c r="K481" s="30">
        <f>(E481-F481)/IF(E481&gt;0,E481,1)</f>
        <v/>
      </c>
    </row>
    <row r="482">
      <c r="A482" s="22" t="inlineStr">
        <is>
          <t>컴퓨터과학의 기초를 다지는 단단한 수학: CONCRETE MATHEMATICS 구체 수학</t>
        </is>
      </c>
      <c r="B482" s="22" t="inlineStr">
        <is>
          <t>로널드 L. 그레이엄, 도널드 E. 커누스, 오렌 파타슈닉, 류광</t>
        </is>
      </c>
      <c r="C482" s="22" t="inlineStr">
        <is>
          <t>인사이트(insight)</t>
        </is>
      </c>
      <c r="D482" s="22" t="inlineStr">
        <is>
          <t>2018년 04월</t>
        </is>
      </c>
      <c r="E482" s="28" t="n">
        <v>49000</v>
      </c>
      <c r="F482" s="28" t="n">
        <v>44100</v>
      </c>
      <c r="G482" s="29" t="n">
        <v>13</v>
      </c>
      <c r="H482" s="29" t="n">
        <v>294</v>
      </c>
      <c r="I482" s="21" t="inlineStr">
        <is>
          <t>2018</t>
        </is>
      </c>
      <c r="J482" s="21" t="inlineStr">
        <is>
          <t xml:space="preserve"> 0</t>
        </is>
      </c>
      <c r="K482" s="30">
        <f>(E482-F482)/IF(E482&gt;0,E482,1)</f>
        <v/>
      </c>
    </row>
    <row r="483">
      <c r="A483" s="22" t="inlineStr">
        <is>
          <t>AI와 함께라서</t>
        </is>
      </c>
      <c r="B483" s="22" t="inlineStr">
        <is>
          <t>최원설, 이재하, 고은비</t>
        </is>
      </c>
      <c r="C483" s="22" t="inlineStr">
        <is>
          <t>지식터</t>
        </is>
      </c>
      <c r="D483" s="22" t="inlineStr">
        <is>
          <t>2026년 01월</t>
        </is>
      </c>
      <c r="E483" s="28" t="n">
        <v>18000</v>
      </c>
      <c r="F483" s="28" t="n">
        <v>18000</v>
      </c>
      <c r="G483" s="29" t="n">
        <v>3</v>
      </c>
      <c r="H483" s="29" t="n">
        <v>336</v>
      </c>
      <c r="I483" s="21" t="inlineStr">
        <is>
          <t>2026</t>
        </is>
      </c>
      <c r="J483" s="21" t="inlineStr">
        <is>
          <t xml:space="preserve"> 0</t>
        </is>
      </c>
      <c r="K483" s="30">
        <f>(E483-F483)/IF(E483&gt;0,E483,1)</f>
        <v/>
      </c>
    </row>
    <row r="484">
      <c r="A484" s="22" t="inlineStr">
        <is>
          <t>음악을 SUNO 아!</t>
        </is>
      </c>
      <c r="B484" s="22" t="inlineStr">
        <is>
          <t>최안식</t>
        </is>
      </c>
      <c r="C484" s="22" t="inlineStr">
        <is>
          <t>팀스토리</t>
        </is>
      </c>
      <c r="D484" s="22" t="inlineStr">
        <is>
          <t>2025년 12월</t>
        </is>
      </c>
      <c r="E484" s="28" t="n">
        <v>40000</v>
      </c>
      <c r="F484" s="28" t="n">
        <v>40000</v>
      </c>
      <c r="G484" s="29" t="n">
        <v>0</v>
      </c>
      <c r="H484" s="29" t="n">
        <v>294</v>
      </c>
      <c r="I484" s="21" t="inlineStr">
        <is>
          <t>2025</t>
        </is>
      </c>
      <c r="J484" s="21" t="inlineStr">
        <is>
          <t xml:space="preserve"> 1</t>
        </is>
      </c>
      <c r="K484" s="30">
        <f>(E484-F484)/IF(E484&gt;0,E484,1)</f>
        <v/>
      </c>
    </row>
    <row r="485">
      <c r="A485" s="22" t="inlineStr">
        <is>
          <t>우리 아이는 AI 교실에 갑니다 : AI와 디지털 시대, 부모의 불안 극복 가이드</t>
        </is>
      </c>
      <c r="B485" s="22" t="inlineStr">
        <is>
          <t>전주은</t>
        </is>
      </c>
      <c r="C485" s="22" t="inlineStr">
        <is>
          <t>성안당</t>
        </is>
      </c>
      <c r="D485" s="22" t="inlineStr">
        <is>
          <t>2025년 12월</t>
        </is>
      </c>
      <c r="E485" s="28" t="n">
        <v>19000</v>
      </c>
      <c r="F485" s="28" t="n">
        <v>17100</v>
      </c>
      <c r="G485" s="29" t="n">
        <v>31</v>
      </c>
      <c r="H485" s="29" t="n">
        <v>432</v>
      </c>
      <c r="I485" s="21" t="inlineStr">
        <is>
          <t>2025</t>
        </is>
      </c>
      <c r="J485" s="21" t="inlineStr">
        <is>
          <t xml:space="preserve"> 1</t>
        </is>
      </c>
      <c r="K485" s="30">
        <f>(E485-F485)/IF(E485&gt;0,E485,1)</f>
        <v/>
      </c>
    </row>
    <row r="486">
      <c r="A486" s="22" t="inlineStr">
        <is>
          <t>컴퓨터 비전을 위한 다중 시점 기하학 2/e</t>
        </is>
      </c>
      <c r="B486" s="22" t="inlineStr">
        <is>
          <t>리차드 하틀리, 앤드류 지서만, 추정호</t>
        </is>
      </c>
      <c r="C486" s="22" t="inlineStr">
        <is>
          <t>에이콘출판사</t>
        </is>
      </c>
      <c r="D486" s="22" t="inlineStr">
        <is>
          <t>2022년 08월</t>
        </is>
      </c>
      <c r="E486" s="28" t="n">
        <v>65000</v>
      </c>
      <c r="F486" s="28" t="n">
        <v>58500</v>
      </c>
      <c r="G486" s="29" t="n">
        <v>2</v>
      </c>
      <c r="H486" s="29" t="n">
        <v>282</v>
      </c>
      <c r="I486" s="21" t="inlineStr">
        <is>
          <t>2022</t>
        </is>
      </c>
      <c r="J486" s="21" t="inlineStr">
        <is>
          <t xml:space="preserve"> 0</t>
        </is>
      </c>
      <c r="K486" s="30">
        <f>(E486-F486)/IF(E486&gt;0,E486,1)</f>
        <v/>
      </c>
    </row>
    <row r="487">
      <c r="A487" s="22" t="inlineStr">
        <is>
          <t>자율주행차량 기술 입문</t>
        </is>
      </c>
      <c r="B487" s="22" t="inlineStr">
        <is>
          <t>행키 샤프리, 김은도, 남기혁, 서영빈, 이승열</t>
        </is>
      </c>
      <c r="C487" s="22" t="inlineStr">
        <is>
          <t>에이콘출판사</t>
        </is>
      </c>
      <c r="D487" s="22" t="inlineStr">
        <is>
          <t>2021년 05월</t>
        </is>
      </c>
      <c r="E487" s="28" t="n">
        <v>33000</v>
      </c>
      <c r="F487" s="28" t="n">
        <v>29700</v>
      </c>
      <c r="G487" s="29" t="n">
        <v>4</v>
      </c>
      <c r="H487" s="29" t="n">
        <v>354</v>
      </c>
      <c r="I487" s="21" t="inlineStr">
        <is>
          <t>2021</t>
        </is>
      </c>
      <c r="J487" s="21" t="inlineStr">
        <is>
          <t xml:space="preserve"> 0</t>
        </is>
      </c>
      <c r="K487" s="30">
        <f>(E487-F487)/IF(E487&gt;0,E487,1)</f>
        <v/>
      </c>
    </row>
    <row r="488">
      <c r="A488" s="22" t="inlineStr">
        <is>
          <t>랭체인 입문</t>
        </is>
      </c>
      <c r="B488" s="22" t="inlineStr">
        <is>
          <t>오승환</t>
        </is>
      </c>
      <c r="C488" s="22" t="inlineStr">
        <is>
          <t>정보문화사</t>
        </is>
      </c>
      <c r="D488" s="22" t="inlineStr">
        <is>
          <t>2025년 03월</t>
        </is>
      </c>
      <c r="E488" s="28" t="n">
        <v>25000</v>
      </c>
      <c r="F488" s="28" t="n">
        <v>22500</v>
      </c>
      <c r="G488" s="29" t="n">
        <v>14</v>
      </c>
      <c r="H488" s="29" t="n">
        <v>246</v>
      </c>
      <c r="I488" s="21" t="inlineStr">
        <is>
          <t>2025</t>
        </is>
      </c>
      <c r="J488" s="21" t="inlineStr">
        <is>
          <t xml:space="preserve"> 0</t>
        </is>
      </c>
      <c r="K488" s="30">
        <f>(E488-F488)/IF(E488&gt;0,E488,1)</f>
        <v/>
      </c>
    </row>
    <row r="489">
      <c r="A489" s="22" t="inlineStr">
        <is>
          <t>생성형 AI 에듀테크 수업  바로 따라하기</t>
        </is>
      </c>
      <c r="B489" s="22" t="inlineStr">
        <is>
          <t>김정훈, 서유진, 김혜영, 한은진, 방지영, 정보 더 보기/감추기, 김정훈, 서유진, 김혜영, 한은진, 방지영, 주수진</t>
        </is>
      </c>
      <c r="C489" s="22" t="inlineStr">
        <is>
          <t>행복한북창고</t>
        </is>
      </c>
      <c r="D489" s="22" t="inlineStr">
        <is>
          <t>2024년 12월</t>
        </is>
      </c>
      <c r="E489" s="28" t="n">
        <v>30900</v>
      </c>
      <c r="F489" s="28" t="n">
        <v>30900</v>
      </c>
      <c r="G489" s="29" t="n">
        <v>0</v>
      </c>
      <c r="H489" s="29" t="n">
        <v>258</v>
      </c>
      <c r="I489" s="21" t="inlineStr">
        <is>
          <t>2024</t>
        </is>
      </c>
      <c r="J489" s="21" t="inlineStr">
        <is>
          <t xml:space="preserve"> 1</t>
        </is>
      </c>
      <c r="K489" s="30">
        <f>(E489-F489)/IF(E489&gt;0,E489,1)</f>
        <v/>
      </c>
    </row>
    <row r="490">
      <c r="A490" s="22" t="inlineStr">
        <is>
          <t>해석 가능한 AI</t>
        </is>
      </c>
      <c r="B490" s="22" t="inlineStr">
        <is>
          <t>아제이 탐피, 최영재</t>
        </is>
      </c>
      <c r="C490" s="22" t="inlineStr">
        <is>
          <t>에이콘출판사</t>
        </is>
      </c>
      <c r="D490" s="22" t="inlineStr">
        <is>
          <t>2024년 04월</t>
        </is>
      </c>
      <c r="E490" s="28" t="n">
        <v>35000</v>
      </c>
      <c r="F490" s="28" t="n">
        <v>31500</v>
      </c>
      <c r="G490" s="29" t="n">
        <v>0</v>
      </c>
      <c r="H490" s="29" t="n">
        <v>264</v>
      </c>
      <c r="I490" s="21" t="inlineStr">
        <is>
          <t>2024</t>
        </is>
      </c>
      <c r="J490" s="21" t="inlineStr">
        <is>
          <t xml:space="preserve"> 0</t>
        </is>
      </c>
      <c r="K490" s="30">
        <f>(E490-F490)/IF(E490&gt;0,E490,1)</f>
        <v/>
      </c>
    </row>
    <row r="491">
      <c r="A491" s="22" t="inlineStr">
        <is>
          <t>챗GPT 활용 영어 공부</t>
        </is>
      </c>
      <c r="B491" s="22" t="inlineStr">
        <is>
          <t>윤근식</t>
        </is>
      </c>
      <c r="C491" s="22" t="inlineStr">
        <is>
          <t>포르체</t>
        </is>
      </c>
      <c r="D491" s="22" t="inlineStr">
        <is>
          <t>2023년 08월</t>
        </is>
      </c>
      <c r="E491" s="28" t="n">
        <v>19000</v>
      </c>
      <c r="F491" s="28" t="n">
        <v>17100</v>
      </c>
      <c r="G491" s="29" t="n">
        <v>20</v>
      </c>
      <c r="H491" s="29" t="n">
        <v>246</v>
      </c>
      <c r="I491" s="21" t="inlineStr">
        <is>
          <t>2023</t>
        </is>
      </c>
      <c r="J491" s="21" t="inlineStr">
        <is>
          <t xml:space="preserve"> 0</t>
        </is>
      </c>
      <c r="K491" s="30">
        <f>(E491-F491)/IF(E491&gt;0,E491,1)</f>
        <v/>
      </c>
    </row>
    <row r="492">
      <c r="A492" s="22" t="inlineStr">
        <is>
          <t>만화로 쉽게 배우는 머신러닝</t>
        </is>
      </c>
      <c r="B492" s="22" t="inlineStr">
        <is>
          <t>아라키 마사히로, 김정아, 이강덕</t>
        </is>
      </c>
      <c r="C492" s="22" t="inlineStr">
        <is>
          <t>성안당</t>
        </is>
      </c>
      <c r="D492" s="22" t="inlineStr">
        <is>
          <t>2019년 05월</t>
        </is>
      </c>
      <c r="E492" s="28" t="n">
        <v>15000</v>
      </c>
      <c r="F492" s="28" t="n">
        <v>13500</v>
      </c>
      <c r="G492" s="29" t="n">
        <v>4</v>
      </c>
      <c r="H492" s="29" t="n">
        <v>216</v>
      </c>
      <c r="I492" s="21" t="inlineStr">
        <is>
          <t>2019</t>
        </is>
      </c>
      <c r="J492" s="21" t="inlineStr">
        <is>
          <t xml:space="preserve"> 0</t>
        </is>
      </c>
      <c r="K492" s="30">
        <f>(E492-F492)/IF(E492&gt;0,E492,1)</f>
        <v/>
      </c>
    </row>
    <row r="493">
      <c r="A493" s="22" t="inlineStr">
        <is>
          <t>보이는 통계학 with 파이썬</t>
        </is>
      </c>
      <c r="B493" s="22" t="inlineStr">
        <is>
          <t>손원</t>
        </is>
      </c>
      <c r="C493" s="22" t="inlineStr">
        <is>
          <t>한빛아카데미</t>
        </is>
      </c>
      <c r="D493" s="22" t="inlineStr">
        <is>
          <t>2026년 01월</t>
        </is>
      </c>
      <c r="E493" s="28" t="n">
        <v>26000</v>
      </c>
      <c r="F493" s="28" t="n">
        <v>26000</v>
      </c>
      <c r="G493" s="29" t="n">
        <v>0</v>
      </c>
      <c r="H493" s="29" t="n">
        <v>246</v>
      </c>
      <c r="I493" s="21" t="inlineStr">
        <is>
          <t>2026</t>
        </is>
      </c>
      <c r="J493" s="21" t="inlineStr">
        <is>
          <t xml:space="preserve"> 0</t>
        </is>
      </c>
      <c r="K493" s="30">
        <f>(E493-F493)/IF(E493&gt;0,E493,1)</f>
        <v/>
      </c>
    </row>
    <row r="494">
      <c r="A494" s="22" t="inlineStr">
        <is>
          <t>컴퓨터 비전 5/e</t>
        </is>
      </c>
      <c r="B494" s="22" t="inlineStr">
        <is>
          <t>E.R. 데이비스, 전성빈</t>
        </is>
      </c>
      <c r="C494" s="22" t="inlineStr">
        <is>
          <t>에이콘출판사</t>
        </is>
      </c>
      <c r="D494" s="22" t="inlineStr">
        <is>
          <t>2022년 07월</t>
        </is>
      </c>
      <c r="E494" s="28" t="n">
        <v>85000</v>
      </c>
      <c r="F494" s="28" t="n">
        <v>76500</v>
      </c>
      <c r="G494" s="29" t="n">
        <v>3</v>
      </c>
      <c r="H494" s="29" t="n">
        <v>324</v>
      </c>
      <c r="I494" s="21" t="inlineStr">
        <is>
          <t>2022</t>
        </is>
      </c>
      <c r="J494" s="21" t="inlineStr">
        <is>
          <t xml:space="preserve"> 0</t>
        </is>
      </c>
      <c r="K494" s="30">
        <f>(E494-F494)/IF(E494&gt;0,E494,1)</f>
        <v/>
      </c>
    </row>
    <row r="495">
      <c r="A495" s="22" t="inlineStr">
        <is>
          <t>생물정보학 알고리듬 3/e</t>
        </is>
      </c>
      <c r="B495" s="22" t="inlineStr">
        <is>
          <t>필립 콤포, 파벨 페브즈너, 한헌종, 한주현</t>
        </is>
      </c>
      <c r="C495" s="22" t="inlineStr">
        <is>
          <t>에이콘출판사</t>
        </is>
      </c>
      <c r="D495" s="22" t="inlineStr">
        <is>
          <t>2022년 02월</t>
        </is>
      </c>
      <c r="E495" s="28" t="n">
        <v>60000</v>
      </c>
      <c r="F495" s="28" t="n">
        <v>54000</v>
      </c>
      <c r="G495" s="29" t="n">
        <v>3</v>
      </c>
      <c r="H495" s="29" t="n">
        <v>234</v>
      </c>
      <c r="I495" s="21" t="inlineStr">
        <is>
          <t>2022</t>
        </is>
      </c>
      <c r="J495" s="21" t="inlineStr">
        <is>
          <t xml:space="preserve"> 0</t>
        </is>
      </c>
      <c r="K495" s="30">
        <f>(E495-F495)/IF(E495&gt;0,E495,1)</f>
        <v/>
      </c>
    </row>
    <row r="496">
      <c r="A496" s="22" t="inlineStr">
        <is>
          <t>AI가 바꾼 영상제작의 모든 것</t>
        </is>
      </c>
      <c r="B496" s="22" t="inlineStr">
        <is>
          <t>김보승</t>
        </is>
      </c>
      <c r="C496" s="22" t="inlineStr">
        <is>
          <t>BOOKK(부크크)</t>
        </is>
      </c>
      <c r="D496" s="22" t="inlineStr">
        <is>
          <t>2026년 01월</t>
        </is>
      </c>
      <c r="E496" s="28" t="n">
        <v>19000</v>
      </c>
      <c r="F496" s="28" t="n">
        <v>19000</v>
      </c>
      <c r="G496" s="29" t="n">
        <v>0</v>
      </c>
      <c r="H496" s="29" t="n">
        <v>222</v>
      </c>
      <c r="I496" s="21" t="inlineStr">
        <is>
          <t>2026</t>
        </is>
      </c>
      <c r="J496" s="21" t="inlineStr">
        <is>
          <t xml:space="preserve"> 0</t>
        </is>
      </c>
      <c r="K496" s="30">
        <f>(E496-F496)/IF(E496&gt;0,E496,1)</f>
        <v/>
      </c>
    </row>
    <row r="497">
      <c r="A497" s="22" t="inlineStr">
        <is>
          <t>ComfyUI 100선</t>
        </is>
      </c>
      <c r="B497" s="22" t="inlineStr">
        <is>
          <t>조지훈</t>
        </is>
      </c>
      <c r="C497" s="22" t="inlineStr">
        <is>
          <t>비엘북스</t>
        </is>
      </c>
      <c r="D497" s="22" t="inlineStr">
        <is>
          <t>2024년 11월</t>
        </is>
      </c>
      <c r="E497" s="28" t="n">
        <v>33000</v>
      </c>
      <c r="F497" s="28" t="n">
        <v>29700</v>
      </c>
      <c r="G497" s="29" t="n">
        <v>6</v>
      </c>
      <c r="H497" s="29" t="n">
        <v>1314</v>
      </c>
      <c r="I497" s="21" t="inlineStr">
        <is>
          <t>2024</t>
        </is>
      </c>
      <c r="J497" s="21" t="inlineStr">
        <is>
          <t xml:space="preserve"> 1</t>
        </is>
      </c>
      <c r="K497" s="30">
        <f>(E497-F497)/IF(E497&gt;0,E497,1)</f>
        <v/>
      </c>
    </row>
    <row r="498">
      <c r="A498" s="22" t="inlineStr">
        <is>
          <t>부를 창출하는 ChatGPT 활용전략</t>
        </is>
      </c>
      <c r="B498" s="22" t="inlineStr">
        <is>
          <t>정종기</t>
        </is>
      </c>
      <c r="C498" s="22" t="inlineStr">
        <is>
          <t>형설eLife</t>
        </is>
      </c>
      <c r="D498" s="22" t="inlineStr">
        <is>
          <t>2024년 08월</t>
        </is>
      </c>
      <c r="E498" s="28" t="n">
        <v>27000</v>
      </c>
      <c r="F498" s="28" t="n">
        <v>24300</v>
      </c>
      <c r="G498" s="29" t="n">
        <v>0</v>
      </c>
      <c r="H498" s="29" t="n">
        <v>198</v>
      </c>
      <c r="I498" s="21" t="inlineStr">
        <is>
          <t>2024</t>
        </is>
      </c>
      <c r="J498" s="21" t="inlineStr">
        <is>
          <t xml:space="preserve"> 0</t>
        </is>
      </c>
      <c r="K498" s="30">
        <f>(E498-F498)/IF(E498&gt;0,E498,1)</f>
        <v/>
      </c>
    </row>
    <row r="499">
      <c r="A499" s="22" t="inlineStr">
        <is>
          <t>생성형 AI로 수업 레벨 업</t>
        </is>
      </c>
      <c r="B499" s="22" t="inlineStr">
        <is>
          <t>최태준, 문담, 최선경, 송세훈, 장세라, 정보 더 보기/감추기, 최태준, 문담, 최선경, 송세훈, 장세라, 김승주</t>
        </is>
      </c>
      <c r="C499" s="22" t="inlineStr">
        <is>
          <t>학교도서관저널</t>
        </is>
      </c>
      <c r="D499" s="22" t="inlineStr">
        <is>
          <t>2024년 06월</t>
        </is>
      </c>
      <c r="E499" s="28" t="n">
        <v>18000</v>
      </c>
      <c r="F499" s="28" t="n">
        <v>16200</v>
      </c>
      <c r="G499" s="29" t="n">
        <v>7</v>
      </c>
      <c r="H499" s="29" t="n">
        <v>348</v>
      </c>
      <c r="I499" s="21" t="inlineStr">
        <is>
          <t>2024</t>
        </is>
      </c>
      <c r="J499" s="21" t="inlineStr">
        <is>
          <t xml:space="preserve"> 0</t>
        </is>
      </c>
      <c r="K499" s="30">
        <f>(E499-F499)/IF(E499&gt;0,E499,1)</f>
        <v/>
      </c>
    </row>
    <row r="500">
      <c r="A500" s="22" t="inlineStr">
        <is>
          <t>XAI, 설명 가능한 AI</t>
        </is>
      </c>
      <c r="B500" s="22" t="inlineStr">
        <is>
          <t>오오쓰보 나오키, 나카에 도시히로, 후카사와 유타, 도요카 쇼, 사카모토 뎃페이, 정보 더 보기/감추기, 오오쓰보 나오키, 나카에 도시히로, 후카사와 유타, 도요카 쇼, 사카모토 뎃페이, 사토 마코토, 이가라시 겐타, 이치하라 다이키, 호리우치 신고, 김대희</t>
        </is>
      </c>
      <c r="C500" s="22" t="inlineStr">
        <is>
          <t>비제이퍼블릭(BJ퍼블릭)</t>
        </is>
      </c>
      <c r="D500" s="22" t="inlineStr">
        <is>
          <t>2022년 11월</t>
        </is>
      </c>
      <c r="E500" s="28" t="n">
        <v>27000</v>
      </c>
      <c r="F500" s="28" t="n">
        <v>24300</v>
      </c>
      <c r="G500" s="29" t="n">
        <v>10</v>
      </c>
      <c r="H500" s="29" t="n">
        <v>210</v>
      </c>
      <c r="I500" s="21" t="inlineStr">
        <is>
          <t>2022</t>
        </is>
      </c>
      <c r="J500" s="21" t="inlineStr">
        <is>
          <t xml:space="preserve"> 1</t>
        </is>
      </c>
      <c r="K500" s="30">
        <f>(E500-F500)/IF(E500&gt;0,E500,1)</f>
        <v/>
      </c>
    </row>
    <row r="501">
      <c r="A501" s="22" t="inlineStr">
        <is>
          <t>엔트리로 인공지능 만들기</t>
        </is>
      </c>
      <c r="B501" s="22" t="inlineStr">
        <is>
          <t>김민정</t>
        </is>
      </c>
      <c r="C501" s="22" t="inlineStr">
        <is>
          <t>마린북스</t>
        </is>
      </c>
      <c r="D501" s="22" t="inlineStr">
        <is>
          <t>2022년 06월</t>
        </is>
      </c>
      <c r="E501" s="28" t="n">
        <v>14000</v>
      </c>
      <c r="F501" s="28" t="n">
        <v>12600</v>
      </c>
      <c r="G501" s="29" t="n">
        <v>0</v>
      </c>
      <c r="H501" s="29" t="n">
        <v>456</v>
      </c>
      <c r="I501" s="21" t="inlineStr">
        <is>
          <t>2022</t>
        </is>
      </c>
      <c r="J501" s="21" t="inlineStr">
        <is>
          <t xml:space="preserve"> 0</t>
        </is>
      </c>
      <c r="K501" s="30">
        <f>(E501-F501)/IF(E501&gt;0,E501,1)</f>
        <v/>
      </c>
    </row>
    <row r="502">
      <c r="A502" s="22" t="inlineStr">
        <is>
          <t>AI 리터러시 기초</t>
        </is>
      </c>
      <c r="B502" s="22" t="inlineStr">
        <is>
          <t>Ben Jones</t>
        </is>
      </c>
      <c r="C502" s="22" t="inlineStr">
        <is>
          <t>한국마케팅교육</t>
        </is>
      </c>
      <c r="D502" s="22" t="inlineStr">
        <is>
          <t>2025년 08월</t>
        </is>
      </c>
      <c r="E502" s="28" t="n">
        <v>19800</v>
      </c>
      <c r="F502" s="28" t="n">
        <v>17820</v>
      </c>
      <c r="G502" s="29" t="n">
        <v>0</v>
      </c>
      <c r="H502" s="29" t="n">
        <v>186</v>
      </c>
      <c r="I502" s="21" t="inlineStr">
        <is>
          <t>2025</t>
        </is>
      </c>
      <c r="J502" s="21" t="inlineStr">
        <is>
          <t xml:space="preserve"> 0</t>
        </is>
      </c>
      <c r="K502" s="30">
        <f>(E502-F502)/IF(E502&gt;0,E502,1)</f>
        <v/>
      </c>
    </row>
    <row r="503">
      <c r="A503" s="22" t="inlineStr">
        <is>
          <t>초등 인공지능 수업 첫걸음</t>
        </is>
      </c>
      <c r="B503" s="22" t="inlineStr">
        <is>
          <t>김소정, 엄주익, 이다정, 이인혁, 이제욱, 정보 더 보기/감추기, 김소정, 엄주익, 이다정, 이인혁, 이제욱, 이혜지, 장형운, 주은영, 하윤주, 홍유원, 유준상</t>
        </is>
      </c>
      <c r="C503" s="22" t="inlineStr">
        <is>
          <t>비상교육</t>
        </is>
      </c>
      <c r="D503" s="22" t="inlineStr">
        <is>
          <t>2023년 07월</t>
        </is>
      </c>
      <c r="E503" s="28" t="n">
        <v>16000</v>
      </c>
      <c r="F503" s="28" t="n">
        <v>15200</v>
      </c>
      <c r="G503" s="29" t="n">
        <v>2</v>
      </c>
      <c r="H503" s="29" t="n">
        <v>210</v>
      </c>
      <c r="I503" s="21" t="inlineStr">
        <is>
          <t>2023</t>
        </is>
      </c>
      <c r="J503" s="21" t="inlineStr">
        <is>
          <t xml:space="preserve"> 0</t>
        </is>
      </c>
      <c r="K503" s="30">
        <f>(E503-F503)/IF(E503&gt;0,E503,1)</f>
        <v/>
      </c>
    </row>
    <row r="504">
      <c r="A504" s="22" t="inlineStr">
        <is>
          <t>인공지능 기반 의료</t>
        </is>
      </c>
      <c r="B504" s="22" t="inlineStr">
        <is>
          <t>앤서니 C. 창, 고석범</t>
        </is>
      </c>
      <c r="C504" s="22" t="inlineStr">
        <is>
          <t>에이콘출판사</t>
        </is>
      </c>
      <c r="D504" s="22" t="inlineStr">
        <is>
          <t>2023년 07월</t>
        </is>
      </c>
      <c r="E504" s="28" t="n">
        <v>60000</v>
      </c>
      <c r="F504" s="28" t="n">
        <v>54000</v>
      </c>
      <c r="G504" s="29" t="n">
        <v>0</v>
      </c>
      <c r="H504" s="29" t="n">
        <v>174</v>
      </c>
      <c r="I504" s="21" t="inlineStr">
        <is>
          <t>2023</t>
        </is>
      </c>
      <c r="J504" s="21" t="inlineStr">
        <is>
          <t xml:space="preserve"> 0</t>
        </is>
      </c>
      <c r="K504" s="30">
        <f>(E504-F504)/IF(E504&gt;0,E504,1)</f>
        <v/>
      </c>
    </row>
    <row r="505">
      <c r="A505" s="22" t="inlineStr">
        <is>
          <t>챗GPT 영어교실</t>
        </is>
      </c>
      <c r="B505" s="22" t="inlineStr">
        <is>
          <t>반병현, 황현목, 이제종</t>
        </is>
      </c>
      <c r="C505" s="22" t="inlineStr">
        <is>
          <t>생능북스</t>
        </is>
      </c>
      <c r="D505" s="22" t="inlineStr">
        <is>
          <t>2023년 07월</t>
        </is>
      </c>
      <c r="E505" s="28" t="n">
        <v>19000</v>
      </c>
      <c r="F505" s="28" t="n">
        <v>17100</v>
      </c>
      <c r="G505" s="29" t="n">
        <v>30</v>
      </c>
      <c r="H505" s="29" t="n">
        <v>186</v>
      </c>
      <c r="I505" s="21" t="inlineStr">
        <is>
          <t>2023</t>
        </is>
      </c>
      <c r="J505" s="21" t="inlineStr">
        <is>
          <t xml:space="preserve"> 0</t>
        </is>
      </c>
      <c r="K505" s="30">
        <f>(E505-F505)/IF(E505&gt;0,E505,1)</f>
        <v/>
      </c>
    </row>
    <row r="506">
      <c r="A506" s="22" t="inlineStr">
        <is>
          <t>자산운용을 위한 금융 머신러닝</t>
        </is>
      </c>
      <c r="B506" s="22" t="inlineStr">
        <is>
          <t>마르코스 로페즈 데 프라도, 이기홍</t>
        </is>
      </c>
      <c r="C506" s="22" t="inlineStr">
        <is>
          <t>에이콘출판사</t>
        </is>
      </c>
      <c r="D506" s="22" t="inlineStr">
        <is>
          <t>2021년 01월</t>
        </is>
      </c>
      <c r="E506" s="28" t="n">
        <v>20000</v>
      </c>
      <c r="F506" s="28" t="n">
        <v>18000</v>
      </c>
      <c r="G506" s="29" t="n">
        <v>1</v>
      </c>
      <c r="H506" s="29" t="n">
        <v>186</v>
      </c>
      <c r="I506" s="21" t="inlineStr">
        <is>
          <t>2021</t>
        </is>
      </c>
      <c r="J506" s="21" t="inlineStr">
        <is>
          <t xml:space="preserve"> 0</t>
        </is>
      </c>
      <c r="K506" s="30">
        <f>(E506-F506)/IF(E506&gt;0,E506,1)</f>
        <v/>
      </c>
    </row>
    <row r="507">
      <c r="A507" s="22" t="inlineStr">
        <is>
          <t>실용 최적화 알고리즘</t>
        </is>
      </c>
      <c r="B507" s="22" t="inlineStr">
        <is>
          <t>마이켈 J. 코첸더퍼, 팀 A. 윌러, 이기홍</t>
        </is>
      </c>
      <c r="C507" s="22" t="inlineStr">
        <is>
          <t>에이콘출판사</t>
        </is>
      </c>
      <c r="D507" s="22" t="inlineStr">
        <is>
          <t>2020년 09월</t>
        </is>
      </c>
      <c r="E507" s="28" t="n">
        <v>40000</v>
      </c>
      <c r="F507" s="28" t="n">
        <v>36000</v>
      </c>
      <c r="G507" s="29" t="n">
        <v>1</v>
      </c>
      <c r="H507" s="29" t="n">
        <v>234</v>
      </c>
      <c r="I507" s="21" t="inlineStr">
        <is>
          <t>2020</t>
        </is>
      </c>
      <c r="J507" s="21" t="inlineStr">
        <is>
          <t xml:space="preserve"> 0</t>
        </is>
      </c>
      <c r="K507" s="30">
        <f>(E507-F507)/IF(E507&gt;0,E507,1)</f>
        <v/>
      </c>
    </row>
    <row r="508">
      <c r="A508" s="22" t="inlineStr">
        <is>
          <t>야사와 만화로 배우는 인공지능 2</t>
        </is>
      </c>
      <c r="B508" s="22" t="inlineStr">
        <is>
          <t>권건우, 허령</t>
        </is>
      </c>
      <c r="C508" s="22" t="inlineStr">
        <is>
          <t>루나파인북스</t>
        </is>
      </c>
      <c r="D508" s="22" t="inlineStr">
        <is>
          <t>2020년 08월</t>
        </is>
      </c>
      <c r="E508" s="28" t="n">
        <v>16000</v>
      </c>
      <c r="F508" s="28" t="n">
        <v>14400</v>
      </c>
      <c r="G508" s="29" t="n">
        <v>1</v>
      </c>
      <c r="H508" s="29" t="n">
        <v>192</v>
      </c>
      <c r="I508" s="21" t="inlineStr">
        <is>
          <t>2020</t>
        </is>
      </c>
      <c r="J508" s="21" t="inlineStr">
        <is>
          <t xml:space="preserve"> 0</t>
        </is>
      </c>
      <c r="K508" s="30">
        <f>(E508-F508)/IF(E508&gt;0,E508,1)</f>
        <v/>
      </c>
    </row>
    <row r="509">
      <c r="A509" s="22" t="inlineStr">
        <is>
          <t>Do it! 첫 인공지능</t>
        </is>
      </c>
      <c r="B509" s="22" t="inlineStr">
        <is>
          <t>이애리</t>
        </is>
      </c>
      <c r="C509" s="22" t="inlineStr">
        <is>
          <t>이지스퍼블리싱</t>
        </is>
      </c>
      <c r="D509" s="22" t="inlineStr">
        <is>
          <t>2022년 04월</t>
        </is>
      </c>
      <c r="E509" s="28" t="n">
        <v>13000</v>
      </c>
      <c r="F509" s="28" t="n">
        <v>11700</v>
      </c>
      <c r="G509" s="29" t="n">
        <v>8</v>
      </c>
      <c r="H509" s="29" t="n">
        <v>342</v>
      </c>
      <c r="I509" s="21" t="inlineStr">
        <is>
          <t>2022</t>
        </is>
      </c>
      <c r="J509" s="21" t="inlineStr">
        <is>
          <t xml:space="preserve"> 0</t>
        </is>
      </c>
      <c r="K509" s="30">
        <f>(E509-F509)/IF(E509&gt;0,E509,1)</f>
        <v/>
      </c>
    </row>
    <row r="510">
      <c r="A510" s="22" t="inlineStr">
        <is>
          <t>AI에게 나를 묻다</t>
        </is>
      </c>
      <c r="B510" s="22" t="inlineStr">
        <is>
          <t>김가원, 정민주</t>
        </is>
      </c>
      <c r="C510" s="22" t="inlineStr">
        <is>
          <t>처음북스(CheomBooks)</t>
        </is>
      </c>
      <c r="D510" s="22" t="inlineStr">
        <is>
          <t>2026년 02월</t>
        </is>
      </c>
      <c r="E510" s="28" t="n">
        <v>18000</v>
      </c>
      <c r="F510" s="28" t="n">
        <v>16200</v>
      </c>
      <c r="G510" s="29" t="n">
        <v>22</v>
      </c>
      <c r="H510" s="29" t="n">
        <v>174</v>
      </c>
      <c r="I510" s="21" t="inlineStr">
        <is>
          <t>2026</t>
        </is>
      </c>
      <c r="J510" s="21" t="inlineStr">
        <is>
          <t xml:space="preserve"> 0</t>
        </is>
      </c>
      <c r="K510" s="30">
        <f>(E510-F510)/IF(E510&gt;0,E510,1)</f>
        <v/>
      </c>
    </row>
    <row r="511">
      <c r="A511" s="22" t="inlineStr">
        <is>
          <t>AI는 어떻게 예술이 되는가</t>
        </is>
      </c>
      <c r="B511" s="22" t="inlineStr">
        <is>
          <t>라이언 오슬링, 박선주, 박승순, 안소정, 양나리, 정보 더 보기/감추기, 라이언 오슬링, 박선주, 박승순, 안소정, 양나리, 조영각, 권한슬, 구도형</t>
        </is>
      </c>
      <c r="C511" s="22" t="inlineStr">
        <is>
          <t>스튜디오사월</t>
        </is>
      </c>
      <c r="D511" s="22" t="inlineStr">
        <is>
          <t>2024년 10월</t>
        </is>
      </c>
      <c r="E511" s="28" t="n">
        <v>20000</v>
      </c>
      <c r="F511" s="28" t="n">
        <v>18000</v>
      </c>
      <c r="G511" s="29" t="n">
        <v>2</v>
      </c>
      <c r="H511" s="29" t="n">
        <v>162</v>
      </c>
      <c r="I511" s="21" t="inlineStr">
        <is>
          <t>2024</t>
        </is>
      </c>
      <c r="J511" s="21" t="inlineStr">
        <is>
          <t xml:space="preserve"> 1</t>
        </is>
      </c>
      <c r="K511" s="30">
        <f>(E511-F511)/IF(E511&gt;0,E511,1)</f>
        <v/>
      </c>
    </row>
    <row r="512">
      <c r="A512" s="22" t="inlineStr">
        <is>
          <t>텔로에듀 TT 드론코딩 AtoZ</t>
        </is>
      </c>
      <c r="B512" s="22" t="inlineStr">
        <is>
          <t>김형준, 김태훈, 우현호, 부유덕, 서일수</t>
        </is>
      </c>
      <c r="C512" s="22" t="inlineStr">
        <is>
          <t>구미서관</t>
        </is>
      </c>
      <c r="D512" s="22" t="inlineStr">
        <is>
          <t>2022년 01월</t>
        </is>
      </c>
      <c r="E512" s="28" t="n">
        <v>23000</v>
      </c>
      <c r="F512" s="28" t="n">
        <v>23000</v>
      </c>
      <c r="G512" s="29" t="n">
        <v>0</v>
      </c>
      <c r="H512" s="29" t="n">
        <v>240</v>
      </c>
      <c r="I512" s="21" t="inlineStr">
        <is>
          <t>2022</t>
        </is>
      </c>
      <c r="J512" s="21" t="inlineStr">
        <is>
          <t xml:space="preserve"> 0</t>
        </is>
      </c>
      <c r="K512" s="30">
        <f>(E512-F512)/IF(E512&gt;0,E512,1)</f>
        <v/>
      </c>
    </row>
    <row r="513">
      <c r="A513" s="22" t="inlineStr">
        <is>
          <t>AI 디지털리터러시 전문가 남기종,장소영의 스마트폰 AI 챗GPT 사용 길라잡이</t>
        </is>
      </c>
      <c r="B513" s="22" t="inlineStr">
        <is>
          <t>남기종, 장소영</t>
        </is>
      </c>
      <c r="C513" s="22" t="inlineStr">
        <is>
          <t>디지털콘텐츠그룹</t>
        </is>
      </c>
      <c r="D513" s="22" t="inlineStr">
        <is>
          <t>2025년 05월</t>
        </is>
      </c>
      <c r="E513" s="28" t="n">
        <v>18000</v>
      </c>
      <c r="F513" s="28" t="n">
        <v>16200</v>
      </c>
      <c r="G513" s="29" t="n">
        <v>0</v>
      </c>
      <c r="H513" s="29" t="n">
        <v>138</v>
      </c>
      <c r="I513" s="21" t="inlineStr">
        <is>
          <t>2025</t>
        </is>
      </c>
      <c r="J513" s="21" t="inlineStr">
        <is>
          <t xml:space="preserve"> 0</t>
        </is>
      </c>
      <c r="K513" s="30">
        <f>(E513-F513)/IF(E513&gt;0,E513,1)</f>
        <v/>
      </c>
    </row>
    <row r="514">
      <c r="A514" s="22" t="inlineStr">
        <is>
          <t>ECMiner™로 시작하는 인공지능 분석</t>
        </is>
      </c>
      <c r="B514" s="22" t="inlineStr">
        <is>
          <t>민광기, 이혜선, 이근철, 고영명, 최숙, 정보 더 보기/감추기, 민광기, 이혜선, 이근철, 고영명, 최숙, 김삼용</t>
        </is>
      </c>
      <c r="C514" s="22" t="inlineStr">
        <is>
          <t>자유아카데미</t>
        </is>
      </c>
      <c r="D514" s="22" t="inlineStr">
        <is>
          <t>2026년 03월</t>
        </is>
      </c>
      <c r="E514" s="28" t="n">
        <v>33000</v>
      </c>
      <c r="F514" s="28" t="n">
        <v>33000</v>
      </c>
      <c r="G514" s="29" t="n">
        <v>0</v>
      </c>
      <c r="H514" s="29" t="n">
        <v>162</v>
      </c>
      <c r="I514" s="21" t="inlineStr">
        <is>
          <t>2026</t>
        </is>
      </c>
      <c r="J514" s="21" t="inlineStr">
        <is>
          <t xml:space="preserve"> 0</t>
        </is>
      </c>
      <c r="K514" s="30">
        <f>(E514-F514)/IF(E514&gt;0,E514,1)</f>
        <v/>
      </c>
    </row>
    <row r="515">
      <c r="A515" s="22" t="inlineStr">
        <is>
          <t>으뜸 머신러닝</t>
        </is>
      </c>
      <c r="B515" s="22" t="inlineStr">
        <is>
          <t>강영민, 박동규, 김성수</t>
        </is>
      </c>
      <c r="C515" s="22" t="inlineStr">
        <is>
          <t>생능출판사</t>
        </is>
      </c>
      <c r="D515" s="22" t="inlineStr">
        <is>
          <t>2026년 02월</t>
        </is>
      </c>
      <c r="E515" s="28" t="n">
        <v>34000</v>
      </c>
      <c r="F515" s="28" t="n">
        <v>34000</v>
      </c>
      <c r="G515" s="29" t="n">
        <v>0</v>
      </c>
      <c r="H515" s="29" t="n">
        <v>147</v>
      </c>
      <c r="I515" s="21" t="inlineStr">
        <is>
          <t>2026</t>
        </is>
      </c>
      <c r="J515" s="21" t="inlineStr">
        <is>
          <t xml:space="preserve"> 0</t>
        </is>
      </c>
      <c r="K515" s="30">
        <f>(E515-F515)/IF(E515&gt;0,E515,1)</f>
        <v/>
      </c>
    </row>
    <row r="516">
      <c r="A516" s="22" t="inlineStr">
        <is>
          <t>ChatGPT와 아두이노로 만드는 AI 음성비서</t>
        </is>
      </c>
      <c r="B516" s="22" t="inlineStr">
        <is>
          <t>장문철</t>
        </is>
      </c>
      <c r="C516" s="22" t="inlineStr">
        <is>
          <t>먼슬리북스</t>
        </is>
      </c>
      <c r="D516" s="22" t="inlineStr">
        <is>
          <t>2026년 01월</t>
        </is>
      </c>
      <c r="E516" s="28" t="n">
        <v>19500</v>
      </c>
      <c r="F516" s="28" t="n">
        <v>17550</v>
      </c>
      <c r="G516" s="29" t="n">
        <v>9</v>
      </c>
      <c r="H516" s="29" t="n">
        <v>162</v>
      </c>
      <c r="I516" s="21" t="inlineStr">
        <is>
          <t>2026</t>
        </is>
      </c>
      <c r="J516" s="21" t="inlineStr">
        <is>
          <t xml:space="preserve"> 0</t>
        </is>
      </c>
      <c r="K516" s="30">
        <f>(E516-F516)/IF(E516&gt;0,E516,1)</f>
        <v/>
      </c>
    </row>
    <row r="517">
      <c r="A517" s="22" t="inlineStr">
        <is>
          <t>기업의 생존! AI 트랜스포메이션</t>
        </is>
      </c>
      <c r="B517" s="22" t="inlineStr">
        <is>
          <t>정종기</t>
        </is>
      </c>
      <c r="C517" s="22" t="inlineStr">
        <is>
          <t>형설eLife</t>
        </is>
      </c>
      <c r="D517" s="22" t="inlineStr">
        <is>
          <t>2025년 03월</t>
        </is>
      </c>
      <c r="E517" s="28" t="n">
        <v>27000</v>
      </c>
      <c r="F517" s="28" t="n">
        <v>25650</v>
      </c>
      <c r="G517" s="29" t="n">
        <v>0</v>
      </c>
      <c r="H517" s="29" t="n">
        <v>162</v>
      </c>
      <c r="I517" s="21" t="inlineStr">
        <is>
          <t>2025</t>
        </is>
      </c>
      <c r="J517" s="21" t="inlineStr">
        <is>
          <t xml:space="preserve"> 0</t>
        </is>
      </c>
      <c r="K517" s="30">
        <f>(E517-F517)/IF(E517&gt;0,E517,1)</f>
        <v/>
      </c>
    </row>
    <row r="518">
      <c r="A518" s="22" t="inlineStr">
        <is>
          <t>AI, 결국 인간이 써야 한다</t>
        </is>
      </c>
      <c r="B518" s="22" t="inlineStr">
        <is>
          <t>이석현</t>
        </is>
      </c>
      <c r="C518" s="22" t="inlineStr">
        <is>
          <t>아이콕스(iCox)</t>
        </is>
      </c>
      <c r="D518" s="22" t="inlineStr">
        <is>
          <t>2024년 12월</t>
        </is>
      </c>
      <c r="E518" s="28" t="n">
        <v>24000</v>
      </c>
      <c r="F518" s="28" t="n">
        <v>21600</v>
      </c>
      <c r="G518" s="29" t="n">
        <v>13</v>
      </c>
      <c r="H518" s="29" t="n">
        <v>138</v>
      </c>
      <c r="I518" s="21" t="inlineStr">
        <is>
          <t>2024</t>
        </is>
      </c>
      <c r="J518" s="21" t="inlineStr">
        <is>
          <t xml:space="preserve"> 1</t>
        </is>
      </c>
      <c r="K518" s="30">
        <f>(E518-F518)/IF(E518&gt;0,E518,1)</f>
        <v/>
      </c>
    </row>
    <row r="519">
      <c r="A519" s="22" t="inlineStr">
        <is>
          <t>AI를 활용한 쉬운 미디어 콘텐츠 제작하기!</t>
        </is>
      </c>
      <c r="B519" s="22" t="inlineStr">
        <is>
          <t>장세인</t>
        </is>
      </c>
      <c r="C519" s="22" t="inlineStr">
        <is>
          <t>위메이크북</t>
        </is>
      </c>
      <c r="D519" s="22" t="inlineStr">
        <is>
          <t>2024년 07월</t>
        </is>
      </c>
      <c r="E519" s="28" t="n">
        <v>22000</v>
      </c>
      <c r="F519" s="28" t="n">
        <v>19800</v>
      </c>
      <c r="G519" s="29" t="n">
        <v>0</v>
      </c>
      <c r="H519" s="29" t="n">
        <v>126</v>
      </c>
      <c r="I519" s="21" t="inlineStr">
        <is>
          <t>2024</t>
        </is>
      </c>
      <c r="J519" s="21" t="inlineStr">
        <is>
          <t xml:space="preserve"> 0</t>
        </is>
      </c>
      <c r="K519" s="30">
        <f>(E519-F519)/IF(E519&gt;0,E519,1)</f>
        <v/>
      </c>
    </row>
    <row r="520">
      <c r="A520" s="22" t="inlineStr">
        <is>
          <t>인공지능의 어두운 그림자</t>
        </is>
      </c>
      <c r="B520" s="22" t="inlineStr">
        <is>
          <t>김창익</t>
        </is>
      </c>
      <c r="C520" s="22" t="inlineStr">
        <is>
          <t>홍릉</t>
        </is>
      </c>
      <c r="D520" s="22" t="inlineStr">
        <is>
          <t>2024년 07월</t>
        </is>
      </c>
      <c r="E520" s="28" t="n">
        <v>21000</v>
      </c>
      <c r="F520" s="28" t="n">
        <v>21000</v>
      </c>
      <c r="G520" s="29" t="n">
        <v>0</v>
      </c>
      <c r="H520" s="29" t="n">
        <v>168</v>
      </c>
      <c r="I520" s="21" t="inlineStr">
        <is>
          <t>2024</t>
        </is>
      </c>
      <c r="J520" s="21" t="inlineStr">
        <is>
          <t xml:space="preserve"> 0</t>
        </is>
      </c>
      <c r="K520" s="30">
        <f>(E520-F520)/IF(E520&gt;0,E520,1)</f>
        <v/>
      </c>
    </row>
    <row r="521">
      <c r="A521" s="22" t="inlineStr">
        <is>
          <t>머신러닝을 위한 효율적 데이터 레이블링</t>
        </is>
      </c>
      <c r="B521" s="22" t="inlineStr">
        <is>
          <t>로버트 (먼로) 모나크, 김택구, 제갈호준</t>
        </is>
      </c>
      <c r="C521" s="22" t="inlineStr">
        <is>
          <t>에이콘출판사</t>
        </is>
      </c>
      <c r="D521" s="22" t="inlineStr">
        <is>
          <t>2023년 12월</t>
        </is>
      </c>
      <c r="E521" s="28" t="n">
        <v>40000</v>
      </c>
      <c r="F521" s="28" t="n">
        <v>36000</v>
      </c>
      <c r="G521" s="29" t="n">
        <v>0</v>
      </c>
      <c r="H521" s="29" t="n">
        <v>156</v>
      </c>
      <c r="I521" s="21" t="inlineStr">
        <is>
          <t>2023</t>
        </is>
      </c>
      <c r="J521" s="21" t="inlineStr">
        <is>
          <t xml:space="preserve"> 1</t>
        </is>
      </c>
      <c r="K521" s="30">
        <f>(E521-F521)/IF(E521&gt;0,E521,1)</f>
        <v/>
      </c>
    </row>
    <row r="522">
      <c r="A522" s="22" t="inlineStr">
        <is>
          <t>AI로 가속하는 일의 효율화</t>
        </is>
      </c>
      <c r="B522" s="22" t="inlineStr">
        <is>
          <t>하이토 겐고, 콘텐츠 연구소</t>
        </is>
      </c>
      <c r="C522" s="22" t="inlineStr">
        <is>
          <t>정보문화사</t>
        </is>
      </c>
      <c r="D522" s="22" t="inlineStr">
        <is>
          <t>2026년 04월</t>
        </is>
      </c>
      <c r="E522" s="28" t="n">
        <v>16800</v>
      </c>
      <c r="F522" s="28" t="n">
        <v>15120</v>
      </c>
      <c r="G522" s="29" t="n">
        <v>20</v>
      </c>
      <c r="H522" s="29" t="n">
        <v>126</v>
      </c>
      <c r="I522" s="21" t="inlineStr">
        <is>
          <t>2026</t>
        </is>
      </c>
      <c r="J522" s="21" t="inlineStr">
        <is>
          <t xml:space="preserve"> 0</t>
        </is>
      </c>
      <c r="K522" s="30">
        <f>(E522-F522)/IF(E522&gt;0,E522,1)</f>
        <v/>
      </c>
    </row>
    <row r="523">
      <c r="A523" s="22" t="inlineStr">
        <is>
          <t>AI 시대의 문화예술 읽기</t>
        </is>
      </c>
      <c r="B523" s="22" t="inlineStr">
        <is>
          <t>강석태, 최석영</t>
        </is>
      </c>
      <c r="C523" s="22" t="inlineStr">
        <is>
          <t>BOOKK(부크크)</t>
        </is>
      </c>
      <c r="D523" s="22" t="inlineStr">
        <is>
          <t>2026년 03월</t>
        </is>
      </c>
      <c r="E523" s="28" t="n">
        <v>16800</v>
      </c>
      <c r="F523" s="28" t="n">
        <v>16800</v>
      </c>
      <c r="G523" s="29" t="n">
        <v>2</v>
      </c>
      <c r="H523" s="29" t="n">
        <v>174</v>
      </c>
      <c r="I523" s="21" t="inlineStr">
        <is>
          <t>2026</t>
        </is>
      </c>
      <c r="J523" s="21" t="inlineStr">
        <is>
          <t xml:space="preserve"> 0</t>
        </is>
      </c>
      <c r="K523" s="30">
        <f>(E523-F523)/IF(E523&gt;0,E523,1)</f>
        <v/>
      </c>
    </row>
    <row r="524">
      <c r="A524" s="22" t="inlineStr">
        <is>
          <t>생성형 AI</t>
        </is>
      </c>
      <c r="B524" s="22" t="inlineStr">
        <is>
          <t>이운성</t>
        </is>
      </c>
      <c r="C524" s="22" t="inlineStr">
        <is>
          <t>살림출판사</t>
        </is>
      </c>
      <c r="D524" s="22" t="inlineStr">
        <is>
          <t>2026년 03월</t>
        </is>
      </c>
      <c r="E524" s="28" t="n">
        <v>9800</v>
      </c>
      <c r="F524" s="28" t="n">
        <v>8820</v>
      </c>
      <c r="G524" s="29" t="n">
        <v>0</v>
      </c>
      <c r="H524" s="29" t="n">
        <v>138</v>
      </c>
      <c r="I524" s="21" t="inlineStr">
        <is>
          <t>2026</t>
        </is>
      </c>
      <c r="J524" s="21" t="inlineStr">
        <is>
          <t xml:space="preserve"> 0</t>
        </is>
      </c>
      <c r="K524" s="30">
        <f>(E524-F524)/IF(E524&gt;0,E524,1)</f>
        <v/>
      </c>
    </row>
    <row r="525">
      <c r="A525" s="22" t="inlineStr">
        <is>
          <t>AI 혁명, 직업의 미래</t>
        </is>
      </c>
      <c r="B525" s="22" t="inlineStr">
        <is>
          <t>이재광</t>
        </is>
      </c>
      <c r="C525" s="22" t="inlineStr">
        <is>
          <t>지식서관</t>
        </is>
      </c>
      <c r="D525" s="22" t="inlineStr">
        <is>
          <t>2026년 03월</t>
        </is>
      </c>
      <c r="E525" s="28" t="n">
        <v>21500</v>
      </c>
      <c r="F525" s="28" t="n">
        <v>19350</v>
      </c>
      <c r="G525" s="29" t="n">
        <v>0</v>
      </c>
      <c r="H525" s="29" t="n">
        <v>126</v>
      </c>
      <c r="I525" s="21" t="inlineStr">
        <is>
          <t>2026</t>
        </is>
      </c>
      <c r="J525" s="21" t="inlineStr">
        <is>
          <t xml:space="preserve"> 0</t>
        </is>
      </c>
      <c r="K525" s="30">
        <f>(E525-F525)/IF(E525&gt;0,E525,1)</f>
        <v/>
      </c>
    </row>
    <row r="526">
      <c r="A526" s="22" t="inlineStr">
        <is>
          <t>구글 생태계로의 새로운 여정 AI 빅뱅, Gemini</t>
        </is>
      </c>
      <c r="B526" s="22" t="inlineStr">
        <is>
          <t>박정근, 김준표</t>
        </is>
      </c>
      <c r="C526" s="22" t="inlineStr">
        <is>
          <t>아이스토리125(istory125)</t>
        </is>
      </c>
      <c r="D526" s="22" t="inlineStr">
        <is>
          <t>2026년 02월</t>
        </is>
      </c>
      <c r="E526" s="28" t="n">
        <v>29000</v>
      </c>
      <c r="F526" s="28" t="n">
        <v>26100</v>
      </c>
      <c r="G526" s="29" t="n">
        <v>0</v>
      </c>
      <c r="H526" s="29" t="n">
        <v>276</v>
      </c>
      <c r="I526" s="21" t="inlineStr">
        <is>
          <t>2026</t>
        </is>
      </c>
      <c r="J526" s="21" t="inlineStr">
        <is>
          <t xml:space="preserve"> 0</t>
        </is>
      </c>
      <c r="K526" s="30">
        <f>(E526-F526)/IF(E526&gt;0,E526,1)</f>
        <v/>
      </c>
    </row>
    <row r="527">
      <c r="A527" s="22" t="inlineStr">
        <is>
          <t>지금 안 배우면 뒤처진다, AI 공부법</t>
        </is>
      </c>
      <c r="B527" s="22" t="inlineStr">
        <is>
          <t>권성민</t>
        </is>
      </c>
      <c r="C527" s="22" t="inlineStr">
        <is>
          <t>STA</t>
        </is>
      </c>
      <c r="D527" s="22" t="inlineStr">
        <is>
          <t>2025년 11월</t>
        </is>
      </c>
      <c r="E527" s="28" t="n">
        <v>29000</v>
      </c>
      <c r="F527" s="28" t="n">
        <v>27550</v>
      </c>
      <c r="G527" s="29" t="n">
        <v>1</v>
      </c>
      <c r="H527" s="29" t="n">
        <v>144</v>
      </c>
      <c r="I527" s="21" t="inlineStr">
        <is>
          <t>2025</t>
        </is>
      </c>
      <c r="J527" s="21" t="inlineStr">
        <is>
          <t xml:space="preserve"> 1</t>
        </is>
      </c>
      <c r="K527" s="30">
        <f>(E527-F527)/IF(E527&gt;0,E527,1)</f>
        <v/>
      </c>
    </row>
    <row r="528">
      <c r="A528" s="22" t="inlineStr">
        <is>
          <t>메타버스&amp;AI 챗GPT와 함께하는 노벨 엔지니어링</t>
        </is>
      </c>
      <c r="B528" s="22" t="inlineStr">
        <is>
          <t>송해남, 김태령, 서정원, 박기림, 강소아, 정보 더 보기/감추기, 송해남, 김태령, 서정원, 박기림, 강소아, 전혜린</t>
        </is>
      </c>
      <c r="C528" s="22" t="inlineStr">
        <is>
          <t>광문각출판미디어</t>
        </is>
      </c>
      <c r="D528" s="22" t="inlineStr">
        <is>
          <t>2023년 10월</t>
        </is>
      </c>
      <c r="E528" s="28" t="n">
        <v>22000</v>
      </c>
      <c r="F528" s="28" t="n">
        <v>22000</v>
      </c>
      <c r="G528" s="29" t="n">
        <v>21</v>
      </c>
      <c r="H528" s="29" t="n">
        <v>162</v>
      </c>
      <c r="I528" s="21" t="inlineStr">
        <is>
          <t>2023</t>
        </is>
      </c>
      <c r="J528" s="21" t="inlineStr">
        <is>
          <t xml:space="preserve"> 1</t>
        </is>
      </c>
      <c r="K528" s="30">
        <f>(E528-F528)/IF(E528&gt;0,E528,1)</f>
        <v/>
      </c>
    </row>
    <row r="529">
      <c r="A529" s="22" t="inlineStr">
        <is>
          <t>챗GPT는 심리상담을 할 수 있을까?</t>
        </is>
      </c>
      <c r="B529" s="22" t="inlineStr">
        <is>
          <t>박정혜</t>
        </is>
      </c>
      <c r="C529" s="22" t="inlineStr">
        <is>
          <t>오도스</t>
        </is>
      </c>
      <c r="D529" s="22" t="inlineStr">
        <is>
          <t>2023년 08월</t>
        </is>
      </c>
      <c r="E529" s="28" t="n">
        <v>18000</v>
      </c>
      <c r="F529" s="28" t="n">
        <v>16200</v>
      </c>
      <c r="G529" s="29" t="n">
        <v>41</v>
      </c>
      <c r="H529" s="29" t="n">
        <v>150</v>
      </c>
      <c r="I529" s="21" t="inlineStr">
        <is>
          <t>2023</t>
        </is>
      </c>
      <c r="J529" s="21" t="inlineStr">
        <is>
          <t xml:space="preserve"> 0</t>
        </is>
      </c>
      <c r="K529" s="30">
        <f>(E529-F529)/IF(E529&gt;0,E529,1)</f>
        <v/>
      </c>
    </row>
    <row r="530">
      <c r="A530" s="22" t="inlineStr">
        <is>
          <t>the GAME GRAPHICS : AI 비주얼 테크닉</t>
        </is>
      </c>
      <c r="B530" s="22" t="inlineStr">
        <is>
          <t>김민욱, 양영민, 오지후, 오지훈, H3ECO, 정병익, 조영조, 최돈현, 최승호</t>
        </is>
      </c>
      <c r="C530" s="22" t="inlineStr">
        <is>
          <t>비엘북스</t>
        </is>
      </c>
      <c r="D530" s="22" t="inlineStr">
        <is>
          <t>2023년 07월</t>
        </is>
      </c>
      <c r="E530" s="28" t="n">
        <v>42000</v>
      </c>
      <c r="F530" s="28" t="n">
        <v>37800</v>
      </c>
      <c r="G530" s="29" t="n">
        <v>8</v>
      </c>
      <c r="H530" s="29" t="n">
        <v>138</v>
      </c>
      <c r="I530" s="21" t="inlineStr">
        <is>
          <t>2023</t>
        </is>
      </c>
      <c r="J530" s="21" t="inlineStr">
        <is>
          <t xml:space="preserve"> 0</t>
        </is>
      </c>
      <c r="K530" s="30">
        <f>(E530-F530)/IF(E530&gt;0,E530,1)</f>
        <v/>
      </c>
    </row>
    <row r="531">
      <c r="A531" s="22" t="inlineStr">
        <is>
          <t>정보 검색의 이론과 실제</t>
        </is>
      </c>
      <c r="B531" s="22" t="inlineStr">
        <is>
          <t>스테판 버처, 찰스 클라크, 고든 코맥, 임형준, 김진홍</t>
        </is>
      </c>
      <c r="C531" s="22" t="inlineStr">
        <is>
          <t>에이콘출판사</t>
        </is>
      </c>
      <c r="D531" s="22" t="inlineStr">
        <is>
          <t>2021년 03월</t>
        </is>
      </c>
      <c r="E531" s="28" t="n">
        <v>45000</v>
      </c>
      <c r="F531" s="28" t="n">
        <v>40500</v>
      </c>
      <c r="G531" s="29" t="n">
        <v>1</v>
      </c>
      <c r="H531" s="29" t="n">
        <v>156</v>
      </c>
      <c r="I531" s="21" t="inlineStr">
        <is>
          <t>2021</t>
        </is>
      </c>
      <c r="J531" s="21" t="inlineStr">
        <is>
          <t xml:space="preserve"> 0</t>
        </is>
      </c>
      <c r="K531" s="30">
        <f>(E531-F531)/IF(E531&gt;0,E531,1)</f>
        <v/>
      </c>
    </row>
    <row r="532">
      <c r="A532" s="22" t="inlineStr">
        <is>
          <t>인공지능 100점을 위한 파이썬 수학</t>
        </is>
      </c>
      <c r="B532" s="22" t="inlineStr">
        <is>
          <t>임성국</t>
        </is>
      </c>
      <c r="C532" s="22" t="inlineStr">
        <is>
          <t>비제이퍼블릭(BJ퍼블릭)</t>
        </is>
      </c>
      <c r="D532" s="22" t="inlineStr">
        <is>
          <t>2020년 04월</t>
        </is>
      </c>
      <c r="E532" s="28" t="n">
        <v>24000</v>
      </c>
      <c r="F532" s="28" t="n">
        <v>21600</v>
      </c>
      <c r="G532" s="29" t="n">
        <v>6</v>
      </c>
      <c r="H532" s="29" t="n">
        <v>126</v>
      </c>
      <c r="I532" s="21" t="inlineStr">
        <is>
          <t>2020</t>
        </is>
      </c>
      <c r="J532" s="21" t="inlineStr">
        <is>
          <t xml:space="preserve"> 0</t>
        </is>
      </c>
      <c r="K532" s="30">
        <f>(E532-F532)/IF(E532&gt;0,E532,1)</f>
        <v/>
      </c>
    </row>
    <row r="533">
      <c r="A533" s="22" t="inlineStr">
        <is>
          <t>한국어 임베딩</t>
        </is>
      </c>
      <c r="B533" s="22" t="inlineStr">
        <is>
          <t>이기창, NAVER Chatbot Model</t>
        </is>
      </c>
      <c r="C533" s="22" t="inlineStr">
        <is>
          <t>에이콘출판사</t>
        </is>
      </c>
      <c r="D533" s="22" t="inlineStr">
        <is>
          <t>2019년 09월</t>
        </is>
      </c>
      <c r="E533" s="28" t="n">
        <v>35000</v>
      </c>
      <c r="F533" s="28" t="n">
        <v>31500</v>
      </c>
      <c r="G533" s="29" t="n">
        <v>9</v>
      </c>
      <c r="H533" s="29" t="n">
        <v>150</v>
      </c>
      <c r="I533" s="21" t="inlineStr">
        <is>
          <t>2019</t>
        </is>
      </c>
      <c r="J533" s="21" t="inlineStr">
        <is>
          <t xml:space="preserve"> 0</t>
        </is>
      </c>
      <c r="K533" s="30">
        <f>(E533-F533)/IF(E533&gt;0,E533,1)</f>
        <v/>
      </c>
    </row>
    <row r="534">
      <c r="A534" s="22" t="inlineStr">
        <is>
          <t>ATC 자격증 프로젝트 따라하기 1급 2급</t>
        </is>
      </c>
      <c r="B534" s="22" t="inlineStr">
        <is>
          <t>손미나</t>
        </is>
      </c>
      <c r="C534" s="22" t="inlineStr">
        <is>
          <t>구민사</t>
        </is>
      </c>
      <c r="D534" s="22" t="inlineStr">
        <is>
          <t>2017년 03월</t>
        </is>
      </c>
      <c r="E534" s="28" t="n">
        <v>28000</v>
      </c>
      <c r="F534" s="28" t="n">
        <v>25200</v>
      </c>
      <c r="G534" s="29" t="n">
        <v>6</v>
      </c>
      <c r="H534" s="29" t="n">
        <v>126</v>
      </c>
      <c r="I534" s="21" t="inlineStr">
        <is>
          <t>2017</t>
        </is>
      </c>
      <c r="J534" s="21" t="inlineStr">
        <is>
          <t xml:space="preserve"> 0</t>
        </is>
      </c>
      <c r="K534" s="30">
        <f>(E534-F534)/IF(E534&gt;0,E534,1)</f>
        <v/>
      </c>
    </row>
    <row r="535">
      <c r="A535" s="22" t="inlineStr">
        <is>
          <t>구글 AI Gemini 그림 초등왕</t>
        </is>
      </c>
      <c r="B535" s="22" t="inlineStr">
        <is>
          <t>코딩 코치스</t>
        </is>
      </c>
      <c r="C535" s="22" t="inlineStr">
        <is>
          <t>BOOKK(부크크)</t>
        </is>
      </c>
      <c r="D535" s="22" t="inlineStr">
        <is>
          <t>2025년 07월</t>
        </is>
      </c>
      <c r="E535" s="28" t="n">
        <v>15800</v>
      </c>
      <c r="F535" s="28" t="n">
        <v>15800</v>
      </c>
      <c r="G535" s="29" t="n">
        <v>0</v>
      </c>
      <c r="H535" s="29" t="n">
        <v>150</v>
      </c>
      <c r="I535" s="21" t="inlineStr">
        <is>
          <t>2025</t>
        </is>
      </c>
      <c r="J535" s="21" t="inlineStr">
        <is>
          <t xml:space="preserve"> 0</t>
        </is>
      </c>
      <c r="K535" s="30">
        <f>(E535-F535)/IF(E535&gt;0,E535,1)</f>
        <v/>
      </c>
    </row>
    <row r="536">
      <c r="A536" s="22" t="inlineStr">
        <is>
          <t>아두이노 설계 &amp; 코딩 DIY 여행</t>
        </is>
      </c>
      <c r="B536" s="22" t="inlineStr">
        <is>
          <t>홍대기, 신상석</t>
        </is>
      </c>
      <c r="C536" s="22" t="inlineStr">
        <is>
          <t>생능출판사</t>
        </is>
      </c>
      <c r="D536" s="22" t="inlineStr">
        <is>
          <t>2020년 03월</t>
        </is>
      </c>
      <c r="E536" s="28" t="n">
        <v>22000</v>
      </c>
      <c r="F536" s="28" t="n">
        <v>22000</v>
      </c>
      <c r="G536" s="29" t="n">
        <v>0</v>
      </c>
      <c r="H536" s="29" t="n">
        <v>126</v>
      </c>
      <c r="I536" s="21" t="inlineStr">
        <is>
          <t>2020</t>
        </is>
      </c>
      <c r="J536" s="21" t="inlineStr">
        <is>
          <t xml:space="preserve"> 0</t>
        </is>
      </c>
      <c r="K536" s="30">
        <f>(E536-F536)/IF(E536&gt;0,E536,1)</f>
        <v/>
      </c>
    </row>
    <row r="537">
      <c r="A537" s="22" t="inlineStr">
        <is>
          <t>ISO 42001 인공지능 경영시스템 인증 바이블</t>
        </is>
      </c>
      <c r="B537" s="22" t="inlineStr">
        <is>
          <t>강문정</t>
        </is>
      </c>
      <c r="C537" s="22" t="inlineStr">
        <is>
          <t>한국인공지능검증원</t>
        </is>
      </c>
      <c r="D537" s="22" t="inlineStr">
        <is>
          <t>2026년 01월</t>
        </is>
      </c>
      <c r="E537" s="28" t="n">
        <v>30000</v>
      </c>
      <c r="F537" s="28" t="n">
        <v>30000</v>
      </c>
      <c r="G537" s="29" t="n">
        <v>0</v>
      </c>
      <c r="H537" s="29" t="n">
        <v>162</v>
      </c>
      <c r="I537" s="21" t="inlineStr">
        <is>
          <t>2026</t>
        </is>
      </c>
      <c r="J537" s="21" t="inlineStr">
        <is>
          <t xml:space="preserve"> 0</t>
        </is>
      </c>
      <c r="K537" s="30">
        <f>(E537-F537)/IF(E537&gt;0,E537,1)</f>
        <v/>
      </c>
    </row>
    <row r="538">
      <c r="A538" s="22" t="inlineStr">
        <is>
          <t>AI, 글쓰기, 저작권</t>
        </is>
      </c>
      <c r="B538" s="22" t="inlineStr">
        <is>
          <t>정지우</t>
        </is>
      </c>
      <c r="C538" s="22" t="inlineStr">
        <is>
          <t>마름모</t>
        </is>
      </c>
      <c r="D538" s="22" t="inlineStr">
        <is>
          <t>2025년 06월</t>
        </is>
      </c>
      <c r="E538" s="28" t="n">
        <v>12000</v>
      </c>
      <c r="F538" s="28" t="n">
        <v>10800</v>
      </c>
      <c r="G538" s="29" t="n">
        <v>9</v>
      </c>
      <c r="H538" s="29" t="n">
        <v>1368</v>
      </c>
      <c r="I538" s="21" t="inlineStr">
        <is>
          <t>2025</t>
        </is>
      </c>
      <c r="J538" s="21" t="inlineStr">
        <is>
          <t xml:space="preserve"> 0</t>
        </is>
      </c>
      <c r="K538" s="30">
        <f>(E538-F538)/IF(E538&gt;0,E538,1)</f>
        <v/>
      </c>
    </row>
    <row r="539">
      <c r="A539" s="22" t="inlineStr">
        <is>
          <t>다양한 프로젝트로 끝장내는 파이토치 딥러닝</t>
        </is>
      </c>
      <c r="B539" s="22" t="inlineStr">
        <is>
          <t>신은섭</t>
        </is>
      </c>
      <c r="C539" s="22" t="inlineStr">
        <is>
          <t>위즈앤북</t>
        </is>
      </c>
      <c r="D539" s="22" t="inlineStr">
        <is>
          <t>2024년 12월</t>
        </is>
      </c>
      <c r="E539" s="28" t="n">
        <v>23000</v>
      </c>
      <c r="F539" s="28" t="n">
        <v>20700</v>
      </c>
      <c r="G539" s="29" t="n">
        <v>3</v>
      </c>
      <c r="H539" s="29" t="n">
        <v>96</v>
      </c>
      <c r="I539" s="21" t="inlineStr">
        <is>
          <t>2024</t>
        </is>
      </c>
      <c r="J539" s="21" t="inlineStr">
        <is>
          <t xml:space="preserve"> 1</t>
        </is>
      </c>
      <c r="K539" s="30">
        <f>(E539-F539)/IF(E539&gt;0,E539,1)</f>
        <v/>
      </c>
    </row>
    <row r="540">
      <c r="A540" s="22" t="inlineStr">
        <is>
          <t>알기 쉬운 실전 데이터 모델링</t>
        </is>
      </c>
      <c r="B540" s="22" t="inlineStr">
        <is>
          <t>김찬웅</t>
        </is>
      </c>
      <c r="C540" s="22" t="inlineStr">
        <is>
          <t>생각나눔</t>
        </is>
      </c>
      <c r="D540" s="22" t="inlineStr">
        <is>
          <t>2024년 08월</t>
        </is>
      </c>
      <c r="E540" s="28" t="n">
        <v>25000</v>
      </c>
      <c r="F540" s="28" t="n">
        <v>22500</v>
      </c>
      <c r="G540" s="29" t="n">
        <v>14</v>
      </c>
      <c r="H540" s="29" t="n">
        <v>162</v>
      </c>
      <c r="I540" s="21" t="inlineStr">
        <is>
          <t>2024</t>
        </is>
      </c>
      <c r="J540" s="21" t="inlineStr">
        <is>
          <t xml:space="preserve"> 0</t>
        </is>
      </c>
      <c r="K540" s="30">
        <f>(E540-F540)/IF(E540&gt;0,E540,1)</f>
        <v/>
      </c>
    </row>
    <row r="541">
      <c r="A541" s="22" t="inlineStr">
        <is>
          <t>도널드 노먼의 인터랙션 디자인 특강</t>
        </is>
      </c>
      <c r="B541" s="22" t="inlineStr">
        <is>
          <t>도널드 노먼, 김주희</t>
        </is>
      </c>
      <c r="C541" s="22" t="inlineStr">
        <is>
          <t>유엑스리뷰</t>
        </is>
      </c>
      <c r="D541" s="22" t="inlineStr">
        <is>
          <t>2022년 09월</t>
        </is>
      </c>
      <c r="E541" s="28" t="n">
        <v>29000</v>
      </c>
      <c r="F541" s="28" t="n">
        <v>26100</v>
      </c>
      <c r="G541" s="29" t="n">
        <v>7</v>
      </c>
      <c r="H541" s="29" t="n">
        <v>138</v>
      </c>
      <c r="I541" s="21" t="inlineStr">
        <is>
          <t>2022</t>
        </is>
      </c>
      <c r="J541" s="21" t="inlineStr">
        <is>
          <t xml:space="preserve"> 0</t>
        </is>
      </c>
      <c r="K541" s="30">
        <f>(E541-F541)/IF(E541&gt;0,E541,1)</f>
        <v/>
      </c>
    </row>
    <row r="542">
      <c r="A542" s="22" t="inlineStr">
        <is>
          <t>엔지니어를 위한 텐서와 연속체 역학 적용</t>
        </is>
      </c>
      <c r="B542" s="22" t="inlineStr">
        <is>
          <t>미하일 이츠코프, 마이클</t>
        </is>
      </c>
      <c r="C542" s="22" t="inlineStr">
        <is>
          <t>루비페이퍼</t>
        </is>
      </c>
      <c r="D542" s="22" t="inlineStr">
        <is>
          <t>2022년 02월</t>
        </is>
      </c>
      <c r="E542" s="28" t="n">
        <v>32000</v>
      </c>
      <c r="F542" s="28" t="n">
        <v>28800</v>
      </c>
      <c r="G542" s="29" t="n">
        <v>1</v>
      </c>
      <c r="H542" s="29" t="n">
        <v>126</v>
      </c>
      <c r="I542" s="21" t="inlineStr">
        <is>
          <t>2022</t>
        </is>
      </c>
      <c r="J542" s="21" t="inlineStr">
        <is>
          <t xml:space="preserve"> 0</t>
        </is>
      </c>
      <c r="K542" s="30">
        <f>(E542-F542)/IF(E542&gt;0,E542,1)</f>
        <v/>
      </c>
    </row>
    <row r="543">
      <c r="A543" s="22" t="inlineStr">
        <is>
          <t>Do it! 첫 통계 with 베이즈</t>
        </is>
      </c>
      <c r="B543" s="22" t="inlineStr">
        <is>
          <t>사시키 준, 안동현</t>
        </is>
      </c>
      <c r="C543" s="22" t="inlineStr">
        <is>
          <t>이지스퍼블리싱</t>
        </is>
      </c>
      <c r="D543" s="22" t="inlineStr">
        <is>
          <t>2021년 11월</t>
        </is>
      </c>
      <c r="E543" s="28" t="n">
        <v>13000</v>
      </c>
      <c r="F543" s="28" t="n">
        <v>11700</v>
      </c>
      <c r="G543" s="29" t="n">
        <v>3</v>
      </c>
      <c r="H543" s="29" t="n">
        <v>132</v>
      </c>
      <c r="I543" s="21" t="inlineStr">
        <is>
          <t>2021</t>
        </is>
      </c>
      <c r="J543" s="21" t="inlineStr">
        <is>
          <t xml:space="preserve"> 1</t>
        </is>
      </c>
      <c r="K543" s="30">
        <f>(E543-F543)/IF(E543&gt;0,E543,1)</f>
        <v/>
      </c>
    </row>
    <row r="544">
      <c r="A544" s="22" t="inlineStr">
        <is>
          <t>부모님을 위한 AI 교과서</t>
        </is>
      </c>
      <c r="B544" s="22" t="inlineStr">
        <is>
          <t>디지털콘텐츠그룹 편집부</t>
        </is>
      </c>
      <c r="C544" s="22" t="inlineStr">
        <is>
          <t>디지털콘텐츠그룹</t>
        </is>
      </c>
      <c r="D544" s="22" t="inlineStr">
        <is>
          <t>2026년 02월</t>
        </is>
      </c>
      <c r="E544" s="28" t="n">
        <v>18000</v>
      </c>
      <c r="F544" s="28" t="n">
        <v>16200</v>
      </c>
      <c r="G544" s="29" t="n">
        <v>0</v>
      </c>
      <c r="H544" s="29" t="n">
        <v>90</v>
      </c>
      <c r="I544" s="21" t="inlineStr">
        <is>
          <t>2026</t>
        </is>
      </c>
      <c r="J544" s="21" t="inlineStr">
        <is>
          <t xml:space="preserve"> 0</t>
        </is>
      </c>
      <c r="K544" s="30">
        <f>(E544-F544)/IF(E544&gt;0,E544,1)</f>
        <v/>
      </c>
    </row>
    <row r="545">
      <c r="A545" s="22" t="inlineStr">
        <is>
          <t>AI의료혁명</t>
        </is>
      </c>
      <c r="B545" s="22" t="inlineStr">
        <is>
          <t>윤승천, 오인택</t>
        </is>
      </c>
      <c r="C545" s="22" t="inlineStr">
        <is>
          <t>건강신문사</t>
        </is>
      </c>
      <c r="D545" s="22" t="inlineStr">
        <is>
          <t>2026년 01월</t>
        </is>
      </c>
      <c r="E545" s="28" t="n">
        <v>50000</v>
      </c>
      <c r="F545" s="28" t="n">
        <v>45000</v>
      </c>
      <c r="G545" s="29" t="n">
        <v>0</v>
      </c>
      <c r="H545" s="29" t="n">
        <v>90</v>
      </c>
      <c r="I545" s="21" t="inlineStr">
        <is>
          <t>2026</t>
        </is>
      </c>
      <c r="J545" s="21" t="inlineStr">
        <is>
          <t xml:space="preserve"> 0</t>
        </is>
      </c>
      <c r="K545" s="30">
        <f>(E545-F545)/IF(E545&gt;0,E545,1)</f>
        <v/>
      </c>
    </row>
    <row r="546">
      <c r="A546" s="22" t="inlineStr">
        <is>
          <t>AI생활, 매순간이 달라진다</t>
        </is>
      </c>
      <c r="B546" s="22" t="inlineStr">
        <is>
          <t>김경진</t>
        </is>
      </c>
      <c r="C546" s="22" t="inlineStr">
        <is>
          <t>인문공간</t>
        </is>
      </c>
      <c r="D546" s="22" t="inlineStr">
        <is>
          <t>2025년 01월</t>
        </is>
      </c>
      <c r="E546" s="28" t="n">
        <v>23000</v>
      </c>
      <c r="F546" s="28" t="n">
        <v>20700</v>
      </c>
      <c r="G546" s="29" t="n">
        <v>3</v>
      </c>
      <c r="H546" s="29" t="n">
        <v>126</v>
      </c>
      <c r="I546" s="21" t="inlineStr">
        <is>
          <t>2025</t>
        </is>
      </c>
      <c r="J546" s="21" t="inlineStr">
        <is>
          <t xml:space="preserve"> 0</t>
        </is>
      </c>
      <c r="K546" s="30">
        <f>(E546-F546)/IF(E546&gt;0,E546,1)</f>
        <v/>
      </c>
    </row>
    <row r="547">
      <c r="A547" s="22" t="inlineStr">
        <is>
          <t>그림으로 쉽게 배우는 AI 사용설명서</t>
        </is>
      </c>
      <c r="B547" s="22" t="inlineStr">
        <is>
          <t>에마 아리사</t>
        </is>
      </c>
      <c r="C547" s="22" t="inlineStr">
        <is>
          <t>드루</t>
        </is>
      </c>
      <c r="D547" s="22" t="inlineStr">
        <is>
          <t>2024년 02월</t>
        </is>
      </c>
      <c r="E547" s="28" t="n">
        <v>18000</v>
      </c>
      <c r="F547" s="28" t="n">
        <v>16200</v>
      </c>
      <c r="G547" s="29" t="n">
        <v>0</v>
      </c>
      <c r="H547" s="29" t="n">
        <v>102</v>
      </c>
      <c r="I547" s="21" t="inlineStr">
        <is>
          <t>2024</t>
        </is>
      </c>
      <c r="J547" s="21" t="inlineStr">
        <is>
          <t xml:space="preserve"> 0</t>
        </is>
      </c>
      <c r="K547" s="30">
        <f>(E547-F547)/IF(E547&gt;0,E547,1)</f>
        <v/>
      </c>
    </row>
    <row r="548">
      <c r="A548" s="22" t="inlineStr">
        <is>
          <t>디지털 야누스의 두 얼굴</t>
        </is>
      </c>
      <c r="B548" s="22" t="inlineStr">
        <is>
          <t>김준우, 김신곤, 김정덕</t>
        </is>
      </c>
      <c r="C548" s="22" t="inlineStr">
        <is>
          <t>이담북스(이담Books)</t>
        </is>
      </c>
      <c r="D548" s="22" t="inlineStr">
        <is>
          <t>2026년 04월</t>
        </is>
      </c>
      <c r="E548" s="28" t="n">
        <v>24000</v>
      </c>
      <c r="F548" s="28" t="n">
        <v>21600</v>
      </c>
      <c r="G548" s="29" t="n">
        <v>0</v>
      </c>
      <c r="H548" s="29" t="n">
        <v>78</v>
      </c>
      <c r="I548" s="21" t="inlineStr">
        <is>
          <t>2026</t>
        </is>
      </c>
      <c r="J548" s="21" t="inlineStr">
        <is>
          <t xml:space="preserve"> 0</t>
        </is>
      </c>
      <c r="K548" s="30">
        <f>(E548-F548)/IF(E548&gt;0,E548,1)</f>
        <v/>
      </c>
    </row>
    <row r="549">
      <c r="A549" s="22" t="inlineStr">
        <is>
          <t>기업 AI 도입가이드</t>
        </is>
      </c>
      <c r="B549" s="22" t="inlineStr">
        <is>
          <t>손상윤</t>
        </is>
      </c>
      <c r="C549" s="22" t="inlineStr">
        <is>
          <t>BOOKK(부크크)</t>
        </is>
      </c>
      <c r="D549" s="22" t="inlineStr">
        <is>
          <t>2026년 03월</t>
        </is>
      </c>
      <c r="E549" s="28" t="n">
        <v>18500</v>
      </c>
      <c r="F549" s="28" t="n">
        <v>18500</v>
      </c>
      <c r="G549" s="29" t="n">
        <v>0</v>
      </c>
      <c r="H549" s="29" t="n">
        <v>90</v>
      </c>
      <c r="I549" s="21" t="inlineStr">
        <is>
          <t>2026</t>
        </is>
      </c>
      <c r="J549" s="21" t="inlineStr">
        <is>
          <t xml:space="preserve"> 0</t>
        </is>
      </c>
      <c r="K549" s="30">
        <f>(E549-F549)/IF(E549&gt;0,E549,1)</f>
        <v/>
      </c>
    </row>
    <row r="550">
      <c r="A550" s="22" t="inlineStr">
        <is>
          <t>인과 데이터 사이언스</t>
        </is>
      </c>
      <c r="B550" s="22" t="inlineStr">
        <is>
          <t>이석민</t>
        </is>
      </c>
      <c r="C550" s="22" t="inlineStr">
        <is>
          <t>법문사</t>
        </is>
      </c>
      <c r="D550" s="22" t="inlineStr">
        <is>
          <t>2026년 02월</t>
        </is>
      </c>
      <c r="E550" s="28" t="n">
        <v>30000</v>
      </c>
      <c r="F550" s="28" t="n">
        <v>30000</v>
      </c>
      <c r="G550" s="29" t="n">
        <v>0</v>
      </c>
      <c r="H550" s="29" t="n">
        <v>48</v>
      </c>
      <c r="I550" s="21" t="inlineStr">
        <is>
          <t>2026</t>
        </is>
      </c>
      <c r="J550" s="21" t="inlineStr">
        <is>
          <t xml:space="preserve"> 0</t>
        </is>
      </c>
      <c r="K550" s="30">
        <f>(E550-F550)/IF(E550&gt;0,E550,1)</f>
        <v/>
      </c>
    </row>
    <row r="551">
      <c r="A551" s="22" t="inlineStr">
        <is>
          <t>엔비디아 NCA-AIIO 자격증 합격하기</t>
        </is>
      </c>
      <c r="B551" s="22" t="inlineStr">
        <is>
          <t>백지석</t>
        </is>
      </c>
      <c r="C551" s="22" t="inlineStr">
        <is>
          <t>BOOKK(부크크)</t>
        </is>
      </c>
      <c r="D551" s="22" t="inlineStr">
        <is>
          <t>2026년 02월</t>
        </is>
      </c>
      <c r="E551" s="28" t="n">
        <v>20000</v>
      </c>
      <c r="F551" s="28" t="n">
        <v>20000</v>
      </c>
      <c r="G551" s="29" t="n">
        <v>1</v>
      </c>
      <c r="H551" s="29" t="n">
        <v>96</v>
      </c>
      <c r="I551" s="21" t="inlineStr">
        <is>
          <t>2026</t>
        </is>
      </c>
      <c r="J551" s="21" t="inlineStr">
        <is>
          <t xml:space="preserve"> 0</t>
        </is>
      </c>
      <c r="K551" s="30">
        <f>(E551-F551)/IF(E551&gt;0,E551,1)</f>
        <v/>
      </c>
    </row>
    <row r="552">
      <c r="A552" s="22" t="inlineStr">
        <is>
          <t>AI 비서와 함께 하는 웹 호스팅</t>
        </is>
      </c>
      <c r="B552" s="22" t="inlineStr">
        <is>
          <t>박경배</t>
        </is>
      </c>
      <c r="C552" s="22" t="inlineStr">
        <is>
          <t>21세기사</t>
        </is>
      </c>
      <c r="D552" s="22" t="inlineStr">
        <is>
          <t>2025년 08월</t>
        </is>
      </c>
      <c r="E552" s="28" t="n">
        <v>30000</v>
      </c>
      <c r="F552" s="28" t="n">
        <v>30000</v>
      </c>
      <c r="G552" s="29" t="n">
        <v>0</v>
      </c>
      <c r="H552" s="29" t="n">
        <v>90</v>
      </c>
      <c r="I552" s="21" t="inlineStr">
        <is>
          <t>2025</t>
        </is>
      </c>
      <c r="J552" s="21" t="inlineStr">
        <is>
          <t xml:space="preserve"> 0</t>
        </is>
      </c>
      <c r="K552" s="30">
        <f>(E552-F552)/IF(E552&gt;0,E552,1)</f>
        <v/>
      </c>
    </row>
    <row r="553">
      <c r="A553" s="22" t="inlineStr">
        <is>
          <t>AI와 함께하는 독서경영</t>
        </is>
      </c>
      <c r="B553" s="22" t="inlineStr">
        <is>
          <t>이혜정</t>
        </is>
      </c>
      <c r="C553" s="22" t="inlineStr">
        <is>
          <t>BOOKK(부크크)</t>
        </is>
      </c>
      <c r="D553" s="22" t="inlineStr">
        <is>
          <t>2025년 03월</t>
        </is>
      </c>
      <c r="E553" s="28" t="n">
        <v>17900</v>
      </c>
      <c r="F553" s="28" t="n">
        <v>17900</v>
      </c>
      <c r="G553" s="29" t="n">
        <v>7</v>
      </c>
      <c r="H553" s="29" t="n">
        <v>102</v>
      </c>
      <c r="I553" s="21" t="inlineStr">
        <is>
          <t>2025</t>
        </is>
      </c>
      <c r="J553" s="21" t="inlineStr">
        <is>
          <t xml:space="preserve"> 0</t>
        </is>
      </c>
      <c r="K553" s="30">
        <f>(E553-F553)/IF(E553&gt;0,E553,1)</f>
        <v/>
      </c>
    </row>
    <row r="554">
      <c r="A554" s="22" t="inlineStr">
        <is>
          <t>자연어처리를 위한 딥러닝</t>
        </is>
      </c>
      <c r="B554" s="22" t="inlineStr">
        <is>
          <t>Stephan Raaijmakers, 박진수</t>
        </is>
      </c>
      <c r="C554" s="22" t="inlineStr">
        <is>
          <t>시그마프레스</t>
        </is>
      </c>
      <c r="D554" s="22" t="inlineStr">
        <is>
          <t>2024년 07월</t>
        </is>
      </c>
      <c r="E554" s="28" t="n">
        <v>25000</v>
      </c>
      <c r="F554" s="28" t="n">
        <v>25000</v>
      </c>
      <c r="G554" s="29" t="n">
        <v>2</v>
      </c>
      <c r="H554" s="29" t="n">
        <v>78</v>
      </c>
      <c r="I554" s="21" t="inlineStr">
        <is>
          <t>2024</t>
        </is>
      </c>
      <c r="J554" s="21" t="inlineStr">
        <is>
          <t xml:space="preserve"> 0</t>
        </is>
      </c>
      <c r="K554" s="30">
        <f>(E554-F554)/IF(E554&gt;0,E554,1)</f>
        <v/>
      </c>
    </row>
    <row r="555">
      <c r="A555" s="22" t="inlineStr">
        <is>
          <t>인공지능 관계소통학</t>
        </is>
      </c>
      <c r="B555" s="22" t="inlineStr">
        <is>
          <t>이찬규, 이유미, 문혜진, 박소영</t>
        </is>
      </c>
      <c r="C555" s="22" t="inlineStr">
        <is>
          <t>태학사</t>
        </is>
      </c>
      <c r="D555" s="22" t="inlineStr">
        <is>
          <t>2024년 05월</t>
        </is>
      </c>
      <c r="E555" s="28" t="n">
        <v>21000</v>
      </c>
      <c r="F555" s="28" t="n">
        <v>19950</v>
      </c>
      <c r="G555" s="29" t="n">
        <v>2</v>
      </c>
      <c r="H555" s="29" t="n">
        <v>132</v>
      </c>
      <c r="I555" s="21" t="inlineStr">
        <is>
          <t>2024</t>
        </is>
      </c>
      <c r="J555" s="21" t="inlineStr">
        <is>
          <t xml:space="preserve"> 0</t>
        </is>
      </c>
      <c r="K555" s="30">
        <f>(E555-F555)/IF(E555&gt;0,E555,1)</f>
        <v/>
      </c>
    </row>
    <row r="556">
      <c r="A556" s="22" t="inlineStr">
        <is>
          <t>인간이 지워진다</t>
        </is>
      </c>
      <c r="B556" s="22" t="inlineStr">
        <is>
          <t>김덕진, 송태민, 우희종, 이상호, 류덕민</t>
        </is>
      </c>
      <c r="C556" s="22" t="inlineStr">
        <is>
          <t>메디치미디어</t>
        </is>
      </c>
      <c r="D556" s="22" t="inlineStr">
        <is>
          <t>2023년 09월</t>
        </is>
      </c>
      <c r="E556" s="28" t="n">
        <v>15000</v>
      </c>
      <c r="F556" s="28" t="n">
        <v>13500</v>
      </c>
      <c r="G556" s="29" t="n">
        <v>1</v>
      </c>
      <c r="H556" s="29" t="n">
        <v>78</v>
      </c>
      <c r="I556" s="21" t="inlineStr">
        <is>
          <t>2023</t>
        </is>
      </c>
      <c r="J556" s="21" t="inlineStr">
        <is>
          <t xml:space="preserve"> 0</t>
        </is>
      </c>
      <c r="K556" s="30">
        <f>(E556-F556)/IF(E556&gt;0,E556,1)</f>
        <v/>
      </c>
    </row>
    <row r="557">
      <c r="A557" s="22" t="inlineStr">
        <is>
          <t>한번에 끝내는 빅데이터 분석 및 인공지능 기초</t>
        </is>
      </c>
      <c r="B557" s="22" t="inlineStr">
        <is>
          <t>정은미</t>
        </is>
      </c>
      <c r="C557" s="22" t="inlineStr">
        <is>
          <t>홍릉</t>
        </is>
      </c>
      <c r="D557" s="22" t="inlineStr">
        <is>
          <t>2023년 08월</t>
        </is>
      </c>
      <c r="E557" s="28" t="n">
        <v>28000</v>
      </c>
      <c r="F557" s="28" t="n">
        <v>28000</v>
      </c>
      <c r="G557" s="29" t="n">
        <v>1</v>
      </c>
      <c r="H557" s="29" t="n">
        <v>102</v>
      </c>
      <c r="I557" s="21" t="inlineStr">
        <is>
          <t>2023</t>
        </is>
      </c>
      <c r="J557" s="21" t="inlineStr">
        <is>
          <t xml:space="preserve"> 0</t>
        </is>
      </c>
      <c r="K557" s="30">
        <f>(E557-F557)/IF(E557&gt;0,E557,1)</f>
        <v/>
      </c>
    </row>
    <row r="558">
      <c r="A558" s="22" t="inlineStr">
        <is>
          <t>마음은 어떻게 기계가 되었나</t>
        </is>
      </c>
      <c r="B558" s="22" t="inlineStr">
        <is>
          <t>장피에르 뒤피, 배문정</t>
        </is>
      </c>
      <c r="C558" s="22" t="inlineStr">
        <is>
          <t>지식공작소</t>
        </is>
      </c>
      <c r="D558" s="22" t="inlineStr">
        <is>
          <t>2023년 03월</t>
        </is>
      </c>
      <c r="E558" s="28" t="n">
        <v>32000</v>
      </c>
      <c r="F558" s="28" t="n">
        <v>32000</v>
      </c>
      <c r="G558" s="29" t="n">
        <v>1</v>
      </c>
      <c r="H558" s="29" t="n">
        <v>114</v>
      </c>
      <c r="I558" s="21" t="inlineStr">
        <is>
          <t>2023</t>
        </is>
      </c>
      <c r="J558" s="21" t="inlineStr">
        <is>
          <t xml:space="preserve"> 0</t>
        </is>
      </c>
      <c r="K558" s="30">
        <f>(E558-F558)/IF(E558&gt;0,E558,1)</f>
        <v/>
      </c>
    </row>
    <row r="559">
      <c r="A559" s="22" t="inlineStr">
        <is>
          <t>인공지능 교과서</t>
        </is>
      </c>
      <c r="B559" s="22" t="inlineStr">
        <is>
          <t>이모토 타카시, 김기태, 이강덕</t>
        </is>
      </c>
      <c r="C559" s="22" t="inlineStr">
        <is>
          <t>성안당</t>
        </is>
      </c>
      <c r="D559" s="22" t="inlineStr">
        <is>
          <t>2021년 01월</t>
        </is>
      </c>
      <c r="E559" s="28" t="n">
        <v>19000</v>
      </c>
      <c r="F559" s="28" t="n">
        <v>17100</v>
      </c>
      <c r="G559" s="29" t="n">
        <v>4</v>
      </c>
      <c r="H559" s="29" t="n">
        <v>48</v>
      </c>
      <c r="I559" s="21" t="inlineStr">
        <is>
          <t>2021</t>
        </is>
      </c>
      <c r="J559" s="21" t="inlineStr">
        <is>
          <t xml:space="preserve"> 0</t>
        </is>
      </c>
      <c r="K559" s="30">
        <f>(E559-F559)/IF(E559&gt;0,E559,1)</f>
        <v/>
      </c>
    </row>
    <row r="560">
      <c r="A560" s="22" t="inlineStr">
        <is>
          <t>유니티로 배우는 AI 프로그래밍 쿡북 2/e</t>
        </is>
      </c>
      <c r="B560" s="22" t="inlineStr">
        <is>
          <t>호르헤 팔라시오스, 최동훈</t>
        </is>
      </c>
      <c r="C560" s="22" t="inlineStr">
        <is>
          <t>에이콘출판사</t>
        </is>
      </c>
      <c r="D560" s="22" t="inlineStr">
        <is>
          <t>2020년 10월</t>
        </is>
      </c>
      <c r="E560" s="28" t="n">
        <v>33000</v>
      </c>
      <c r="F560" s="28" t="n">
        <v>29700</v>
      </c>
      <c r="G560" s="29" t="n">
        <v>6</v>
      </c>
      <c r="H560" s="29" t="n">
        <v>90</v>
      </c>
      <c r="I560" s="21" t="inlineStr">
        <is>
          <t>2020</t>
        </is>
      </c>
      <c r="J560" s="21" t="inlineStr">
        <is>
          <t xml:space="preserve"> 1</t>
        </is>
      </c>
      <c r="K560" s="30">
        <f>(E560-F560)/IF(E560&gt;0,E560,1)</f>
        <v/>
      </c>
    </row>
    <row r="561">
      <c r="A561" s="22" t="inlineStr">
        <is>
          <t>PyTorch로 시작하는 딥러닝</t>
        </is>
      </c>
      <c r="B561" s="22" t="inlineStr">
        <is>
          <t>비슈누 수브라마니안, 김태완</t>
        </is>
      </c>
      <c r="C561" s="22" t="inlineStr">
        <is>
          <t>에이콘출판사</t>
        </is>
      </c>
      <c r="D561" s="22" t="inlineStr">
        <is>
          <t>2019년 02월</t>
        </is>
      </c>
      <c r="E561" s="28" t="n">
        <v>25000</v>
      </c>
      <c r="F561" s="28" t="n">
        <v>22500</v>
      </c>
      <c r="G561" s="29" t="n">
        <v>5</v>
      </c>
      <c r="H561" s="29" t="n">
        <v>72</v>
      </c>
      <c r="I561" s="21" t="inlineStr">
        <is>
          <t>2019</t>
        </is>
      </c>
      <c r="J561" s="21" t="inlineStr">
        <is>
          <t xml:space="preserve"> 0</t>
        </is>
      </c>
      <c r="K561" s="30">
        <f>(E561-F561)/IF(E561&gt;0,E561,1)</f>
        <v/>
      </c>
    </row>
    <row r="562">
      <c r="A562" s="22" t="inlineStr">
        <is>
          <t>경영을 넷플릭스하다</t>
        </is>
      </c>
      <c r="B562" s="22" t="inlineStr">
        <is>
          <t>이학연</t>
        </is>
      </c>
      <c r="C562" s="22" t="inlineStr">
        <is>
          <t>넥서스BIZ</t>
        </is>
      </c>
      <c r="D562" s="22" t="inlineStr">
        <is>
          <t>2020년 03월</t>
        </is>
      </c>
      <c r="E562" s="28" t="n">
        <v>17500</v>
      </c>
      <c r="F562" s="28" t="n">
        <v>15750</v>
      </c>
      <c r="G562" s="29" t="n">
        <v>35</v>
      </c>
      <c r="H562" s="29" t="n">
        <v>84</v>
      </c>
      <c r="I562" s="21" t="inlineStr">
        <is>
          <t>2020</t>
        </is>
      </c>
      <c r="J562" s="21" t="inlineStr">
        <is>
          <t xml:space="preserve"> 0</t>
        </is>
      </c>
      <c r="K562" s="30">
        <f>(E562-F562)/IF(E562&gt;0,E562,1)</f>
        <v/>
      </c>
    </row>
    <row r="563">
      <c r="A563" s="22" t="inlineStr">
        <is>
          <t>생성형 AI, 교실 속 협력 파트너 - 중등편</t>
        </is>
      </c>
      <c r="B563" s="22" t="inlineStr">
        <is>
          <t>한선관, 이문주, 송동주</t>
        </is>
      </c>
      <c r="C563" s="22" t="inlineStr">
        <is>
          <t>연두에디션</t>
        </is>
      </c>
      <c r="D563" s="22" t="inlineStr">
        <is>
          <t>2026년 02월</t>
        </is>
      </c>
      <c r="E563" s="28" t="n">
        <v>22000</v>
      </c>
      <c r="F563" s="28" t="n">
        <v>22000</v>
      </c>
      <c r="G563" s="29" t="n">
        <v>0</v>
      </c>
      <c r="H563" s="29" t="n">
        <v>108</v>
      </c>
      <c r="I563" s="21" t="inlineStr">
        <is>
          <t>2026</t>
        </is>
      </c>
      <c r="J563" s="21" t="inlineStr">
        <is>
          <t xml:space="preserve"> 0</t>
        </is>
      </c>
      <c r="K563" s="30">
        <f>(E563-F563)/IF(E563&gt;0,E563,1)</f>
        <v/>
      </c>
    </row>
    <row r="564">
      <c r="A564" s="22" t="inlineStr">
        <is>
          <t>누구나 쉽게 AI 작사 &amp; 작곡 with 생성형 인공지능, 챗GPT, 수노, 유디오 (큰글자책)</t>
        </is>
      </c>
      <c r="B564" s="22" t="inlineStr">
        <is>
          <t>현병욱(오땡큐), 신수진</t>
        </is>
      </c>
      <c r="C564" s="22" t="inlineStr">
        <is>
          <t>시프트</t>
        </is>
      </c>
      <c r="D564" s="22" t="inlineStr">
        <is>
          <t>2026년 02월</t>
        </is>
      </c>
      <c r="E564" s="28" t="n">
        <v>39000</v>
      </c>
      <c r="F564" s="28" t="n">
        <v>39000</v>
      </c>
      <c r="G564" s="29" t="n">
        <v>0</v>
      </c>
      <c r="H564" s="29" t="n">
        <v>90</v>
      </c>
      <c r="I564" s="21" t="inlineStr">
        <is>
          <t>2026</t>
        </is>
      </c>
      <c r="J564" s="21" t="inlineStr">
        <is>
          <t xml:space="preserve"> 0</t>
        </is>
      </c>
      <c r="K564" s="30">
        <f>(E564-F564)/IF(E564&gt;0,E564,1)</f>
        <v/>
      </c>
    </row>
    <row r="565">
      <c r="A565" s="22" t="inlineStr">
        <is>
          <t>AI 골드러시, 돈을 버는 자는 누구인가</t>
        </is>
      </c>
      <c r="B565" s="22" t="inlineStr">
        <is>
          <t>시마즈 쇼, 안동현</t>
        </is>
      </c>
      <c r="C565" s="22" t="inlineStr">
        <is>
          <t>프리렉</t>
        </is>
      </c>
      <c r="D565" s="22" t="inlineStr">
        <is>
          <t>2024년 10월</t>
        </is>
      </c>
      <c r="E565" s="28" t="n">
        <v>22000</v>
      </c>
      <c r="F565" s="28" t="n">
        <v>19800</v>
      </c>
      <c r="G565" s="29" t="n">
        <v>13</v>
      </c>
      <c r="H565" s="29" t="n">
        <v>114</v>
      </c>
      <c r="I565" s="21" t="inlineStr">
        <is>
          <t>2024</t>
        </is>
      </c>
      <c r="J565" s="21" t="inlineStr">
        <is>
          <t xml:space="preserve"> 1</t>
        </is>
      </c>
      <c r="K565" s="30">
        <f>(E565-F565)/IF(E565&gt;0,E565,1)</f>
        <v/>
      </c>
    </row>
    <row r="566">
      <c r="A566" s="22" t="inlineStr">
        <is>
          <t>인공지능 개념 및 응용</t>
        </is>
      </c>
      <c r="B566" s="22" t="inlineStr">
        <is>
          <t>김종완, 도용태, 김일곤, 박창현, 강병호, 정보 더 보기/감추기, 김종완, 도용태, 김일곤, 박창현, 강병호, 박성배</t>
        </is>
      </c>
      <c r="C566" s="22" t="inlineStr">
        <is>
          <t>인피니티북스</t>
        </is>
      </c>
      <c r="D566" s="22" t="inlineStr">
        <is>
          <t>2022년 08월</t>
        </is>
      </c>
      <c r="E566" s="28" t="n">
        <v>30000</v>
      </c>
      <c r="F566" s="28" t="n">
        <v>30000</v>
      </c>
      <c r="G566" s="29" t="n">
        <v>1</v>
      </c>
      <c r="H566" s="29" t="n">
        <v>90</v>
      </c>
      <c r="I566" s="21" t="inlineStr">
        <is>
          <t>2022</t>
        </is>
      </c>
      <c r="J566" s="21" t="inlineStr">
        <is>
          <t xml:space="preserve"> 0</t>
        </is>
      </c>
      <c r="K566" s="30">
        <f>(E566-F566)/IF(E566&gt;0,E566,1)</f>
        <v/>
      </c>
    </row>
    <row r="567">
      <c r="A567" s="22" t="inlineStr">
        <is>
          <t>비전공자의 인공지능(AI) 입문</t>
        </is>
      </c>
      <c r="B567" s="22" t="inlineStr">
        <is>
          <t>김정환, 박노일</t>
        </is>
      </c>
      <c r="C567" s="22" t="inlineStr">
        <is>
          <t>홍릉</t>
        </is>
      </c>
      <c r="D567" s="22" t="inlineStr">
        <is>
          <t>2022년 01월</t>
        </is>
      </c>
      <c r="E567" s="28" t="n">
        <v>17000</v>
      </c>
      <c r="F567" s="28" t="n">
        <v>17000</v>
      </c>
      <c r="G567" s="29" t="n">
        <v>0</v>
      </c>
      <c r="H567" s="29" t="n">
        <v>114</v>
      </c>
      <c r="I567" s="21" t="inlineStr">
        <is>
          <t>2022</t>
        </is>
      </c>
      <c r="J567" s="21" t="inlineStr">
        <is>
          <t xml:space="preserve"> 0</t>
        </is>
      </c>
      <c r="K567" s="30">
        <f>(E567-F567)/IF(E567&gt;0,E567,1)</f>
        <v/>
      </c>
    </row>
    <row r="568">
      <c r="A568" s="22" t="inlineStr">
        <is>
          <t>코딩스쿨 엔트리로 시작하는 데이터 과학</t>
        </is>
      </c>
      <c r="B568" s="22" t="inlineStr">
        <is>
          <t>정인기, 임지원, 홍지연</t>
        </is>
      </c>
      <c r="C568" s="22" t="inlineStr">
        <is>
          <t>교학사</t>
        </is>
      </c>
      <c r="D568" s="22" t="inlineStr">
        <is>
          <t>2021년 12월</t>
        </is>
      </c>
      <c r="E568" s="28" t="n">
        <v>9000</v>
      </c>
      <c r="F568" s="28" t="n">
        <v>8100</v>
      </c>
      <c r="G568" s="29" t="n">
        <v>0</v>
      </c>
      <c r="H568" s="29" t="n">
        <v>234</v>
      </c>
      <c r="I568" s="21" t="inlineStr">
        <is>
          <t>2021</t>
        </is>
      </c>
      <c r="J568" s="21" t="inlineStr">
        <is>
          <t xml:space="preserve"> 1</t>
        </is>
      </c>
      <c r="K568" s="30">
        <f>(E568-F568)/IF(E568&gt;0,E568,1)</f>
        <v/>
      </c>
    </row>
    <row r="569">
      <c r="A569" s="22" t="inlineStr">
        <is>
          <t>AI 대전환 시대, Who am I</t>
        </is>
      </c>
      <c r="B569" s="22" t="inlineStr">
        <is>
          <t>김기진, 조원규, 김아영, 이소민, 박지연, 정보 더 보기/감추기, 김기진, 조원규, 김아영, 이소민, 박지연, 부정필, 서형석, 양승현, 유병선, 이재실, 최규철, 한정민</t>
        </is>
      </c>
      <c r="C569" s="22" t="inlineStr">
        <is>
          <t>에릭스토리</t>
        </is>
      </c>
      <c r="D569" s="22" t="inlineStr">
        <is>
          <t>2025년 02월</t>
        </is>
      </c>
      <c r="E569" s="28" t="n">
        <v>17000</v>
      </c>
      <c r="F569" s="28" t="n">
        <v>15300</v>
      </c>
      <c r="G569" s="29" t="n">
        <v>2</v>
      </c>
      <c r="H569" s="29" t="n">
        <v>132</v>
      </c>
      <c r="I569" s="21" t="inlineStr">
        <is>
          <t>2025</t>
        </is>
      </c>
      <c r="J569" s="21" t="inlineStr">
        <is>
          <t xml:space="preserve"> 0</t>
        </is>
      </c>
      <c r="K569" s="30">
        <f>(E569-F569)/IF(E569&gt;0,E569,1)</f>
        <v/>
      </c>
    </row>
    <row r="570">
      <c r="A570" s="22" t="inlineStr">
        <is>
          <t>AI로봇이 당신의 직업을 빼앗아간다</t>
        </is>
      </c>
      <c r="B570" s="22" t="inlineStr">
        <is>
          <t>고경철, 박현섭, 황정훈, 조규남</t>
        </is>
      </c>
      <c r="C570" s="22" t="inlineStr">
        <is>
          <t>크라운출판사</t>
        </is>
      </c>
      <c r="D570" s="22" t="inlineStr">
        <is>
          <t>2026년 06월</t>
        </is>
      </c>
      <c r="E570" s="28" t="n">
        <v>18000</v>
      </c>
      <c r="F570" s="28" t="n">
        <v>16200</v>
      </c>
      <c r="G570" s="29" t="n">
        <v>1</v>
      </c>
      <c r="H570" s="29" t="n">
        <v>66</v>
      </c>
      <c r="I570" s="21" t="inlineStr">
        <is>
          <t>2026</t>
        </is>
      </c>
      <c r="J570" s="21" t="inlineStr">
        <is>
          <t xml:space="preserve"> 0</t>
        </is>
      </c>
      <c r="K570" s="30">
        <f>(E570-F570)/IF(E570&gt;0,E570,1)</f>
        <v/>
      </c>
    </row>
    <row r="571">
      <c r="A571" s="22" t="inlineStr">
        <is>
          <t>챗GPT 문화·예술·교육 인사이트</t>
        </is>
      </c>
      <c r="B571" s="22" t="inlineStr">
        <is>
          <t>박은정</t>
        </is>
      </c>
      <c r="C571" s="22" t="inlineStr">
        <is>
          <t>책바세</t>
        </is>
      </c>
      <c r="D571" s="22" t="inlineStr">
        <is>
          <t>2024년 06월</t>
        </is>
      </c>
      <c r="E571" s="28" t="n">
        <v>22000</v>
      </c>
      <c r="F571" s="28" t="n">
        <v>19800</v>
      </c>
      <c r="G571" s="29" t="n">
        <v>0</v>
      </c>
      <c r="H571" s="29" t="n">
        <v>54</v>
      </c>
      <c r="I571" s="21" t="inlineStr">
        <is>
          <t>2024</t>
        </is>
      </c>
      <c r="J571" s="21" t="inlineStr">
        <is>
          <t xml:space="preserve"> 0</t>
        </is>
      </c>
      <c r="K571" s="30">
        <f>(E571-F571)/IF(E571&gt;0,E571,1)</f>
        <v/>
      </c>
    </row>
    <row r="572">
      <c r="A572" s="22" t="inlineStr">
        <is>
          <t>삶의 무기가 되는 생성형 AI</t>
        </is>
      </c>
      <c r="B572" s="22" t="inlineStr">
        <is>
          <t>유장휴</t>
        </is>
      </c>
      <c r="C572" s="22" t="inlineStr">
        <is>
          <t>글마음(도서출판)</t>
        </is>
      </c>
      <c r="D572" s="22" t="inlineStr">
        <is>
          <t>2024년 03월</t>
        </is>
      </c>
      <c r="E572" s="28" t="n">
        <v>9500</v>
      </c>
      <c r="F572" s="28" t="n">
        <v>9500</v>
      </c>
      <c r="G572" s="29" t="n">
        <v>0</v>
      </c>
      <c r="H572" s="29" t="n">
        <v>42</v>
      </c>
      <c r="I572" s="21" t="inlineStr">
        <is>
          <t>2024</t>
        </is>
      </c>
      <c r="J572" s="21" t="inlineStr">
        <is>
          <t xml:space="preserve"> 0</t>
        </is>
      </c>
      <c r="K572" s="30">
        <f>(E572-F572)/IF(E572&gt;0,E572,1)</f>
        <v/>
      </c>
    </row>
    <row r="573">
      <c r="A573" s="22" t="inlineStr">
        <is>
          <t>소상공인 AI 마케팅 솔루션</t>
        </is>
      </c>
      <c r="B573" s="22" t="inlineStr">
        <is>
          <t>김도이</t>
        </is>
      </c>
      <c r="C573" s="22" t="inlineStr">
        <is>
          <t>디지털콘텐츠그룹</t>
        </is>
      </c>
      <c r="D573" s="22" t="inlineStr">
        <is>
          <t>2026년 05월</t>
        </is>
      </c>
      <c r="E573" s="28" t="n">
        <v>24000</v>
      </c>
      <c r="F573" s="28" t="n">
        <v>21600</v>
      </c>
      <c r="G573" s="29" t="n">
        <v>0</v>
      </c>
      <c r="H573" s="29" t="n">
        <v>42</v>
      </c>
      <c r="I573" s="21" t="inlineStr">
        <is>
          <t>2026</t>
        </is>
      </c>
      <c r="J573" s="21" t="inlineStr">
        <is>
          <t xml:space="preserve"> 0</t>
        </is>
      </c>
      <c r="K573" s="30">
        <f>(E573-F573)/IF(E573&gt;0,E573,1)</f>
        <v/>
      </c>
    </row>
    <row r="574">
      <c r="A574" s="22" t="inlineStr">
        <is>
          <t>제로 클릭 시대 AI 실전 가이드</t>
        </is>
      </c>
      <c r="B574" s="22" t="inlineStr">
        <is>
          <t>조선아, 한금화, 백세균, 배은영</t>
        </is>
      </c>
      <c r="C574" s="22" t="inlineStr">
        <is>
          <t>디지털콘텐츠그룹</t>
        </is>
      </c>
      <c r="D574" s="22" t="inlineStr">
        <is>
          <t>2026년 05월</t>
        </is>
      </c>
      <c r="E574" s="28" t="n">
        <v>24000</v>
      </c>
      <c r="F574" s="28" t="n">
        <v>21600</v>
      </c>
      <c r="G574" s="29" t="n">
        <v>0</v>
      </c>
      <c r="H574" s="29" t="n">
        <v>42</v>
      </c>
      <c r="I574" s="21" t="inlineStr">
        <is>
          <t>2026</t>
        </is>
      </c>
      <c r="J574" s="21" t="inlineStr">
        <is>
          <t xml:space="preserve"> 0</t>
        </is>
      </c>
      <c r="K574" s="30">
        <f>(E574-F574)/IF(E574&gt;0,E574,1)</f>
        <v/>
      </c>
    </row>
    <row r="575">
      <c r="A575" s="22" t="inlineStr">
        <is>
          <t>Spring Boot 3 첫 걸음</t>
        </is>
      </c>
      <c r="B575" s="22" t="inlineStr">
        <is>
          <t>김기태, 김경희, 김재우</t>
        </is>
      </c>
      <c r="C575" s="22" t="inlineStr">
        <is>
          <t>BOOKK(부크크)</t>
        </is>
      </c>
      <c r="D575" s="22" t="inlineStr">
        <is>
          <t>2026년 04월</t>
        </is>
      </c>
      <c r="E575" s="28" t="n">
        <v>29300</v>
      </c>
      <c r="F575" s="28" t="n">
        <v>29300</v>
      </c>
      <c r="G575" s="29" t="n">
        <v>0</v>
      </c>
      <c r="H575" s="29" t="n">
        <v>42</v>
      </c>
      <c r="I575" s="21" t="inlineStr">
        <is>
          <t>2026</t>
        </is>
      </c>
      <c r="J575" s="21" t="inlineStr">
        <is>
          <t xml:space="preserve"> 0</t>
        </is>
      </c>
      <c r="K575" s="30">
        <f>(E575-F575)/IF(E575&gt;0,E575,1)</f>
        <v/>
      </c>
    </row>
    <row r="576">
      <c r="A576" s="22" t="inlineStr">
        <is>
          <t>AI 활용 동영상 창작하기</t>
        </is>
      </c>
      <c r="B576" s="22" t="inlineStr">
        <is>
          <t>강신진</t>
        </is>
      </c>
      <c r="C576" s="22" t="inlineStr">
        <is>
          <t>BOOKK(부크크)</t>
        </is>
      </c>
      <c r="D576" s="22" t="inlineStr">
        <is>
          <t>2026년 05월</t>
        </is>
      </c>
      <c r="E576" s="28" t="n">
        <v>18300</v>
      </c>
      <c r="F576" s="28" t="n">
        <v>18300</v>
      </c>
      <c r="G576" s="29" t="n">
        <v>0</v>
      </c>
      <c r="H576" s="29" t="n">
        <v>42</v>
      </c>
      <c r="I576" s="21" t="inlineStr">
        <is>
          <t>2026</t>
        </is>
      </c>
      <c r="J576" s="21" t="inlineStr">
        <is>
          <t xml:space="preserve"> 0</t>
        </is>
      </c>
      <c r="K576" s="30">
        <f>(E576-F576)/IF(E576&gt;0,E576,1)</f>
        <v/>
      </c>
    </row>
    <row r="577">
      <c r="A577" s="22" t="inlineStr">
        <is>
          <t>챗GPT CHAT 입문 활용 공부 사용법과  인공지능 지피티 영어 배우기 프롬프트 수업 &amp; AI 기초 책 학원강의 특강 도서 교재보다 좋은 USB 강좌 교육</t>
        </is>
      </c>
      <c r="B577" s="22" t="inlineStr">
        <is>
          <t>액션미디어 편집부</t>
        </is>
      </c>
      <c r="C577" s="22" t="inlineStr">
        <is>
          <t>액션미디어</t>
        </is>
      </c>
      <c r="D577" s="22" t="inlineStr">
        <is>
          <t>2026년 04월</t>
        </is>
      </c>
      <c r="E577" s="28" t="n">
        <v>22900</v>
      </c>
      <c r="F577" s="28" t="n">
        <v>22900</v>
      </c>
      <c r="G577" s="29" t="n">
        <v>0</v>
      </c>
      <c r="H577" s="29" t="n">
        <v>42</v>
      </c>
      <c r="I577" s="21" t="inlineStr">
        <is>
          <t>2026</t>
        </is>
      </c>
      <c r="J577" s="21" t="inlineStr">
        <is>
          <t xml:space="preserve"> 0</t>
        </is>
      </c>
      <c r="K577" s="30">
        <f>(E577-F577)/IF(E577&gt;0,E577,1)</f>
        <v/>
      </c>
    </row>
    <row r="578">
      <c r="A578" s="22" t="inlineStr">
        <is>
          <t>챗GPT 실무 활용 가이드 Chat  공부 사용법과 인공지능 지피티 엑셀 블로그 유튜브 ppt 배우기  수업  AI 기초 책 학원강의 특강 도서 교재보다 좋은 USB 강좌 교육</t>
        </is>
      </c>
      <c r="B578" s="22" t="inlineStr">
        <is>
          <t>액션미디어 편집부</t>
        </is>
      </c>
      <c r="C578" s="22" t="inlineStr">
        <is>
          <t>액션미디어</t>
        </is>
      </c>
      <c r="D578" s="22" t="inlineStr">
        <is>
          <t>2026년 04월</t>
        </is>
      </c>
      <c r="E578" s="28" t="n">
        <v>30000</v>
      </c>
      <c r="F578" s="28" t="n">
        <v>30000</v>
      </c>
      <c r="G578" s="29" t="n">
        <v>0</v>
      </c>
      <c r="H578" s="29" t="n">
        <v>42</v>
      </c>
      <c r="I578" s="21" t="inlineStr">
        <is>
          <t>2026</t>
        </is>
      </c>
      <c r="J578" s="21" t="inlineStr">
        <is>
          <t xml:space="preserve"> 0</t>
        </is>
      </c>
      <c r="K578" s="30">
        <f>(E578-F578)/IF(E578&gt;0,E578,1)</f>
        <v/>
      </c>
    </row>
    <row r="579">
      <c r="A579" s="22" t="inlineStr">
        <is>
          <t>복붙으로 끝내는 AI 기획보고서</t>
        </is>
      </c>
      <c r="B579" s="22" t="inlineStr">
        <is>
          <t>이정화, 문경희, 박인완, 김찬곤</t>
        </is>
      </c>
      <c r="C579" s="22" t="inlineStr">
        <is>
          <t>디지털콘텐츠그룹</t>
        </is>
      </c>
      <c r="D579" s="22" t="inlineStr">
        <is>
          <t>2026년 04월</t>
        </is>
      </c>
      <c r="E579" s="28" t="n">
        <v>24000</v>
      </c>
      <c r="F579" s="28" t="n">
        <v>21600</v>
      </c>
      <c r="G579" s="29" t="n">
        <v>0</v>
      </c>
      <c r="H579" s="29" t="n">
        <v>54</v>
      </c>
      <c r="I579" s="21" t="inlineStr">
        <is>
          <t>2026</t>
        </is>
      </c>
      <c r="J579" s="21" t="inlineStr">
        <is>
          <t xml:space="preserve"> 0</t>
        </is>
      </c>
      <c r="K579" s="30">
        <f>(E579-F579)/IF(E579&gt;0,E579,1)</f>
        <v/>
      </c>
    </row>
    <row r="580">
      <c r="A580" s="22" t="inlineStr">
        <is>
          <t>액션 퍼스트 러닝 Action-First Learning</t>
        </is>
      </c>
      <c r="B580" s="22" t="inlineStr">
        <is>
          <t>칼 카프, 더플레이컴퍼니</t>
        </is>
      </c>
      <c r="C580" s="22" t="inlineStr">
        <is>
          <t>에이콘출판사</t>
        </is>
      </c>
      <c r="D580" s="22" t="inlineStr">
        <is>
          <t>2026년 04월</t>
        </is>
      </c>
      <c r="E580" s="28" t="n">
        <v>33000</v>
      </c>
      <c r="F580" s="28" t="n">
        <v>29700</v>
      </c>
      <c r="G580" s="29" t="n">
        <v>0</v>
      </c>
      <c r="H580" s="29" t="n">
        <v>54</v>
      </c>
      <c r="I580" s="21" t="inlineStr">
        <is>
          <t>2026</t>
        </is>
      </c>
      <c r="J580" s="21" t="inlineStr">
        <is>
          <t xml:space="preserve"> 0</t>
        </is>
      </c>
      <c r="K580" s="30">
        <f>(E580-F580)/IF(E580&gt;0,E580,1)</f>
        <v/>
      </c>
    </row>
    <row r="581">
      <c r="A581" s="22" t="inlineStr">
        <is>
          <t>일과 생활에서 생성형 AI와 협업하기</t>
        </is>
      </c>
      <c r="B581" s="22" t="inlineStr">
        <is>
          <t>정경수</t>
        </is>
      </c>
      <c r="C581" s="22" t="inlineStr">
        <is>
          <t>큰그림(빅픽처컴퍼니)</t>
        </is>
      </c>
      <c r="D581" s="22" t="inlineStr">
        <is>
          <t>2026년 04월</t>
        </is>
      </c>
      <c r="E581" s="28" t="n">
        <v>22000</v>
      </c>
      <c r="F581" s="28" t="n">
        <v>19800</v>
      </c>
      <c r="G581" s="29" t="n">
        <v>0</v>
      </c>
      <c r="H581" s="29" t="n">
        <v>24</v>
      </c>
      <c r="I581" s="21" t="inlineStr">
        <is>
          <t>2026</t>
        </is>
      </c>
      <c r="J581" s="21" t="inlineStr">
        <is>
          <t xml:space="preserve"> 0</t>
        </is>
      </c>
      <c r="K581" s="30">
        <f>(E581-F581)/IF(E581&gt;0,E581,1)</f>
        <v/>
      </c>
    </row>
    <row r="582">
      <c r="A582" s="22" t="inlineStr">
        <is>
          <t>업무생산성 높이는 생성형 AI 기초 전략</t>
        </is>
      </c>
      <c r="B582" s="22" t="inlineStr">
        <is>
          <t>유형재, 윤성임, 하예랑</t>
        </is>
      </c>
      <c r="C582" s="22" t="inlineStr">
        <is>
          <t>디엔젤</t>
        </is>
      </c>
      <c r="D582" s="22" t="inlineStr">
        <is>
          <t>2025년 03월</t>
        </is>
      </c>
      <c r="E582" s="28" t="n">
        <v>9900</v>
      </c>
      <c r="F582" s="28" t="n">
        <v>9900</v>
      </c>
      <c r="G582" s="29" t="n">
        <v>0</v>
      </c>
      <c r="H582" s="29" t="n">
        <v>42</v>
      </c>
      <c r="I582" s="21" t="inlineStr">
        <is>
          <t>2025</t>
        </is>
      </c>
      <c r="J582" s="21" t="inlineStr">
        <is>
          <t xml:space="preserve"> 0</t>
        </is>
      </c>
      <c r="K582" s="30">
        <f>(E582-F582)/IF(E582&gt;0,E582,1)</f>
        <v/>
      </c>
    </row>
    <row r="583">
      <c r="A583" s="22" t="inlineStr">
        <is>
          <t>AI와 소통하는 법: 프롬프트 엔지니어링 기초편</t>
        </is>
      </c>
      <c r="B583" s="22" t="inlineStr">
        <is>
          <t>유형재, 윤성임, 하예랑</t>
        </is>
      </c>
      <c r="C583" s="22" t="inlineStr">
        <is>
          <t>디엔젤</t>
        </is>
      </c>
      <c r="D583" s="22" t="inlineStr">
        <is>
          <t>2025년 03월</t>
        </is>
      </c>
      <c r="E583" s="28" t="n">
        <v>11000</v>
      </c>
      <c r="F583" s="28" t="n">
        <v>11000</v>
      </c>
      <c r="G583" s="29" t="n">
        <v>1</v>
      </c>
      <c r="H583" s="29" t="n">
        <v>66</v>
      </c>
      <c r="I583" s="21" t="inlineStr">
        <is>
          <t>2025</t>
        </is>
      </c>
      <c r="J583" s="21" t="inlineStr">
        <is>
          <t xml:space="preserve"> 0</t>
        </is>
      </c>
      <c r="K583" s="30">
        <f>(E583-F583)/IF(E583&gt;0,E583,1)</f>
        <v/>
      </c>
    </row>
    <row r="584">
      <c r="A584" s="22" t="inlineStr">
        <is>
          <t>예술지원사업 챗GPT활용법 (미니북)</t>
        </is>
      </c>
      <c r="B584" s="22" t="inlineStr">
        <is>
          <t>인승현</t>
        </is>
      </c>
      <c r="C584" s="22" t="inlineStr">
        <is>
          <t>사회적협동조합 문화공장</t>
        </is>
      </c>
      <c r="D584" s="22" t="inlineStr">
        <is>
          <t>2024년 12월</t>
        </is>
      </c>
      <c r="E584" s="28" t="n">
        <v>17000</v>
      </c>
      <c r="F584" s="28" t="n">
        <v>15300</v>
      </c>
      <c r="G584" s="29" t="n">
        <v>0</v>
      </c>
      <c r="H584" s="29" t="n">
        <v>42</v>
      </c>
      <c r="I584" s="21" t="inlineStr">
        <is>
          <t>2024</t>
        </is>
      </c>
      <c r="J584" s="21" t="inlineStr">
        <is>
          <t xml:space="preserve"> 1</t>
        </is>
      </c>
      <c r="K584" s="30">
        <f>(E584-F584)/IF(E584&gt;0,E584,1)</f>
        <v/>
      </c>
    </row>
    <row r="585">
      <c r="A585" s="22" t="inlineStr">
        <is>
          <t>요즘 어른을 위한 최소한의 인공지능 이야기</t>
        </is>
      </c>
      <c r="B585" s="22" t="inlineStr">
        <is>
          <t>한세희</t>
        </is>
      </c>
      <c r="C585" s="22" t="inlineStr">
        <is>
          <t>날</t>
        </is>
      </c>
      <c r="D585" s="22" t="inlineStr">
        <is>
          <t>2024년 07월</t>
        </is>
      </c>
      <c r="E585" s="28" t="n">
        <v>18000</v>
      </c>
      <c r="F585" s="28" t="n">
        <v>16200</v>
      </c>
      <c r="G585" s="29" t="n">
        <v>6</v>
      </c>
      <c r="H585" s="29" t="n">
        <v>96</v>
      </c>
      <c r="I585" s="21" t="inlineStr">
        <is>
          <t>2024</t>
        </is>
      </c>
      <c r="J585" s="21" t="inlineStr">
        <is>
          <t xml:space="preserve"> 0</t>
        </is>
      </c>
      <c r="K585" s="30">
        <f>(E585-F585)/IF(E585&gt;0,E585,1)</f>
        <v/>
      </c>
    </row>
    <row r="586">
      <c r="A586" s="22" t="inlineStr">
        <is>
          <t>모든 명언의 시작, CLOVA X</t>
        </is>
      </c>
      <c r="B586" s="22" t="inlineStr">
        <is>
          <t>송태민, 김덕진, 민경준, 서광민, 우연이</t>
        </is>
      </c>
      <c r="C586" s="22" t="inlineStr">
        <is>
          <t>열린인공지능</t>
        </is>
      </c>
      <c r="D586" s="22" t="inlineStr">
        <is>
          <t>2023년 08월</t>
        </is>
      </c>
      <c r="E586" s="28" t="n">
        <v>7000</v>
      </c>
      <c r="F586" s="28" t="n">
        <v>7000</v>
      </c>
      <c r="G586" s="29" t="n">
        <v>1</v>
      </c>
      <c r="H586" s="29" t="n">
        <v>96</v>
      </c>
      <c r="I586" s="21" t="inlineStr">
        <is>
          <t>2023</t>
        </is>
      </c>
      <c r="J586" s="21" t="inlineStr">
        <is>
          <t xml:space="preserve"> 0</t>
        </is>
      </c>
      <c r="K586" s="30">
        <f>(E586-F586)/IF(E586&gt;0,E586,1)</f>
        <v/>
      </c>
    </row>
    <row r="587">
      <c r="A587" s="22" t="inlineStr">
        <is>
          <t>인공지능 파운데이션</t>
        </is>
      </c>
      <c r="B587" s="22" t="inlineStr">
        <is>
          <t>용환승</t>
        </is>
      </c>
      <c r="C587" s="22" t="inlineStr">
        <is>
          <t>인피니티북스</t>
        </is>
      </c>
      <c r="D587" s="22" t="inlineStr">
        <is>
          <t>2023년 01월</t>
        </is>
      </c>
      <c r="E587" s="28" t="n">
        <v>27000</v>
      </c>
      <c r="F587" s="28" t="n">
        <v>27000</v>
      </c>
      <c r="G587" s="29" t="n">
        <v>0</v>
      </c>
      <c r="H587" s="29" t="n">
        <v>42</v>
      </c>
      <c r="I587" s="21" t="inlineStr">
        <is>
          <t>2023</t>
        </is>
      </c>
      <c r="J587" s="21" t="inlineStr">
        <is>
          <t xml:space="preserve"> 0</t>
        </is>
      </c>
      <c r="K587" s="30">
        <f>(E587-F587)/IF(E587&gt;0,E587,1)</f>
        <v/>
      </c>
    </row>
    <row r="588">
      <c r="A588" s="22" t="inlineStr">
        <is>
          <t>양자 컴퓨팅 이론 해설</t>
        </is>
      </c>
      <c r="B588" s="22" t="inlineStr">
        <is>
          <t>데이비드 맥마혼, 황정동</t>
        </is>
      </c>
      <c r="C588" s="22" t="inlineStr">
        <is>
          <t>에이콘출판사</t>
        </is>
      </c>
      <c r="D588" s="22" t="inlineStr">
        <is>
          <t>2020년 03월</t>
        </is>
      </c>
      <c r="E588" s="28" t="n">
        <v>45000</v>
      </c>
      <c r="F588" s="28" t="n">
        <v>40500</v>
      </c>
      <c r="G588" s="29" t="n">
        <v>1</v>
      </c>
      <c r="H588" s="29" t="n">
        <v>66</v>
      </c>
      <c r="I588" s="21" t="inlineStr">
        <is>
          <t>2020</t>
        </is>
      </c>
      <c r="J588" s="21" t="inlineStr">
        <is>
          <t xml:space="preserve"> 0</t>
        </is>
      </c>
      <c r="K588" s="30">
        <f>(E588-F588)/IF(E588&gt;0,E588,1)</f>
        <v/>
      </c>
    </row>
    <row r="589">
      <c r="A589" s="22" t="inlineStr">
        <is>
          <t>뇌 마음 인공지능(한국어판)</t>
        </is>
      </c>
      <c r="B589" s="22" t="inlineStr">
        <is>
          <t>박혜영</t>
        </is>
      </c>
      <c r="C589" s="22" t="inlineStr">
        <is>
          <t>홍릉과학출판사</t>
        </is>
      </c>
      <c r="D589" s="22" t="inlineStr">
        <is>
          <t>2017년 12월</t>
        </is>
      </c>
      <c r="E589" s="28" t="n">
        <v>10000</v>
      </c>
      <c r="F589" s="28" t="n">
        <v>10000</v>
      </c>
      <c r="G589" s="29" t="n">
        <v>0</v>
      </c>
      <c r="H589" s="29" t="n">
        <v>54</v>
      </c>
      <c r="I589" s="21" t="inlineStr">
        <is>
          <t>2017</t>
        </is>
      </c>
      <c r="J589" s="21" t="inlineStr">
        <is>
          <t xml:space="preserve"> 1</t>
        </is>
      </c>
      <c r="K589" s="30">
        <f>(E589-F589)/IF(E589&gt;0,E589,1)</f>
        <v/>
      </c>
    </row>
    <row r="590">
      <c r="A590" s="22" t="inlineStr">
        <is>
          <t>클릭센스(QlikSense)로 빅데이터 시각화 끝내기 모델링편</t>
        </is>
      </c>
      <c r="B590" s="22" t="inlineStr">
        <is>
          <t>홍성수, 홍성준</t>
        </is>
      </c>
      <c r="C590" s="22" t="inlineStr">
        <is>
          <t>BOOKK(부크크)</t>
        </is>
      </c>
      <c r="D590" s="22" t="inlineStr">
        <is>
          <t>2022년 03월</t>
        </is>
      </c>
      <c r="E590" s="28" t="n">
        <v>30200</v>
      </c>
      <c r="F590" s="28" t="n">
        <v>30200</v>
      </c>
      <c r="G590" s="29" t="n">
        <v>0</v>
      </c>
      <c r="H590" s="29" t="n">
        <v>66</v>
      </c>
      <c r="I590" s="21" t="inlineStr">
        <is>
          <t>2022</t>
        </is>
      </c>
      <c r="J590" s="21" t="inlineStr">
        <is>
          <t xml:space="preserve"> 0</t>
        </is>
      </c>
      <c r="K590" s="30">
        <f>(E590-F590)/IF(E590&gt;0,E590,1)</f>
        <v/>
      </c>
    </row>
    <row r="591">
      <c r="A591" s="22" t="inlineStr">
        <is>
          <t>쿠브플로우</t>
        </is>
      </c>
      <c r="B591" s="22" t="inlineStr">
        <is>
          <t>이명환, 문근민, 홍석환, 김효동</t>
        </is>
      </c>
      <c r="C591" s="22" t="inlineStr">
        <is>
          <t>디지털북스</t>
        </is>
      </c>
      <c r="D591" s="22" t="inlineStr">
        <is>
          <t>2020년 03월</t>
        </is>
      </c>
      <c r="E591" s="28" t="n">
        <v>15000</v>
      </c>
      <c r="F591" s="28" t="n">
        <v>13500</v>
      </c>
      <c r="G591" s="29" t="n">
        <v>4</v>
      </c>
      <c r="H591" s="29" t="n">
        <v>66</v>
      </c>
      <c r="I591" s="21" t="inlineStr">
        <is>
          <t>2020</t>
        </is>
      </c>
      <c r="J591" s="21" t="inlineStr">
        <is>
          <t xml:space="preserve"> 0</t>
        </is>
      </c>
      <c r="K591" s="30">
        <f>(E591-F591)/IF(E591&gt;0,E591,1)</f>
        <v/>
      </c>
    </row>
    <row r="592">
      <c r="A592" s="22" t="inlineStr">
        <is>
          <t>신경망 설계 2/e</t>
        </is>
      </c>
      <c r="B592" s="22" t="inlineStr">
        <is>
          <t>마틴 헤이건, 하워드 데무스, 마크 허드슨 빌, 올랜도 헤수스, 윤성진</t>
        </is>
      </c>
      <c r="C592" s="22" t="inlineStr">
        <is>
          <t>에이콘출판사</t>
        </is>
      </c>
      <c r="D592" s="22" t="inlineStr">
        <is>
          <t>2018년 09월</t>
        </is>
      </c>
      <c r="E592" s="28" t="n">
        <v>50000</v>
      </c>
      <c r="F592" s="28" t="n">
        <v>45000</v>
      </c>
      <c r="G592" s="29" t="n">
        <v>0</v>
      </c>
      <c r="H592" s="29" t="n">
        <v>66</v>
      </c>
      <c r="I592" s="21" t="inlineStr">
        <is>
          <t>2018</t>
        </is>
      </c>
      <c r="J592" s="21" t="inlineStr">
        <is>
          <t xml:space="preserve"> 0</t>
        </is>
      </c>
      <c r="K592" s="30">
        <f>(E592-F592)/IF(E592&gt;0,E592,1)</f>
        <v/>
      </c>
    </row>
    <row r="593">
      <c r="A593" s="22" t="inlineStr">
        <is>
          <t>Ai, 창의력에 날개를 달다</t>
        </is>
      </c>
      <c r="B593" s="22" t="inlineStr">
        <is>
          <t>김지욱, 박수희, 추형석</t>
        </is>
      </c>
      <c r="C593" s="22" t="inlineStr">
        <is>
          <t>신구문화사</t>
        </is>
      </c>
      <c r="D593" s="22" t="inlineStr">
        <is>
          <t>2026년 02월</t>
        </is>
      </c>
      <c r="E593" s="28" t="n">
        <v>25000</v>
      </c>
      <c r="F593" s="28" t="n">
        <v>25000</v>
      </c>
      <c r="G593" s="29" t="n">
        <v>0</v>
      </c>
      <c r="H593" s="29" t="n">
        <v>66</v>
      </c>
      <c r="I593" s="21" t="inlineStr">
        <is>
          <t>2026</t>
        </is>
      </c>
      <c r="J593" s="21" t="inlineStr">
        <is>
          <t xml:space="preserve"> 0</t>
        </is>
      </c>
      <c r="K593" s="30">
        <f>(E593-F593)/IF(E593&gt;0,E593,1)</f>
        <v/>
      </c>
    </row>
    <row r="594">
      <c r="A594" s="22" t="inlineStr">
        <is>
          <t>AI와 함께하는 학교 경영의 미래 Ⅰ</t>
        </is>
      </c>
      <c r="B594" s="22" t="inlineStr">
        <is>
          <t>김낙신</t>
        </is>
      </c>
      <c r="C594" s="22" t="inlineStr">
        <is>
          <t>글ego</t>
        </is>
      </c>
      <c r="D594" s="22" t="inlineStr">
        <is>
          <t>2026년 01월</t>
        </is>
      </c>
      <c r="E594" s="28" t="n">
        <v>27500</v>
      </c>
      <c r="F594" s="28" t="n">
        <v>24750</v>
      </c>
      <c r="G594" s="29" t="n">
        <v>0</v>
      </c>
      <c r="H594" s="29" t="n">
        <v>66</v>
      </c>
      <c r="I594" s="21" t="inlineStr">
        <is>
          <t>2026</t>
        </is>
      </c>
      <c r="J594" s="21" t="inlineStr">
        <is>
          <t xml:space="preserve"> 0</t>
        </is>
      </c>
      <c r="K594" s="30">
        <f>(E594-F594)/IF(E594&gt;0,E594,1)</f>
        <v/>
      </c>
    </row>
    <row r="595">
      <c r="A595" s="22" t="inlineStr">
        <is>
          <t>인공지능을 위한 FastAPI 첫 걸음</t>
        </is>
      </c>
      <c r="B595" s="22" t="inlineStr">
        <is>
          <t>김기태, 송미선, 장원</t>
        </is>
      </c>
      <c r="C595" s="22" t="inlineStr">
        <is>
          <t>BOOKK(부크크)</t>
        </is>
      </c>
      <c r="D595" s="22" t="inlineStr">
        <is>
          <t>2025년 12월</t>
        </is>
      </c>
      <c r="E595" s="28" t="n">
        <v>31200</v>
      </c>
      <c r="F595" s="28" t="n">
        <v>31200</v>
      </c>
      <c r="G595" s="29" t="n">
        <v>0</v>
      </c>
      <c r="H595" s="29" t="n">
        <v>54</v>
      </c>
      <c r="I595" s="21" t="inlineStr">
        <is>
          <t>2025</t>
        </is>
      </c>
      <c r="J595" s="21" t="inlineStr">
        <is>
          <t xml:space="preserve"> 1</t>
        </is>
      </c>
      <c r="K595" s="30">
        <f>(E595-F595)/IF(E595&gt;0,E595,1)</f>
        <v/>
      </c>
    </row>
    <row r="596">
      <c r="A596" s="22" t="inlineStr">
        <is>
          <t>한글과 AI로 뚝딱! 내 전자책문서</t>
        </is>
      </c>
      <c r="B596" s="22" t="inlineStr">
        <is>
          <t>황윤진</t>
        </is>
      </c>
      <c r="C596" s="22" t="inlineStr">
        <is>
          <t>BOOKK(부크크)</t>
        </is>
      </c>
      <c r="D596" s="22" t="inlineStr">
        <is>
          <t>2025년 07월</t>
        </is>
      </c>
      <c r="E596" s="28" t="n">
        <v>24000</v>
      </c>
      <c r="F596" s="28" t="n">
        <v>24000</v>
      </c>
      <c r="G596" s="29" t="n">
        <v>0</v>
      </c>
      <c r="H596" s="29" t="n">
        <v>66</v>
      </c>
      <c r="I596" s="21" t="inlineStr">
        <is>
          <t>2025</t>
        </is>
      </c>
      <c r="J596" s="21" t="inlineStr">
        <is>
          <t xml:space="preserve"> 0</t>
        </is>
      </c>
      <c r="K596" s="30">
        <f>(E596-F596)/IF(E596&gt;0,E596,1)</f>
        <v/>
      </c>
    </row>
    <row r="597">
      <c r="A597" s="22" t="inlineStr">
        <is>
          <t>인공지능 도시</t>
        </is>
      </c>
      <c r="B597" s="22" t="inlineStr">
        <is>
          <t>엄기복</t>
        </is>
      </c>
      <c r="C597" s="22" t="inlineStr">
        <is>
          <t>좋은땅</t>
        </is>
      </c>
      <c r="D597" s="22" t="inlineStr">
        <is>
          <t>2024년 09월</t>
        </is>
      </c>
      <c r="E597" s="28" t="n">
        <v>35000</v>
      </c>
      <c r="F597" s="28" t="n">
        <v>31500</v>
      </c>
      <c r="G597" s="29" t="n">
        <v>0</v>
      </c>
      <c r="H597" s="29" t="n">
        <v>66</v>
      </c>
      <c r="I597" s="21" t="inlineStr">
        <is>
          <t>2024</t>
        </is>
      </c>
      <c r="J597" s="21" t="inlineStr">
        <is>
          <t xml:space="preserve"> 0</t>
        </is>
      </c>
      <c r="K597" s="30">
        <f>(E597-F597)/IF(E597&gt;0,E597,1)</f>
        <v/>
      </c>
    </row>
    <row r="598">
      <c r="A598" s="22" t="inlineStr">
        <is>
          <t>자연어 처리 첫단추 끼우기</t>
        </is>
      </c>
      <c r="B598" s="22" t="inlineStr">
        <is>
          <t>오이석, 권태희, 양윤정, 임주희, 조민지, 한창희</t>
        </is>
      </c>
      <c r="C598" s="22" t="inlineStr">
        <is>
          <t>홍릉과학출판사</t>
        </is>
      </c>
      <c r="D598" s="22" t="inlineStr">
        <is>
          <t>2022년 07월</t>
        </is>
      </c>
      <c r="E598" s="28" t="n">
        <v>17000</v>
      </c>
      <c r="F598" s="28" t="n">
        <v>17000</v>
      </c>
      <c r="G598" s="29" t="n">
        <v>0</v>
      </c>
      <c r="H598" s="29" t="n">
        <v>42</v>
      </c>
      <c r="I598" s="21" t="inlineStr">
        <is>
          <t>2022</t>
        </is>
      </c>
      <c r="J598" s="21" t="inlineStr">
        <is>
          <t xml:space="preserve"> 0</t>
        </is>
      </c>
      <c r="K598" s="30">
        <f>(E598-F598)/IF(E598&gt;0,E598,1)</f>
        <v/>
      </c>
    </row>
    <row r="599">
      <c r="A599" s="22" t="inlineStr">
        <is>
          <t>인공지능 바이블 (인공지능에 대한 모든 것)</t>
        </is>
      </c>
      <c r="B599" s="22" t="inlineStr">
        <is>
          <t>조민호</t>
        </is>
      </c>
      <c r="C599" s="22" t="inlineStr">
        <is>
          <t>정보문화사</t>
        </is>
      </c>
      <c r="D599" s="22" t="inlineStr">
        <is>
          <t>2022년 06월</t>
        </is>
      </c>
      <c r="E599" s="28" t="n">
        <v>28000</v>
      </c>
      <c r="F599" s="28" t="n">
        <v>25200</v>
      </c>
      <c r="G599" s="29" t="n">
        <v>24</v>
      </c>
      <c r="H599" s="29" t="n">
        <v>66</v>
      </c>
      <c r="I599" s="21" t="inlineStr">
        <is>
          <t>2022</t>
        </is>
      </c>
      <c r="J599" s="21" t="inlineStr">
        <is>
          <t xml:space="preserve"> 0</t>
        </is>
      </c>
      <c r="K599" s="30">
        <f>(E599-F599)/IF(E599&gt;0,E599,1)</f>
        <v/>
      </c>
    </row>
    <row r="600">
      <c r="A600" s="22" t="inlineStr">
        <is>
          <t>파이썬으로 움직이는 EV3 로봇</t>
        </is>
      </c>
      <c r="B600" s="22" t="inlineStr">
        <is>
          <t>황일규</t>
        </is>
      </c>
      <c r="C600" s="22" t="inlineStr">
        <is>
          <t>복두출판사</t>
        </is>
      </c>
      <c r="D600" s="22" t="inlineStr">
        <is>
          <t>2021년 07월</t>
        </is>
      </c>
      <c r="E600" s="28" t="n">
        <v>22000</v>
      </c>
      <c r="F600" s="28" t="n">
        <v>22000</v>
      </c>
      <c r="G600" s="29" t="n">
        <v>0</v>
      </c>
      <c r="H600" s="29" t="n">
        <v>66</v>
      </c>
      <c r="I600" s="21" t="inlineStr">
        <is>
          <t>2021</t>
        </is>
      </c>
      <c r="J600" s="21" t="inlineStr">
        <is>
          <t xml:space="preserve"> 0</t>
        </is>
      </c>
      <c r="K600" s="30">
        <f>(E600-F600)/IF(E600&gt;0,E600,1)</f>
        <v/>
      </c>
    </row>
    <row r="601">
      <c r="A601" s="22" t="inlineStr">
        <is>
          <t>AI 모델을 위한 자연어추론 데이터</t>
        </is>
      </c>
      <c r="B601" s="22" t="inlineStr">
        <is>
          <t>남지순</t>
        </is>
      </c>
      <c r="C601" s="22" t="inlineStr">
        <is>
          <t>리니토북스</t>
        </is>
      </c>
      <c r="D601" s="22" t="inlineStr">
        <is>
          <t>2025년 01월</t>
        </is>
      </c>
      <c r="E601" s="28" t="n">
        <v>26000</v>
      </c>
      <c r="F601" s="28" t="n">
        <v>26000</v>
      </c>
      <c r="G601" s="29" t="n">
        <v>0</v>
      </c>
      <c r="H601" s="29" t="n">
        <v>24</v>
      </c>
      <c r="I601" s="21" t="inlineStr">
        <is>
          <t>2025</t>
        </is>
      </c>
      <c r="J601" s="21" t="inlineStr">
        <is>
          <t xml:space="preserve"> 0</t>
        </is>
      </c>
      <c r="K601" s="30">
        <f>(E601-F601)/IF(E601&gt;0,E601,1)</f>
        <v/>
      </c>
    </row>
    <row r="602">
      <c r="A602" s="22" t="inlineStr">
        <is>
          <t>10배 빠르게 일하고 연봉 높이는 챗GPT 업무 비법</t>
        </is>
      </c>
      <c r="B602" s="22" t="inlineStr">
        <is>
          <t>유캔코드</t>
        </is>
      </c>
      <c r="C602" s="22" t="inlineStr">
        <is>
          <t>한빛비즈</t>
        </is>
      </c>
      <c r="D602" s="22" t="inlineStr">
        <is>
          <t>2025년 09월</t>
        </is>
      </c>
      <c r="E602" s="28" t="n">
        <v>23000</v>
      </c>
      <c r="F602" s="28" t="n">
        <v>20700</v>
      </c>
      <c r="G602" s="29" t="n">
        <v>11</v>
      </c>
      <c r="H602" s="29" t="n">
        <v>1374</v>
      </c>
      <c r="I602" s="21" t="inlineStr">
        <is>
          <t>2025</t>
        </is>
      </c>
      <c r="J602" s="21" t="inlineStr">
        <is>
          <t xml:space="preserve"> 0</t>
        </is>
      </c>
      <c r="K602" s="30">
        <f>(E602-F602)/IF(E602&gt;0,E602,1)</f>
        <v/>
      </c>
    </row>
    <row r="603">
      <c r="A603" s="22" t="inlineStr">
        <is>
          <t>메타버스 시대의 사물 인터넷(IoT)</t>
        </is>
      </c>
      <c r="B603" s="22" t="inlineStr">
        <is>
          <t>양순옥, 김성석</t>
        </is>
      </c>
      <c r="C603" s="22" t="inlineStr">
        <is>
          <t>생능출판사</t>
        </is>
      </c>
      <c r="D603" s="22" t="inlineStr">
        <is>
          <t>2023년 02월</t>
        </is>
      </c>
      <c r="E603" s="28" t="n">
        <v>28000</v>
      </c>
      <c r="F603" s="28" t="n">
        <v>28000</v>
      </c>
      <c r="G603" s="29" t="n">
        <v>0</v>
      </c>
      <c r="H603" s="29" t="n">
        <v>1140</v>
      </c>
      <c r="I603" s="21" t="inlineStr">
        <is>
          <t>2023</t>
        </is>
      </c>
      <c r="J603" s="21" t="inlineStr">
        <is>
          <t xml:space="preserve"> 0</t>
        </is>
      </c>
      <c r="K603" s="30">
        <f>(E603-F603)/IF(E603&gt;0,E603,1)</f>
        <v/>
      </c>
    </row>
    <row r="604">
      <c r="A604" s="22" t="inlineStr">
        <is>
          <t>연필과 종이로 풀어보는 AI 딥러닝 수학 워크북 214제</t>
        </is>
      </c>
      <c r="B604" s="22" t="inlineStr">
        <is>
          <t>톰 예</t>
        </is>
      </c>
      <c r="C604" s="22" t="inlineStr">
        <is>
          <t>아티오</t>
        </is>
      </c>
      <c r="D604" s="22" t="inlineStr">
        <is>
          <t>2025년 12월</t>
        </is>
      </c>
      <c r="E604" s="28" t="n">
        <v>19000</v>
      </c>
      <c r="F604" s="28" t="n">
        <v>17100</v>
      </c>
      <c r="G604" s="29" t="n">
        <v>1</v>
      </c>
      <c r="H604" s="29" t="n">
        <v>1134</v>
      </c>
      <c r="I604" s="21" t="inlineStr">
        <is>
          <t>2025</t>
        </is>
      </c>
      <c r="J604" s="21" t="inlineStr">
        <is>
          <t xml:space="preserve"> 1</t>
        </is>
      </c>
      <c r="K604" s="30">
        <f>(E604-F604)/IF(E604&gt;0,E604,1)</f>
        <v/>
      </c>
    </row>
    <row r="605">
      <c r="A605" s="22" t="inlineStr">
        <is>
          <t>현직교사가 만든 가장 쉬운 미리캔버스 수업 활용! MiriCanvas(미리캔버스)로 무엇이든 만들 수 있다</t>
        </is>
      </c>
      <c r="B605" s="22" t="inlineStr">
        <is>
          <t>김동은, 김효민, 박채린, 이희정, 임준열</t>
        </is>
      </c>
      <c r="C605" s="22" t="inlineStr">
        <is>
          <t>광문각출판미디어</t>
        </is>
      </c>
      <c r="D605" s="22" t="inlineStr">
        <is>
          <t>2025년 12월</t>
        </is>
      </c>
      <c r="E605" s="28" t="n">
        <v>21000</v>
      </c>
      <c r="F605" s="28" t="n">
        <v>21000</v>
      </c>
      <c r="G605" s="29" t="n">
        <v>30</v>
      </c>
      <c r="H605" s="29" t="n">
        <v>1122</v>
      </c>
      <c r="I605" s="21" t="inlineStr">
        <is>
          <t>2025</t>
        </is>
      </c>
      <c r="J605" s="21" t="inlineStr">
        <is>
          <t xml:space="preserve"> 1</t>
        </is>
      </c>
      <c r="K605" s="30">
        <f>(E605-F605)/IF(E605&gt;0,E605,1)</f>
        <v/>
      </c>
    </row>
    <row r="606">
      <c r="A606" s="22" t="inlineStr">
        <is>
          <t>따라만 하세요 챗GPT 입문 실무 활용하면서 Chat 공부 사용법과 인공지능 지피티 프롬프트와 엑셀 블로그 유튜브 ppt 배우기 수업 AI 기초 책 학원강의 특강 도서 교재보다 좋은 USB 강좌 교육</t>
        </is>
      </c>
      <c r="B606" s="22" t="inlineStr">
        <is>
          <t>액션미디어 편집부</t>
        </is>
      </c>
      <c r="C606" s="22" t="inlineStr">
        <is>
          <t>액션미디어</t>
        </is>
      </c>
      <c r="D606" s="22" t="inlineStr">
        <is>
          <t>2025년 05월</t>
        </is>
      </c>
      <c r="E606" s="28" t="n">
        <v>39800</v>
      </c>
      <c r="F606" s="28" t="n">
        <v>39800</v>
      </c>
      <c r="G606" s="29" t="n">
        <v>1</v>
      </c>
      <c r="H606" s="29" t="n">
        <v>996</v>
      </c>
      <c r="I606" s="21" t="inlineStr">
        <is>
          <t>2025</t>
        </is>
      </c>
      <c r="J606" s="21" t="inlineStr">
        <is>
          <t xml:space="preserve"> 0</t>
        </is>
      </c>
      <c r="K606" s="30">
        <f>(E606-F606)/IF(E606&gt;0,E606,1)</f>
        <v/>
      </c>
    </row>
    <row r="607">
      <c r="A607" s="22" t="inlineStr">
        <is>
          <t>파이썬으로 시작하는 머신러닝+딥러닝</t>
        </is>
      </c>
      <c r="B607" s="22" t="inlineStr">
        <is>
          <t>강지영</t>
        </is>
      </c>
      <c r="C607" s="22" t="inlineStr">
        <is>
          <t>아이리포</t>
        </is>
      </c>
      <c r="D607" s="22" t="inlineStr">
        <is>
          <t>2025년 11월</t>
        </is>
      </c>
      <c r="E607" s="28" t="n">
        <v>28000</v>
      </c>
      <c r="F607" s="28" t="n">
        <v>25200</v>
      </c>
      <c r="G607" s="29" t="n">
        <v>5</v>
      </c>
      <c r="H607" s="29" t="n">
        <v>936</v>
      </c>
      <c r="I607" s="21" t="inlineStr">
        <is>
          <t>2025</t>
        </is>
      </c>
      <c r="J607" s="21" t="inlineStr">
        <is>
          <t xml:space="preserve"> 1</t>
        </is>
      </c>
      <c r="K607" s="30">
        <f>(E607-F607)/IF(E607&gt;0,E607,1)</f>
        <v/>
      </c>
    </row>
    <row r="608">
      <c r="A608" s="22" t="inlineStr">
        <is>
          <t>오렌지로 쉽게 배우는 머신러닝과 데이터 분석</t>
        </is>
      </c>
      <c r="B608" s="22" t="inlineStr">
        <is>
          <t>장원두, 황순욱, 진예지</t>
        </is>
      </c>
      <c r="C608" s="22" t="inlineStr">
        <is>
          <t>생능출판사</t>
        </is>
      </c>
      <c r="D608" s="22" t="inlineStr">
        <is>
          <t>2024년 02월</t>
        </is>
      </c>
      <c r="E608" s="28" t="n">
        <v>27000</v>
      </c>
      <c r="F608" s="28" t="n">
        <v>27000</v>
      </c>
      <c r="G608" s="29" t="n">
        <v>4</v>
      </c>
      <c r="H608" s="29" t="n">
        <v>1116</v>
      </c>
      <c r="I608" s="21" t="inlineStr">
        <is>
          <t>2024</t>
        </is>
      </c>
      <c r="J608" s="21" t="inlineStr">
        <is>
          <t xml:space="preserve"> 0</t>
        </is>
      </c>
      <c r="K608" s="30">
        <f>(E608-F608)/IF(E608&gt;0,E608,1)</f>
        <v/>
      </c>
    </row>
    <row r="609">
      <c r="A609" s="22" t="inlineStr">
        <is>
          <t>챗GPT 교사 마스터 플랜</t>
        </is>
      </c>
      <c r="B609" s="22" t="inlineStr">
        <is>
          <t>한민철</t>
        </is>
      </c>
      <c r="C609" s="22" t="inlineStr">
        <is>
          <t>책바세</t>
        </is>
      </c>
      <c r="D609" s="22" t="inlineStr">
        <is>
          <t>2023년 10월</t>
        </is>
      </c>
      <c r="E609" s="28" t="n">
        <v>24000</v>
      </c>
      <c r="F609" s="28" t="n">
        <v>21600</v>
      </c>
      <c r="G609" s="29" t="n">
        <v>29</v>
      </c>
      <c r="H609" s="29" t="n">
        <v>882</v>
      </c>
      <c r="I609" s="21" t="inlineStr">
        <is>
          <t>2023</t>
        </is>
      </c>
      <c r="J609" s="21" t="inlineStr">
        <is>
          <t xml:space="preserve"> 1</t>
        </is>
      </c>
      <c r="K609" s="30">
        <f>(E609-F609)/IF(E609&gt;0,E609,1)</f>
        <v/>
      </c>
    </row>
    <row r="610">
      <c r="A610" s="22" t="inlineStr">
        <is>
          <t>파이썬으로 배우는 데이터 과학</t>
        </is>
      </c>
      <c r="B610" s="22" t="inlineStr">
        <is>
          <t>샘 라우, 조셉 곤잘레스, 데보라 놀란, 권정민</t>
        </is>
      </c>
      <c r="C610" s="22" t="inlineStr">
        <is>
          <t>영진닷컴</t>
        </is>
      </c>
      <c r="D610" s="22" t="inlineStr">
        <is>
          <t>2025년 12월</t>
        </is>
      </c>
      <c r="E610" s="28" t="n">
        <v>36000</v>
      </c>
      <c r="F610" s="28" t="n">
        <v>32400</v>
      </c>
      <c r="G610" s="29" t="n">
        <v>5</v>
      </c>
      <c r="H610" s="29" t="n">
        <v>804</v>
      </c>
      <c r="I610" s="21" t="inlineStr">
        <is>
          <t>2025</t>
        </is>
      </c>
      <c r="J610" s="21" t="inlineStr">
        <is>
          <t xml:space="preserve"> 1</t>
        </is>
      </c>
      <c r="K610" s="30">
        <f>(E610-F610)/IF(E610&gt;0,E610,1)</f>
        <v/>
      </c>
    </row>
    <row r="611">
      <c r="A611" s="22" t="inlineStr">
        <is>
          <t>AI+로봇</t>
        </is>
      </c>
      <c r="B611" s="22" t="inlineStr">
        <is>
          <t>김영재</t>
        </is>
      </c>
      <c r="C611" s="22" t="inlineStr">
        <is>
          <t>MID 엠아이디</t>
        </is>
      </c>
      <c r="D611" s="22" t="inlineStr">
        <is>
          <t>2025년 08월</t>
        </is>
      </c>
      <c r="E611" s="28" t="n">
        <v>16000</v>
      </c>
      <c r="F611" s="28" t="n">
        <v>14400</v>
      </c>
      <c r="G611" s="29" t="n">
        <v>14</v>
      </c>
      <c r="H611" s="29" t="n">
        <v>1596</v>
      </c>
      <c r="I611" s="21" t="inlineStr">
        <is>
          <t>2025</t>
        </is>
      </c>
      <c r="J611" s="21" t="inlineStr">
        <is>
          <t xml:space="preserve"> 0</t>
        </is>
      </c>
      <c r="K611" s="30">
        <f>(E611-F611)/IF(E611&gt;0,E611,1)</f>
        <v/>
      </c>
    </row>
    <row r="612">
      <c r="A612" s="22" t="inlineStr">
        <is>
          <t>오늘부터 회사에서 AI 합니다</t>
        </is>
      </c>
      <c r="B612" s="22" t="inlineStr">
        <is>
          <t>이활석, 업스테이지 AI 교육 부문</t>
        </is>
      </c>
      <c r="C612" s="22" t="inlineStr">
        <is>
          <t>디지털북스</t>
        </is>
      </c>
      <c r="D612" s="22" t="inlineStr">
        <is>
          <t>2025년 07월</t>
        </is>
      </c>
      <c r="E612" s="28" t="n">
        <v>22000</v>
      </c>
      <c r="F612" s="28" t="n">
        <v>19800</v>
      </c>
      <c r="G612" s="29" t="n">
        <v>11</v>
      </c>
      <c r="H612" s="29" t="n">
        <v>828</v>
      </c>
      <c r="I612" s="21" t="inlineStr">
        <is>
          <t>2025</t>
        </is>
      </c>
      <c r="J612" s="21" t="inlineStr">
        <is>
          <t xml:space="preserve"> 0</t>
        </is>
      </c>
      <c r="K612" s="30">
        <f>(E612-F612)/IF(E612&gt;0,E612,1)</f>
        <v/>
      </c>
    </row>
    <row r="613">
      <c r="A613" s="22" t="inlineStr">
        <is>
          <t>AI 전략 수업</t>
        </is>
      </c>
      <c r="B613" s="22" t="inlineStr">
        <is>
          <t>김동석</t>
        </is>
      </c>
      <c r="C613" s="22" t="inlineStr">
        <is>
          <t>베가북스</t>
        </is>
      </c>
      <c r="D613" s="22" t="inlineStr">
        <is>
          <t>2025년 06월</t>
        </is>
      </c>
      <c r="E613" s="28" t="n">
        <v>19000</v>
      </c>
      <c r="F613" s="28" t="n">
        <v>17100</v>
      </c>
      <c r="G613" s="29" t="n">
        <v>4</v>
      </c>
      <c r="H613" s="29" t="n">
        <v>792</v>
      </c>
      <c r="I613" s="21" t="inlineStr">
        <is>
          <t>2025</t>
        </is>
      </c>
      <c r="J613" s="21" t="inlineStr">
        <is>
          <t xml:space="preserve"> 0</t>
        </is>
      </c>
      <c r="K613" s="30">
        <f>(E613-F613)/IF(E613&gt;0,E613,1)</f>
        <v/>
      </c>
    </row>
    <row r="614">
      <c r="A614" s="22" t="inlineStr">
        <is>
          <t>만들면서 배우는 생성형 AI 첫걸음</t>
        </is>
      </c>
      <c r="B614" s="22" t="inlineStr">
        <is>
          <t>천인국</t>
        </is>
      </c>
      <c r="C614" s="22" t="inlineStr">
        <is>
          <t>생능출판사</t>
        </is>
      </c>
      <c r="D614" s="22" t="inlineStr">
        <is>
          <t>2024년 12월</t>
        </is>
      </c>
      <c r="E614" s="28" t="n">
        <v>29000</v>
      </c>
      <c r="F614" s="28" t="n">
        <v>29000</v>
      </c>
      <c r="G614" s="29" t="n">
        <v>0</v>
      </c>
      <c r="H614" s="29" t="n">
        <v>702</v>
      </c>
      <c r="I614" s="21" t="inlineStr">
        <is>
          <t>2024</t>
        </is>
      </c>
      <c r="J614" s="21" t="inlineStr">
        <is>
          <t xml:space="preserve"> 1</t>
        </is>
      </c>
      <c r="K614" s="30">
        <f>(E614-F614)/IF(E614&gt;0,E614,1)</f>
        <v/>
      </c>
    </row>
    <row r="615">
      <c r="A615" s="22" t="inlineStr">
        <is>
          <t>맥킨지의 로지컬 라이팅</t>
        </is>
      </c>
      <c r="B615" s="22" t="inlineStr">
        <is>
          <t>아카바 유지, 이지현</t>
        </is>
      </c>
      <c r="C615" s="22" t="inlineStr">
        <is>
          <t>유엑스리뷰</t>
        </is>
      </c>
      <c r="D615" s="22" t="inlineStr">
        <is>
          <t>2025년 04월</t>
        </is>
      </c>
      <c r="E615" s="28" t="n">
        <v>23000</v>
      </c>
      <c r="F615" s="28" t="n">
        <v>20700</v>
      </c>
      <c r="G615" s="29" t="n">
        <v>33</v>
      </c>
      <c r="H615" s="29" t="n">
        <v>678</v>
      </c>
      <c r="I615" s="21" t="inlineStr">
        <is>
          <t>2025</t>
        </is>
      </c>
      <c r="J615" s="21" t="inlineStr">
        <is>
          <t xml:space="preserve"> 0</t>
        </is>
      </c>
      <c r="K615" s="30">
        <f>(E615-F615)/IF(E615&gt;0,E615,1)</f>
        <v/>
      </c>
    </row>
    <row r="616">
      <c r="A616" s="22" t="inlineStr">
        <is>
          <t>데이터 기반 리텐션 전략</t>
        </is>
      </c>
      <c r="B616" s="22" t="inlineStr">
        <is>
          <t>칼 골드, 장훈</t>
        </is>
      </c>
      <c r="C616" s="22" t="inlineStr">
        <is>
          <t>에이콘출판사</t>
        </is>
      </c>
      <c r="D616" s="22" t="inlineStr">
        <is>
          <t>2025년 07월</t>
        </is>
      </c>
      <c r="E616" s="28" t="n">
        <v>42000</v>
      </c>
      <c r="F616" s="28" t="n">
        <v>37800</v>
      </c>
      <c r="G616" s="29" t="n">
        <v>3</v>
      </c>
      <c r="H616" s="29" t="n">
        <v>708</v>
      </c>
      <c r="I616" s="21" t="inlineStr">
        <is>
          <t>2025</t>
        </is>
      </c>
      <c r="J616" s="21" t="inlineStr">
        <is>
          <t xml:space="preserve"> 0</t>
        </is>
      </c>
      <c r="K616" s="30">
        <f>(E616-F616)/IF(E616&gt;0,E616,1)</f>
        <v/>
      </c>
    </row>
    <row r="617">
      <c r="A617" s="22" t="inlineStr">
        <is>
          <t>개념기반 단원 설계를 위한 ChatGPT 활용레시피</t>
        </is>
      </c>
      <c r="B617" s="22" t="inlineStr">
        <is>
          <t>정지영</t>
        </is>
      </c>
      <c r="C617" s="22" t="inlineStr">
        <is>
          <t>내하출판사</t>
        </is>
      </c>
      <c r="D617" s="22" t="inlineStr">
        <is>
          <t>2025년 08월</t>
        </is>
      </c>
      <c r="E617" s="28" t="n">
        <v>20000</v>
      </c>
      <c r="F617" s="28" t="n">
        <v>20000</v>
      </c>
      <c r="G617" s="29" t="n">
        <v>0</v>
      </c>
      <c r="H617" s="29" t="n">
        <v>798</v>
      </c>
      <c r="I617" s="21" t="inlineStr">
        <is>
          <t>2025</t>
        </is>
      </c>
      <c r="J617" s="21" t="inlineStr">
        <is>
          <t xml:space="preserve"> 0</t>
        </is>
      </c>
      <c r="K617" s="30">
        <f>(E617-F617)/IF(E617&gt;0,E617,1)</f>
        <v/>
      </c>
    </row>
    <row r="618">
      <c r="A618" s="22" t="inlineStr">
        <is>
          <t>인공지능, 주식분석 좀 부탁해</t>
        </is>
      </c>
      <c r="B618" s="22" t="inlineStr">
        <is>
          <t>곽경일</t>
        </is>
      </c>
      <c r="C618" s="22" t="inlineStr">
        <is>
          <t>비제이퍼블릭(BJ퍼블릭)</t>
        </is>
      </c>
      <c r="D618" s="22" t="inlineStr">
        <is>
          <t>2025년 07월</t>
        </is>
      </c>
      <c r="E618" s="28" t="n">
        <v>24000</v>
      </c>
      <c r="F618" s="28" t="n">
        <v>21600</v>
      </c>
      <c r="G618" s="29" t="n">
        <v>11</v>
      </c>
      <c r="H618" s="29" t="n">
        <v>684</v>
      </c>
      <c r="I618" s="21" t="inlineStr">
        <is>
          <t>2025</t>
        </is>
      </c>
      <c r="J618" s="21" t="inlineStr">
        <is>
          <t xml:space="preserve"> 0</t>
        </is>
      </c>
      <c r="K618" s="30">
        <f>(E618-F618)/IF(E618&gt;0,E618,1)</f>
        <v/>
      </c>
    </row>
    <row r="619">
      <c r="A619" s="22" t="inlineStr">
        <is>
          <t>캔바하는 교사, 수업 &amp; 업무</t>
        </is>
      </c>
      <c r="B619" s="22" t="inlineStr">
        <is>
          <t>김주현, 김수진, 서인애, 양진영, 윤혜정, 정보 더 보기/감추기, 김주현, 김수진, 서인애, 양진영, 윤혜정, 조창호</t>
        </is>
      </c>
      <c r="C619" s="22" t="inlineStr">
        <is>
          <t>넷마루</t>
        </is>
      </c>
      <c r="D619" s="22" t="inlineStr">
        <is>
          <t>2025년 08월</t>
        </is>
      </c>
      <c r="E619" s="28" t="n">
        <v>33000</v>
      </c>
      <c r="F619" s="28" t="n">
        <v>29700</v>
      </c>
      <c r="G619" s="29" t="n">
        <v>1</v>
      </c>
      <c r="H619" s="29" t="n">
        <v>1068</v>
      </c>
      <c r="I619" s="21" t="inlineStr">
        <is>
          <t>2025</t>
        </is>
      </c>
      <c r="J619" s="21" t="inlineStr">
        <is>
          <t xml:space="preserve"> 0</t>
        </is>
      </c>
      <c r="K619" s="30">
        <f>(E619-F619)/IF(E619&gt;0,E619,1)</f>
        <v/>
      </c>
    </row>
    <row r="620">
      <c r="A620" s="22" t="inlineStr">
        <is>
          <t>제가 만든 GPT는 당신이 만든 GPT와 전혀 다릅니다</t>
        </is>
      </c>
      <c r="B620" s="22" t="inlineStr">
        <is>
          <t>유호석</t>
        </is>
      </c>
      <c r="C620" s="22" t="inlineStr">
        <is>
          <t>리코멘드</t>
        </is>
      </c>
      <c r="D620" s="22" t="inlineStr">
        <is>
          <t>2024년 06월</t>
        </is>
      </c>
      <c r="E620" s="28" t="n">
        <v>22000</v>
      </c>
      <c r="F620" s="28" t="n">
        <v>19800</v>
      </c>
      <c r="G620" s="29" t="n">
        <v>18</v>
      </c>
      <c r="H620" s="29" t="n">
        <v>660</v>
      </c>
      <c r="I620" s="21" t="inlineStr">
        <is>
          <t>2024</t>
        </is>
      </c>
      <c r="J620" s="21" t="inlineStr">
        <is>
          <t xml:space="preserve"> 0</t>
        </is>
      </c>
      <c r="K620" s="30">
        <f>(E620-F620)/IF(E620&gt;0,E620,1)</f>
        <v/>
      </c>
    </row>
    <row r="621">
      <c r="A621" s="22" t="inlineStr">
        <is>
          <t>명품 라즈베리파이</t>
        </is>
      </c>
      <c r="B621" s="22" t="inlineStr">
        <is>
          <t>황기태, 정인환, 이재문</t>
        </is>
      </c>
      <c r="C621" s="22" t="inlineStr">
        <is>
          <t>생능출판사</t>
        </is>
      </c>
      <c r="D621" s="22" t="inlineStr">
        <is>
          <t>2024년 08월</t>
        </is>
      </c>
      <c r="E621" s="28" t="n">
        <v>32000</v>
      </c>
      <c r="F621" s="28" t="n">
        <v>32000</v>
      </c>
      <c r="G621" s="29" t="n">
        <v>4</v>
      </c>
      <c r="H621" s="29" t="n">
        <v>660</v>
      </c>
      <c r="I621" s="21" t="inlineStr">
        <is>
          <t>2024</t>
        </is>
      </c>
      <c r="J621" s="21" t="inlineStr">
        <is>
          <t xml:space="preserve"> 0</t>
        </is>
      </c>
      <c r="K621" s="30">
        <f>(E621-F621)/IF(E621&gt;0,E621,1)</f>
        <v/>
      </c>
    </row>
    <row r="622">
      <c r="A622" s="22" t="inlineStr">
        <is>
          <t>확률론적 머신러닝 : 기본편</t>
        </is>
      </c>
      <c r="B622" s="22" t="inlineStr">
        <is>
          <t>케빈 머피, 이판호</t>
        </is>
      </c>
      <c r="C622" s="22" t="inlineStr">
        <is>
          <t>에이콘출판사</t>
        </is>
      </c>
      <c r="D622" s="22" t="inlineStr">
        <is>
          <t>2024년 05월</t>
        </is>
      </c>
      <c r="E622" s="28" t="n">
        <v>80000</v>
      </c>
      <c r="F622" s="28" t="n">
        <v>72000</v>
      </c>
      <c r="G622" s="29" t="n">
        <v>2</v>
      </c>
      <c r="H622" s="29" t="n">
        <v>684</v>
      </c>
      <c r="I622" s="21" t="inlineStr">
        <is>
          <t>2024</t>
        </is>
      </c>
      <c r="J622" s="21" t="inlineStr">
        <is>
          <t xml:space="preserve"> 0</t>
        </is>
      </c>
      <c r="K622" s="30">
        <f>(E622-F622)/IF(E622&gt;0,E622,1)</f>
        <v/>
      </c>
    </row>
    <row r="623">
      <c r="A623" s="22" t="inlineStr">
        <is>
          <t>챗GPT + 엑셀 업무자동화 정석</t>
        </is>
      </c>
      <c r="B623" s="22" t="inlineStr">
        <is>
          <t>권현욱</t>
        </is>
      </c>
      <c r="C623" s="22" t="inlineStr">
        <is>
          <t>디지털북스</t>
        </is>
      </c>
      <c r="D623" s="22" t="inlineStr">
        <is>
          <t>2023년 04월</t>
        </is>
      </c>
      <c r="E623" s="28" t="n">
        <v>15000</v>
      </c>
      <c r="F623" s="28" t="n">
        <v>13500</v>
      </c>
      <c r="G623" s="29" t="n">
        <v>14</v>
      </c>
      <c r="H623" s="29" t="n">
        <v>750</v>
      </c>
      <c r="I623" s="21" t="inlineStr">
        <is>
          <t>2023</t>
        </is>
      </c>
      <c r="J623" s="21" t="inlineStr">
        <is>
          <t xml:space="preserve"> 0</t>
        </is>
      </c>
      <c r="K623" s="30">
        <f>(E623-F623)/IF(E623&gt;0,E623,1)</f>
        <v/>
      </c>
    </row>
    <row r="624">
      <c r="A624" s="22" t="inlineStr">
        <is>
          <t>파이썬으로 만드는 인공지능</t>
        </is>
      </c>
      <c r="B624" s="22" t="inlineStr">
        <is>
          <t>오일석, 이진선</t>
        </is>
      </c>
      <c r="C624" s="22" t="inlineStr">
        <is>
          <t>한빛아카데미</t>
        </is>
      </c>
      <c r="D624" s="22" t="inlineStr">
        <is>
          <t>2021년 01월</t>
        </is>
      </c>
      <c r="E624" s="28" t="n">
        <v>31000</v>
      </c>
      <c r="F624" s="28" t="n">
        <v>31000</v>
      </c>
      <c r="G624" s="29" t="n">
        <v>1</v>
      </c>
      <c r="H624" s="29" t="n">
        <v>612</v>
      </c>
      <c r="I624" s="21" t="inlineStr">
        <is>
          <t>2021</t>
        </is>
      </c>
      <c r="J624" s="21" t="inlineStr">
        <is>
          <t xml:space="preserve"> 0</t>
        </is>
      </c>
      <c r="K624" s="30">
        <f>(E624-F624)/IF(E624&gt;0,E624,1)</f>
        <v/>
      </c>
    </row>
    <row r="625">
      <c r="A625" s="22" t="inlineStr">
        <is>
          <t>AI 개발자가 되고 싶으세요?</t>
        </is>
      </c>
      <c r="B625" s="22" t="inlineStr">
        <is>
          <t>배휘동, 홍석용, 오현우, 정금호, 최남규, 정보 더 보기/감추기, 배휘동, 홍석용, 오현우, 정금호, 최남규, 김성완</t>
        </is>
      </c>
      <c r="C625" s="22" t="inlineStr">
        <is>
          <t>로드북</t>
        </is>
      </c>
      <c r="D625" s="22" t="inlineStr">
        <is>
          <t>2025년 11월</t>
        </is>
      </c>
      <c r="E625" s="28" t="n">
        <v>25000</v>
      </c>
      <c r="F625" s="28" t="n">
        <v>22500</v>
      </c>
      <c r="G625" s="29" t="n">
        <v>5</v>
      </c>
      <c r="H625" s="29" t="n">
        <v>570</v>
      </c>
      <c r="I625" s="21" t="inlineStr">
        <is>
          <t>2025</t>
        </is>
      </c>
      <c r="J625" s="21" t="inlineStr">
        <is>
          <t xml:space="preserve"> 1</t>
        </is>
      </c>
      <c r="K625" s="30">
        <f>(E625-F625)/IF(E625&gt;0,E625,1)</f>
        <v/>
      </c>
    </row>
    <row r="626">
      <c r="A626" s="22" t="inlineStr">
        <is>
          <t>개발자답게 코드로 익히는 강화학습</t>
        </is>
      </c>
      <c r="B626" s="22" t="inlineStr">
        <is>
          <t>멀티코어, 조준희, 강장묵, 이상한, 윤철희</t>
        </is>
      </c>
      <c r="C626" s="22" t="inlineStr">
        <is>
          <t>프리렉</t>
        </is>
      </c>
      <c r="D626" s="22" t="inlineStr">
        <is>
          <t>2025년 08월</t>
        </is>
      </c>
      <c r="E626" s="28" t="n">
        <v>32000</v>
      </c>
      <c r="F626" s="28" t="n">
        <v>28800</v>
      </c>
      <c r="G626" s="29" t="n">
        <v>3</v>
      </c>
      <c r="H626" s="29" t="n">
        <v>552</v>
      </c>
      <c r="I626" s="21" t="inlineStr">
        <is>
          <t>2025</t>
        </is>
      </c>
      <c r="J626" s="21" t="inlineStr">
        <is>
          <t xml:space="preserve"> 0</t>
        </is>
      </c>
      <c r="K626" s="30">
        <f>(E626-F626)/IF(E626&gt;0,E626,1)</f>
        <v/>
      </c>
    </row>
    <row r="627">
      <c r="A627" s="22" t="inlineStr">
        <is>
          <t>PHYSICAL AI: 인공지능에 몸을 더하다</t>
        </is>
      </c>
      <c r="B627" s="22" t="inlineStr">
        <is>
          <t>손병희</t>
        </is>
      </c>
      <c r="C627" s="22" t="inlineStr">
        <is>
          <t>지오북스</t>
        </is>
      </c>
      <c r="D627" s="22" t="inlineStr">
        <is>
          <t>2025년 06월</t>
        </is>
      </c>
      <c r="E627" s="28" t="n">
        <v>24000</v>
      </c>
      <c r="F627" s="28" t="n">
        <v>24000</v>
      </c>
      <c r="G627" s="29" t="n">
        <v>1</v>
      </c>
      <c r="H627" s="29" t="n">
        <v>594</v>
      </c>
      <c r="I627" s="21" t="inlineStr">
        <is>
          <t>2025</t>
        </is>
      </c>
      <c r="J627" s="21" t="inlineStr">
        <is>
          <t xml:space="preserve"> 0</t>
        </is>
      </c>
      <c r="K627" s="30">
        <f>(E627-F627)/IF(E627&gt;0,E627,1)</f>
        <v/>
      </c>
    </row>
    <row r="628">
      <c r="A628" s="22" t="inlineStr">
        <is>
          <t>생성 AI를 활용한 나만의 콘텐츠 만들기</t>
        </is>
      </c>
      <c r="B628" s="22" t="inlineStr">
        <is>
          <t>김민후</t>
        </is>
      </c>
      <c r="C628" s="22" t="inlineStr">
        <is>
          <t>영진닷컴</t>
        </is>
      </c>
      <c r="D628" s="22" t="inlineStr">
        <is>
          <t>2025년 04월</t>
        </is>
      </c>
      <c r="E628" s="28" t="n">
        <v>25000</v>
      </c>
      <c r="F628" s="28" t="n">
        <v>22500</v>
      </c>
      <c r="G628" s="29" t="n">
        <v>5</v>
      </c>
      <c r="H628" s="29" t="n">
        <v>828</v>
      </c>
      <c r="I628" s="21" t="inlineStr">
        <is>
          <t>2025</t>
        </is>
      </c>
      <c r="J628" s="21" t="inlineStr">
        <is>
          <t xml:space="preserve"> 0</t>
        </is>
      </c>
      <c r="K628" s="30">
        <f>(E628-F628)/IF(E628&gt;0,E628,1)</f>
        <v/>
      </c>
    </row>
    <row r="629">
      <c r="A629" s="22" t="inlineStr">
        <is>
          <t>스퀘어 에닉스의 게임 AI</t>
        </is>
      </c>
      <c r="B629" s="22" t="inlineStr">
        <is>
          <t>스퀘어 에닉스, 송지연</t>
        </is>
      </c>
      <c r="C629" s="22" t="inlineStr">
        <is>
          <t>AK(에이케이 커뮤니케이션즈)</t>
        </is>
      </c>
      <c r="D629" s="22" t="inlineStr">
        <is>
          <t>2025년 07월</t>
        </is>
      </c>
      <c r="E629" s="28" t="n">
        <v>49000</v>
      </c>
      <c r="F629" s="28" t="n">
        <v>46550</v>
      </c>
      <c r="G629" s="29" t="n">
        <v>0</v>
      </c>
      <c r="H629" s="29" t="n">
        <v>606</v>
      </c>
      <c r="I629" s="21" t="inlineStr">
        <is>
          <t>2025</t>
        </is>
      </c>
      <c r="J629" s="21" t="inlineStr">
        <is>
          <t xml:space="preserve"> 0</t>
        </is>
      </c>
      <c r="K629" s="30">
        <f>(E629-F629)/IF(E629&gt;0,E629,1)</f>
        <v/>
      </c>
    </row>
    <row r="630">
      <c r="A630" s="22" t="inlineStr">
        <is>
          <t>컴퓨팅 사고 Level Up 소프트 파워 with 스크래치</t>
        </is>
      </c>
      <c r="B630" s="22" t="inlineStr">
        <is>
          <t>김호다, 이지민, 최동민, 탁동길</t>
        </is>
      </c>
      <c r="C630" s="22" t="inlineStr">
        <is>
          <t>연두에디션</t>
        </is>
      </c>
      <c r="D630" s="22" t="inlineStr">
        <is>
          <t>2020년 02월</t>
        </is>
      </c>
      <c r="E630" s="28" t="n">
        <v>23000</v>
      </c>
      <c r="F630" s="28" t="n">
        <v>23000</v>
      </c>
      <c r="G630" s="29" t="n">
        <v>1</v>
      </c>
      <c r="H630" s="29" t="n">
        <v>552</v>
      </c>
      <c r="I630" s="21" t="inlineStr">
        <is>
          <t>2020</t>
        </is>
      </c>
      <c r="J630" s="21" t="inlineStr">
        <is>
          <t xml:space="preserve"> 0</t>
        </is>
      </c>
      <c r="K630" s="30">
        <f>(E630-F630)/IF(E630&gt;0,E630,1)</f>
        <v/>
      </c>
    </row>
    <row r="631">
      <c r="A631" s="22" t="inlineStr">
        <is>
          <t>PyTorch로 배우는 딥러닝과 생성형 AI</t>
        </is>
      </c>
      <c r="B631" s="22" t="inlineStr">
        <is>
          <t>박유성</t>
        </is>
      </c>
      <c r="C631" s="22" t="inlineStr">
        <is>
          <t>자유아카데미</t>
        </is>
      </c>
      <c r="D631" s="22" t="inlineStr">
        <is>
          <t>2025년 11월</t>
        </is>
      </c>
      <c r="E631" s="28" t="n">
        <v>43000</v>
      </c>
      <c r="F631" s="28" t="n">
        <v>43000</v>
      </c>
      <c r="G631" s="29" t="n">
        <v>2</v>
      </c>
      <c r="H631" s="29" t="n">
        <v>498</v>
      </c>
      <c r="I631" s="21" t="inlineStr">
        <is>
          <t>2025</t>
        </is>
      </c>
      <c r="J631" s="21" t="inlineStr">
        <is>
          <t xml:space="preserve"> 1</t>
        </is>
      </c>
      <c r="K631" s="30">
        <f>(E631-F631)/IF(E631&gt;0,E631,1)</f>
        <v/>
      </c>
    </row>
    <row r="632">
      <c r="A632" s="22" t="inlineStr">
        <is>
          <t>Do it! 챗GPT&amp;파이썬으로 AI 직원 만들기</t>
        </is>
      </c>
      <c r="B632" s="22" t="inlineStr">
        <is>
          <t>이성용</t>
        </is>
      </c>
      <c r="C632" s="22" t="inlineStr">
        <is>
          <t>이지스퍼블리싱</t>
        </is>
      </c>
      <c r="D632" s="22" t="inlineStr">
        <is>
          <t>2023년 11월</t>
        </is>
      </c>
      <c r="E632" s="28" t="n">
        <v>25000</v>
      </c>
      <c r="F632" s="28" t="n">
        <v>22500</v>
      </c>
      <c r="G632" s="29" t="n">
        <v>13</v>
      </c>
      <c r="H632" s="29" t="n">
        <v>504</v>
      </c>
      <c r="I632" s="21" t="inlineStr">
        <is>
          <t>2023</t>
        </is>
      </c>
      <c r="J632" s="21" t="inlineStr">
        <is>
          <t xml:space="preserve"> 1</t>
        </is>
      </c>
      <c r="K632" s="30">
        <f>(E632-F632)/IF(E632&gt;0,E632,1)</f>
        <v/>
      </c>
    </row>
    <row r="633">
      <c r="A633" s="22" t="inlineStr">
        <is>
          <t>적게 일하고 많이 버는 AI 워커스</t>
        </is>
      </c>
      <c r="B633" s="22" t="inlineStr">
        <is>
          <t>김덕진, 김아람</t>
        </is>
      </c>
      <c r="C633" s="22" t="inlineStr">
        <is>
          <t>21세기북스</t>
        </is>
      </c>
      <c r="D633" s="22" t="inlineStr">
        <is>
          <t>2024년 08월</t>
        </is>
      </c>
      <c r="E633" s="28" t="n">
        <v>22000</v>
      </c>
      <c r="F633" s="28" t="n">
        <v>19800</v>
      </c>
      <c r="G633" s="29" t="n">
        <v>31</v>
      </c>
      <c r="H633" s="29" t="n">
        <v>516</v>
      </c>
      <c r="I633" s="21" t="inlineStr">
        <is>
          <t>2024</t>
        </is>
      </c>
      <c r="J633" s="21" t="inlineStr">
        <is>
          <t xml:space="preserve"> 0</t>
        </is>
      </c>
      <c r="K633" s="30">
        <f>(E633-F633)/IF(E633&gt;0,E633,1)</f>
        <v/>
      </c>
    </row>
    <row r="634">
      <c r="A634" s="22" t="inlineStr">
        <is>
          <t>데이터 과학을 위한 파이썬 머신러닝</t>
        </is>
      </c>
      <c r="B634" s="22" t="inlineStr">
        <is>
          <t>최성철</t>
        </is>
      </c>
      <c r="C634" s="22" t="inlineStr">
        <is>
          <t>한빛아카데미</t>
        </is>
      </c>
      <c r="D634" s="22" t="inlineStr">
        <is>
          <t>2022년 01월</t>
        </is>
      </c>
      <c r="E634" s="28" t="n">
        <v>30000</v>
      </c>
      <c r="F634" s="28" t="n">
        <v>30000</v>
      </c>
      <c r="G634" s="29" t="n">
        <v>4</v>
      </c>
      <c r="H634" s="29" t="n">
        <v>516</v>
      </c>
      <c r="I634" s="21" t="inlineStr">
        <is>
          <t>2022</t>
        </is>
      </c>
      <c r="J634" s="21" t="inlineStr">
        <is>
          <t xml:space="preserve"> 0</t>
        </is>
      </c>
      <c r="K634" s="30">
        <f>(E634-F634)/IF(E634&gt;0,E634,1)</f>
        <v/>
      </c>
    </row>
    <row r="635">
      <c r="A635" s="22" t="inlineStr">
        <is>
          <t>왕초보 챗GPT로 책쓰기 도전</t>
        </is>
      </c>
      <c r="B635" s="22" t="inlineStr">
        <is>
          <t>가재산, 장동익, 김영희</t>
        </is>
      </c>
      <c r="C635" s="22" t="inlineStr">
        <is>
          <t>글로벌콘텐츠</t>
        </is>
      </c>
      <c r="D635" s="22" t="inlineStr">
        <is>
          <t>2025년 09월</t>
        </is>
      </c>
      <c r="E635" s="28" t="n">
        <v>19800</v>
      </c>
      <c r="F635" s="28" t="n">
        <v>17820</v>
      </c>
      <c r="G635" s="29" t="n">
        <v>37</v>
      </c>
      <c r="H635" s="29" t="n">
        <v>474</v>
      </c>
      <c r="I635" s="21" t="inlineStr">
        <is>
          <t>2025</t>
        </is>
      </c>
      <c r="J635" s="21" t="inlineStr">
        <is>
          <t xml:space="preserve"> 0</t>
        </is>
      </c>
      <c r="K635" s="30">
        <f>(E635-F635)/IF(E635&gt;0,E635,1)</f>
        <v/>
      </c>
    </row>
    <row r="636">
      <c r="A636" s="22" t="inlineStr">
        <is>
          <t>한 권으로 끝내는 직장인 필수 IT 지식</t>
        </is>
      </c>
      <c r="B636" s="22" t="inlineStr">
        <is>
          <t>정명림, 김효섭, 박준영, 이수현, 박지은, 정보 더 보기/감추기, 정명림, 김효섭, 박준영, 이수현, 박지은, 이지성</t>
        </is>
      </c>
      <c r="C636" s="22" t="inlineStr">
        <is>
          <t>비제이퍼블릭(BJ퍼블릭)</t>
        </is>
      </c>
      <c r="D636" s="22" t="inlineStr">
        <is>
          <t>2025년 05월</t>
        </is>
      </c>
      <c r="E636" s="28" t="n">
        <v>27500</v>
      </c>
      <c r="F636" s="28" t="n">
        <v>24750</v>
      </c>
      <c r="G636" s="29" t="n">
        <v>16</v>
      </c>
      <c r="H636" s="29" t="n">
        <v>456</v>
      </c>
      <c r="I636" s="21" t="inlineStr">
        <is>
          <t>2025</t>
        </is>
      </c>
      <c r="J636" s="21" t="inlineStr">
        <is>
          <t xml:space="preserve"> 0</t>
        </is>
      </c>
      <c r="K636" s="30">
        <f>(E636-F636)/IF(E636&gt;0,E636,1)</f>
        <v/>
      </c>
    </row>
    <row r="637">
      <c r="A637" s="22" t="inlineStr">
        <is>
          <t>구글 애널리틱스 4를 활용한 디지털 마케팅 with 챗GPT</t>
        </is>
      </c>
      <c r="B637" s="22" t="inlineStr">
        <is>
          <t>이태열</t>
        </is>
      </c>
      <c r="C637" s="22" t="inlineStr">
        <is>
          <t>디지털북스</t>
        </is>
      </c>
      <c r="D637" s="22" t="inlineStr">
        <is>
          <t>2024년 07월</t>
        </is>
      </c>
      <c r="E637" s="28" t="n">
        <v>25000</v>
      </c>
      <c r="F637" s="28" t="n">
        <v>22500</v>
      </c>
      <c r="G637" s="29" t="n">
        <v>7</v>
      </c>
      <c r="H637" s="29" t="n">
        <v>414</v>
      </c>
      <c r="I637" s="21" t="inlineStr">
        <is>
          <t>2024</t>
        </is>
      </c>
      <c r="J637" s="21" t="inlineStr">
        <is>
          <t xml:space="preserve"> 0</t>
        </is>
      </c>
      <c r="K637" s="30">
        <f>(E637-F637)/IF(E637&gt;0,E637,1)</f>
        <v/>
      </c>
    </row>
    <row r="638">
      <c r="A638" s="22" t="inlineStr">
        <is>
          <t>누구나 쉽게 할 수 있는 빅데이터에서 인공지능까지</t>
        </is>
      </c>
      <c r="B638" s="22" t="inlineStr">
        <is>
          <t>정화영</t>
        </is>
      </c>
      <c r="C638" s="22" t="inlineStr">
        <is>
          <t>자유아카데미</t>
        </is>
      </c>
      <c r="D638" s="22" t="inlineStr">
        <is>
          <t>2026년 03월</t>
        </is>
      </c>
      <c r="E638" s="28" t="n">
        <v>39000</v>
      </c>
      <c r="F638" s="28" t="n">
        <v>37830</v>
      </c>
      <c r="G638" s="29" t="n">
        <v>0</v>
      </c>
      <c r="H638" s="29" t="n">
        <v>408</v>
      </c>
      <c r="I638" s="21" t="inlineStr">
        <is>
          <t>2026</t>
        </is>
      </c>
      <c r="J638" s="21" t="inlineStr">
        <is>
          <t xml:space="preserve"> 0</t>
        </is>
      </c>
      <c r="K638" s="30">
        <f>(E638-F638)/IF(E638&gt;0,E638,1)</f>
        <v/>
      </c>
    </row>
    <row r="639">
      <c r="A639" s="22" t="inlineStr">
        <is>
          <t>퀀트 UX 리서치</t>
        </is>
      </c>
      <c r="B639" s="22" t="inlineStr">
        <is>
          <t>크리스 채프먼, 케리 로든, 이선민, 김현진</t>
        </is>
      </c>
      <c r="C639" s="22" t="inlineStr">
        <is>
          <t>에이콘출판사</t>
        </is>
      </c>
      <c r="D639" s="22" t="inlineStr">
        <is>
          <t>2025년 09월</t>
        </is>
      </c>
      <c r="E639" s="28" t="n">
        <v>34000</v>
      </c>
      <c r="F639" s="28" t="n">
        <v>30600</v>
      </c>
      <c r="G639" s="29" t="n">
        <v>2</v>
      </c>
      <c r="H639" s="29" t="n">
        <v>408</v>
      </c>
      <c r="I639" s="21" t="inlineStr">
        <is>
          <t>2025</t>
        </is>
      </c>
      <c r="J639" s="21" t="inlineStr">
        <is>
          <t xml:space="preserve"> 0</t>
        </is>
      </c>
      <c r="K639" s="30">
        <f>(E639-F639)/IF(E639&gt;0,E639,1)</f>
        <v/>
      </c>
    </row>
    <row r="640">
      <c r="A640" s="22" t="inlineStr">
        <is>
          <t>미드저니 프롬프트 마스터 가이드</t>
        </is>
      </c>
      <c r="B640" s="22" t="inlineStr">
        <is>
          <t>조남경</t>
        </is>
      </c>
      <c r="C640" s="22" t="inlineStr">
        <is>
          <t>비엘북스</t>
        </is>
      </c>
      <c r="D640" s="22" t="inlineStr">
        <is>
          <t>2024년 01월</t>
        </is>
      </c>
      <c r="E640" s="28" t="n">
        <v>29000</v>
      </c>
      <c r="F640" s="28" t="n">
        <v>26100</v>
      </c>
      <c r="G640" s="29" t="n">
        <v>19</v>
      </c>
      <c r="H640" s="29" t="n">
        <v>420</v>
      </c>
      <c r="I640" s="21" t="inlineStr">
        <is>
          <t>2024</t>
        </is>
      </c>
      <c r="J640" s="21" t="inlineStr">
        <is>
          <t xml:space="preserve"> 0</t>
        </is>
      </c>
      <c r="K640" s="30">
        <f>(E640-F640)/IF(E640&gt;0,E640,1)</f>
        <v/>
      </c>
    </row>
    <row r="641">
      <c r="A641" s="22" t="inlineStr">
        <is>
          <t>나는 GPT를 이렇게 키웠다</t>
        </is>
      </c>
      <c r="B641" s="22" t="inlineStr">
        <is>
          <t>김기진</t>
        </is>
      </c>
      <c r="C641" s="22" t="inlineStr">
        <is>
          <t>에릭스토리</t>
        </is>
      </c>
      <c r="D641" s="22" t="inlineStr">
        <is>
          <t>2025년 08월</t>
        </is>
      </c>
      <c r="E641" s="28" t="n">
        <v>17000</v>
      </c>
      <c r="F641" s="28" t="n">
        <v>15300</v>
      </c>
      <c r="G641" s="29" t="n">
        <v>5</v>
      </c>
      <c r="H641" s="29" t="n">
        <v>396</v>
      </c>
      <c r="I641" s="21" t="inlineStr">
        <is>
          <t>2025</t>
        </is>
      </c>
      <c r="J641" s="21" t="inlineStr">
        <is>
          <t xml:space="preserve"> 0</t>
        </is>
      </c>
      <c r="K641" s="30">
        <f>(E641-F641)/IF(E641&gt;0,E641,1)</f>
        <v/>
      </c>
    </row>
    <row r="642">
      <c r="A642" s="22" t="inlineStr">
        <is>
          <t>AIX: 인공지능 대전환의 시대</t>
        </is>
      </c>
      <c r="B642" s="22" t="inlineStr">
        <is>
          <t>현대원</t>
        </is>
      </c>
      <c r="C642" s="22" t="inlineStr">
        <is>
          <t>메타엑스미디어</t>
        </is>
      </c>
      <c r="D642" s="22" t="inlineStr">
        <is>
          <t>2025년 05월</t>
        </is>
      </c>
      <c r="E642" s="28" t="n">
        <v>20000</v>
      </c>
      <c r="F642" s="28" t="n">
        <v>18000</v>
      </c>
      <c r="G642" s="29" t="n">
        <v>0</v>
      </c>
      <c r="H642" s="29" t="n">
        <v>390</v>
      </c>
      <c r="I642" s="21" t="inlineStr">
        <is>
          <t>2025</t>
        </is>
      </c>
      <c r="J642" s="21" t="inlineStr">
        <is>
          <t xml:space="preserve"> 0</t>
        </is>
      </c>
      <c r="K642" s="30">
        <f>(E642-F642)/IF(E642&gt;0,E642,1)</f>
        <v/>
      </c>
    </row>
    <row r="643">
      <c r="A643" s="22" t="inlineStr">
        <is>
          <t>세상에서 가장 쉬운 AI 앱 수업</t>
        </is>
      </c>
      <c r="B643" s="22" t="inlineStr">
        <is>
          <t>공민수, 신창훈</t>
        </is>
      </c>
      <c r="C643" s="22" t="inlineStr">
        <is>
          <t>리틀에이(LittleA)</t>
        </is>
      </c>
      <c r="D643" s="22" t="inlineStr">
        <is>
          <t>2021년 09월</t>
        </is>
      </c>
      <c r="E643" s="28" t="n">
        <v>17500</v>
      </c>
      <c r="F643" s="28" t="n">
        <v>15750</v>
      </c>
      <c r="G643" s="29" t="n">
        <v>14</v>
      </c>
      <c r="H643" s="29" t="n">
        <v>558</v>
      </c>
      <c r="I643" s="21" t="inlineStr">
        <is>
          <t>2021</t>
        </is>
      </c>
      <c r="J643" s="21" t="inlineStr">
        <is>
          <t xml:space="preserve"> 0</t>
        </is>
      </c>
      <c r="K643" s="30">
        <f>(E643-F643)/IF(E643&gt;0,E643,1)</f>
        <v/>
      </c>
    </row>
    <row r="644">
      <c r="A644" s="22" t="inlineStr">
        <is>
          <t>바이브 코딩으로 배우는 풀스택 만들기</t>
        </is>
      </c>
      <c r="B644" s="22" t="inlineStr">
        <is>
          <t>이희찬</t>
        </is>
      </c>
      <c r="C644" s="22" t="inlineStr">
        <is>
          <t>길벗캠퍼스</t>
        </is>
      </c>
      <c r="D644" s="22" t="inlineStr">
        <is>
          <t>2025년 12월</t>
        </is>
      </c>
      <c r="E644" s="28" t="n">
        <v>26000</v>
      </c>
      <c r="F644" s="28" t="n">
        <v>26000</v>
      </c>
      <c r="G644" s="29" t="n">
        <v>4</v>
      </c>
      <c r="H644" s="29" t="n">
        <v>336</v>
      </c>
      <c r="I644" s="21" t="inlineStr">
        <is>
          <t>2025</t>
        </is>
      </c>
      <c r="J644" s="21" t="inlineStr">
        <is>
          <t xml:space="preserve"> 1</t>
        </is>
      </c>
      <c r="K644" s="30">
        <f>(E644-F644)/IF(E644&gt;0,E644,1)</f>
        <v/>
      </c>
    </row>
    <row r="645">
      <c r="A645" s="22" t="inlineStr">
        <is>
          <t>AI 시대 나는 어떻게 살아남을 것인가</t>
        </is>
      </c>
      <c r="B645" s="22" t="inlineStr">
        <is>
          <t>안영재</t>
        </is>
      </c>
      <c r="C645" s="22" t="inlineStr">
        <is>
          <t>가나북스</t>
        </is>
      </c>
      <c r="D645" s="22" t="inlineStr">
        <is>
          <t>2025년 12월</t>
        </is>
      </c>
      <c r="E645" s="28" t="n">
        <v>20000</v>
      </c>
      <c r="F645" s="28" t="n">
        <v>18000</v>
      </c>
      <c r="G645" s="29" t="n">
        <v>16</v>
      </c>
      <c r="H645" s="29" t="n">
        <v>348</v>
      </c>
      <c r="I645" s="21" t="inlineStr">
        <is>
          <t>2025</t>
        </is>
      </c>
      <c r="J645" s="21" t="inlineStr">
        <is>
          <t xml:space="preserve"> 1</t>
        </is>
      </c>
      <c r="K645" s="30">
        <f>(E645-F645)/IF(E645&gt;0,E645,1)</f>
        <v/>
      </c>
    </row>
    <row r="646">
      <c r="A646" s="22" t="inlineStr">
        <is>
          <t>AI를 활용한 코칭스킬 업그레이드</t>
        </is>
      </c>
      <c r="B646" s="22" t="inlineStr">
        <is>
          <t>최환진, 이형준, 전해수</t>
        </is>
      </c>
      <c r="C646" s="22" t="inlineStr">
        <is>
          <t>학지사</t>
        </is>
      </c>
      <c r="D646" s="22" t="inlineStr">
        <is>
          <t>2025년 07월</t>
        </is>
      </c>
      <c r="E646" s="28" t="n">
        <v>18000</v>
      </c>
      <c r="F646" s="28" t="n">
        <v>17460</v>
      </c>
      <c r="G646" s="29" t="n">
        <v>0</v>
      </c>
      <c r="H646" s="29" t="n">
        <v>378</v>
      </c>
      <c r="I646" s="21" t="inlineStr">
        <is>
          <t>2025</t>
        </is>
      </c>
      <c r="J646" s="21" t="inlineStr">
        <is>
          <t xml:space="preserve"> 0</t>
        </is>
      </c>
      <c r="K646" s="30">
        <f>(E646-F646)/IF(E646&gt;0,E646,1)</f>
        <v/>
      </c>
    </row>
    <row r="647">
      <c r="A647" s="22" t="inlineStr">
        <is>
          <t>인공지능 시대의 IT기술의 이해</t>
        </is>
      </c>
      <c r="B647" s="22" t="inlineStr">
        <is>
          <t>임순범, 이상환</t>
        </is>
      </c>
      <c r="C647" s="22" t="inlineStr">
        <is>
          <t>생능출판사</t>
        </is>
      </c>
      <c r="D647" s="22" t="inlineStr">
        <is>
          <t>2024년 01월</t>
        </is>
      </c>
      <c r="E647" s="28" t="n">
        <v>30000</v>
      </c>
      <c r="F647" s="28" t="n">
        <v>30000</v>
      </c>
      <c r="G647" s="29" t="n">
        <v>3</v>
      </c>
      <c r="H647" s="29" t="n">
        <v>348</v>
      </c>
      <c r="I647" s="21" t="inlineStr">
        <is>
          <t>2024</t>
        </is>
      </c>
      <c r="J647" s="21" t="inlineStr">
        <is>
          <t xml:space="preserve"> 0</t>
        </is>
      </c>
      <c r="K647" s="30">
        <f>(E647-F647)/IF(E647&gt;0,E647,1)</f>
        <v/>
      </c>
    </row>
    <row r="648">
      <c r="A648" s="22" t="inlineStr">
        <is>
          <t>13가지 기술 트렌드로 배우는 4차 산업혁명과 미래사회</t>
        </is>
      </c>
      <c r="B648" s="22" t="inlineStr">
        <is>
          <t>안병태, 정화영</t>
        </is>
      </c>
      <c r="C648" s="22" t="inlineStr">
        <is>
          <t>길벗캠퍼스</t>
        </is>
      </c>
      <c r="D648" s="22" t="inlineStr">
        <is>
          <t>2023년 07월</t>
        </is>
      </c>
      <c r="E648" s="28" t="n">
        <v>26000</v>
      </c>
      <c r="F648" s="28" t="n">
        <v>26000</v>
      </c>
      <c r="G648" s="29" t="n">
        <v>0</v>
      </c>
      <c r="H648" s="29" t="n">
        <v>336</v>
      </c>
      <c r="I648" s="21" t="inlineStr">
        <is>
          <t>2023</t>
        </is>
      </c>
      <c r="J648" s="21" t="inlineStr">
        <is>
          <t xml:space="preserve"> 0</t>
        </is>
      </c>
      <c r="K648" s="30">
        <f>(E648-F648)/IF(E648&gt;0,E648,1)</f>
        <v/>
      </c>
    </row>
    <row r="649">
      <c r="A649" s="22" t="inlineStr">
        <is>
          <t>원리가 보이는 파이썬 빅데이터 분석 기초와 실습</t>
        </is>
      </c>
      <c r="B649" s="22" t="inlineStr">
        <is>
          <t>천세학</t>
        </is>
      </c>
      <c r="C649" s="22" t="inlineStr">
        <is>
          <t>한빛아카데미</t>
        </is>
      </c>
      <c r="D649" s="22" t="inlineStr">
        <is>
          <t>2023년 06월</t>
        </is>
      </c>
      <c r="E649" s="28" t="n">
        <v>28000</v>
      </c>
      <c r="F649" s="28" t="n">
        <v>28000</v>
      </c>
      <c r="G649" s="29" t="n">
        <v>1</v>
      </c>
      <c r="H649" s="29" t="n">
        <v>342</v>
      </c>
      <c r="I649" s="21" t="inlineStr">
        <is>
          <t>2023</t>
        </is>
      </c>
      <c r="J649" s="21" t="inlineStr">
        <is>
          <t xml:space="preserve"> 0</t>
        </is>
      </c>
      <c r="K649" s="30">
        <f>(E649-F649)/IF(E649&gt;0,E649,1)</f>
        <v/>
      </c>
    </row>
    <row r="650">
      <c r="A650" s="22" t="inlineStr">
        <is>
          <t>파이썬으로 배우는 인공지능 수학</t>
        </is>
      </c>
      <c r="B650" s="22" t="inlineStr">
        <is>
          <t>전태일, 이재광</t>
        </is>
      </c>
      <c r="C650" s="22" t="inlineStr">
        <is>
          <t>인피니티북스</t>
        </is>
      </c>
      <c r="D650" s="22" t="inlineStr">
        <is>
          <t>2023년 03월</t>
        </is>
      </c>
      <c r="E650" s="28" t="n">
        <v>32000</v>
      </c>
      <c r="F650" s="28" t="n">
        <v>32000</v>
      </c>
      <c r="G650" s="29" t="n">
        <v>0</v>
      </c>
      <c r="H650" s="29" t="n">
        <v>348</v>
      </c>
      <c r="I650" s="21" t="inlineStr">
        <is>
          <t>2023</t>
        </is>
      </c>
      <c r="J650" s="21" t="inlineStr">
        <is>
          <t xml:space="preserve"> 0</t>
        </is>
      </c>
      <c r="K650" s="30">
        <f>(E650-F650)/IF(E650&gt;0,E650,1)</f>
        <v/>
      </c>
    </row>
    <row r="651">
      <c r="A651" s="22" t="inlineStr">
        <is>
          <t>CMOS 디지털 집적회로 설계</t>
        </is>
      </c>
      <c r="B651" s="22" t="inlineStr">
        <is>
          <t>신경욱</t>
        </is>
      </c>
      <c r="C651" s="22" t="inlineStr">
        <is>
          <t>한빛아카데미</t>
        </is>
      </c>
      <c r="D651" s="22" t="inlineStr">
        <is>
          <t>2014년 05월</t>
        </is>
      </c>
      <c r="E651" s="28" t="n">
        <v>26000</v>
      </c>
      <c r="F651" s="28" t="n">
        <v>26000</v>
      </c>
      <c r="G651" s="29" t="n">
        <v>0</v>
      </c>
      <c r="H651" s="29" t="n">
        <v>348</v>
      </c>
      <c r="I651" s="21" t="inlineStr">
        <is>
          <t>2014</t>
        </is>
      </c>
      <c r="J651" s="21" t="inlineStr">
        <is>
          <t xml:space="preserve"> 0</t>
        </is>
      </c>
      <c r="K651" s="30">
        <f>(E651-F651)/IF(E651&gt;0,E651,1)</f>
        <v/>
      </c>
    </row>
    <row r="652">
      <c r="A652" s="22" t="inlineStr">
        <is>
          <t>대체 뭐가 문제야</t>
        </is>
      </c>
      <c r="B652" s="22" t="inlineStr">
        <is>
          <t>제럴드 M. 와인버그</t>
        </is>
      </c>
      <c r="C652" s="22" t="inlineStr">
        <is>
          <t>인사이트(insight)</t>
        </is>
      </c>
      <c r="D652" s="22" t="inlineStr">
        <is>
          <t>2013년 01월</t>
        </is>
      </c>
      <c r="E652" s="28" t="n">
        <v>11000</v>
      </c>
      <c r="F652" s="28" t="n">
        <v>9900</v>
      </c>
      <c r="G652" s="29" t="n">
        <v>4</v>
      </c>
      <c r="H652" s="29" t="n">
        <v>402</v>
      </c>
      <c r="I652" s="21" t="inlineStr">
        <is>
          <t>2013</t>
        </is>
      </c>
      <c r="J652" s="21" t="inlineStr">
        <is>
          <t xml:space="preserve"> 0</t>
        </is>
      </c>
      <c r="K652" s="30">
        <f>(E652-F652)/IF(E652&gt;0,E652,1)</f>
        <v/>
      </c>
    </row>
    <row r="653">
      <c r="A653" s="22" t="inlineStr">
        <is>
          <t>Do it! 딥러닝 교과서</t>
        </is>
      </c>
      <c r="B653" s="22" t="inlineStr">
        <is>
          <t>윤성진</t>
        </is>
      </c>
      <c r="C653" s="22" t="inlineStr">
        <is>
          <t>이지스퍼블리싱</t>
        </is>
      </c>
      <c r="D653" s="22" t="inlineStr">
        <is>
          <t>2021년 10월</t>
        </is>
      </c>
      <c r="E653" s="28" t="n">
        <v>28000</v>
      </c>
      <c r="F653" s="28" t="n">
        <v>25200</v>
      </c>
      <c r="G653" s="29" t="n">
        <v>13</v>
      </c>
      <c r="H653" s="29" t="n">
        <v>360</v>
      </c>
      <c r="I653" s="21" t="inlineStr">
        <is>
          <t>2021</t>
        </is>
      </c>
      <c r="J653" s="21" t="inlineStr">
        <is>
          <t xml:space="preserve"> 1</t>
        </is>
      </c>
      <c r="K653" s="30">
        <f>(E653-F653)/IF(E653&gt;0,E653,1)</f>
        <v/>
      </c>
    </row>
    <row r="654">
      <c r="A654" s="22" t="inlineStr">
        <is>
          <t>인공지능 첫걸음</t>
        </is>
      </c>
      <c r="B654" s="22" t="inlineStr">
        <is>
          <t>송유진</t>
        </is>
      </c>
      <c r="C654" s="22" t="inlineStr">
        <is>
          <t>연두에디션</t>
        </is>
      </c>
      <c r="D654" s="22" t="inlineStr">
        <is>
          <t>2026년 01월</t>
        </is>
      </c>
      <c r="E654" s="28" t="n">
        <v>26000</v>
      </c>
      <c r="F654" s="28" t="n">
        <v>26000</v>
      </c>
      <c r="G654" s="29" t="n">
        <v>0</v>
      </c>
      <c r="H654" s="29" t="n">
        <v>300</v>
      </c>
      <c r="I654" s="21" t="inlineStr">
        <is>
          <t>2026</t>
        </is>
      </c>
      <c r="J654" s="21" t="inlineStr">
        <is>
          <t xml:space="preserve"> 0</t>
        </is>
      </c>
      <c r="K654" s="30">
        <f>(E654-F654)/IF(E654&gt;0,E654,1)</f>
        <v/>
      </c>
    </row>
    <row r="655">
      <c r="A655" s="22" t="inlineStr">
        <is>
          <t>시작해요, 커서</t>
        </is>
      </c>
      <c r="B655" s="22" t="inlineStr">
        <is>
          <t>리브로웍스, 김성훈</t>
        </is>
      </c>
      <c r="C655" s="22" t="inlineStr">
        <is>
          <t>인사이트(insight)</t>
        </is>
      </c>
      <c r="D655" s="22" t="inlineStr">
        <is>
          <t>2025년 11월</t>
        </is>
      </c>
      <c r="E655" s="28" t="n">
        <v>22000</v>
      </c>
      <c r="F655" s="28" t="n">
        <v>19800</v>
      </c>
      <c r="G655" s="29" t="n">
        <v>26</v>
      </c>
      <c r="H655" s="29" t="n">
        <v>324</v>
      </c>
      <c r="I655" s="21" t="inlineStr">
        <is>
          <t>2025</t>
        </is>
      </c>
      <c r="J655" s="21" t="inlineStr">
        <is>
          <t xml:space="preserve"> 1</t>
        </is>
      </c>
      <c r="K655" s="30">
        <f>(E655-F655)/IF(E655&gt;0,E655,1)</f>
        <v/>
      </c>
    </row>
    <row r="656">
      <c r="A656" s="22" t="inlineStr">
        <is>
          <t>5초 안에 사로잡아라</t>
        </is>
      </c>
      <c r="B656" s="22" t="inlineStr">
        <is>
          <t>김정수</t>
        </is>
      </c>
      <c r="C656" s="22" t="inlineStr">
        <is>
          <t>비욘드북스</t>
        </is>
      </c>
      <c r="D656" s="22" t="inlineStr">
        <is>
          <t>2025년 09월</t>
        </is>
      </c>
      <c r="E656" s="28" t="n">
        <v>28000</v>
      </c>
      <c r="F656" s="28" t="n">
        <v>25200</v>
      </c>
      <c r="G656" s="29" t="n">
        <v>18</v>
      </c>
      <c r="H656" s="29" t="n">
        <v>342</v>
      </c>
      <c r="I656" s="21" t="inlineStr">
        <is>
          <t>2025</t>
        </is>
      </c>
      <c r="J656" s="21" t="inlineStr">
        <is>
          <t xml:space="preserve"> 0</t>
        </is>
      </c>
      <c r="K656" s="30">
        <f>(E656-F656)/IF(E656&gt;0,E656,1)</f>
        <v/>
      </c>
    </row>
    <row r="657">
      <c r="A657" s="22" t="inlineStr">
        <is>
          <t>AX 기획론</t>
        </is>
      </c>
      <c r="B657" s="22" t="inlineStr">
        <is>
          <t>노주환</t>
        </is>
      </c>
      <c r="C657" s="22" t="inlineStr">
        <is>
          <t>공존의미학</t>
        </is>
      </c>
      <c r="D657" s="22" t="inlineStr">
        <is>
          <t>2025년 05월</t>
        </is>
      </c>
      <c r="E657" s="28" t="n">
        <v>28000</v>
      </c>
      <c r="F657" s="28" t="n">
        <v>25200</v>
      </c>
      <c r="G657" s="29" t="n">
        <v>0</v>
      </c>
      <c r="H657" s="29" t="n">
        <v>306</v>
      </c>
      <c r="I657" s="21" t="inlineStr">
        <is>
          <t>2025</t>
        </is>
      </c>
      <c r="J657" s="21" t="inlineStr">
        <is>
          <t xml:space="preserve"> 0</t>
        </is>
      </c>
      <c r="K657" s="30">
        <f>(E657-F657)/IF(E657&gt;0,E657,1)</f>
        <v/>
      </c>
    </row>
    <row r="658">
      <c r="A658" s="22" t="inlineStr">
        <is>
          <t>CHAT GPT 도입으로 업무 혁신을 이끄는 방법</t>
        </is>
      </c>
      <c r="B658" s="22" t="inlineStr">
        <is>
          <t>임성기</t>
        </is>
      </c>
      <c r="C658" s="22" t="inlineStr">
        <is>
          <t>다큐페이스</t>
        </is>
      </c>
      <c r="D658" s="22" t="inlineStr">
        <is>
          <t>2023년 08월</t>
        </is>
      </c>
      <c r="E658" s="28" t="n">
        <v>17000</v>
      </c>
      <c r="F658" s="28" t="n">
        <v>15300</v>
      </c>
      <c r="G658" s="29" t="n">
        <v>2</v>
      </c>
      <c r="H658" s="29" t="n">
        <v>288</v>
      </c>
      <c r="I658" s="21" t="inlineStr">
        <is>
          <t>2023</t>
        </is>
      </c>
      <c r="J658" s="21" t="inlineStr">
        <is>
          <t xml:space="preserve"> 0</t>
        </is>
      </c>
      <c r="K658" s="30">
        <f>(E658-F658)/IF(E658&gt;0,E658,1)</f>
        <v/>
      </c>
    </row>
    <row r="659">
      <c r="A659" s="22" t="inlineStr">
        <is>
          <t>패턴인식</t>
        </is>
      </c>
      <c r="B659" s="22" t="inlineStr">
        <is>
          <t>오일석</t>
        </is>
      </c>
      <c r="C659" s="22" t="inlineStr">
        <is>
          <t>인피니티북스</t>
        </is>
      </c>
      <c r="D659" s="22" t="inlineStr">
        <is>
          <t>2023년 02월</t>
        </is>
      </c>
      <c r="E659" s="28" t="n">
        <v>33000</v>
      </c>
      <c r="F659" s="28" t="n">
        <v>33000</v>
      </c>
      <c r="G659" s="29" t="n">
        <v>0</v>
      </c>
      <c r="H659" s="29" t="n">
        <v>300</v>
      </c>
      <c r="I659" s="21" t="inlineStr">
        <is>
          <t>2023</t>
        </is>
      </c>
      <c r="J659" s="21" t="inlineStr">
        <is>
          <t xml:space="preserve"> 0</t>
        </is>
      </c>
      <c r="K659" s="30">
        <f>(E659-F659)/IF(E659&gt;0,E659,1)</f>
        <v/>
      </c>
    </row>
    <row r="660">
      <c r="A660" s="22" t="inlineStr">
        <is>
          <t>지능정보사회와 AI 윤리</t>
        </is>
      </c>
      <c r="B660" s="22" t="inlineStr">
        <is>
          <t>한국정보통신보안윤리학회</t>
        </is>
      </c>
      <c r="C660" s="22" t="inlineStr">
        <is>
          <t>배움터</t>
        </is>
      </c>
      <c r="D660" s="22" t="inlineStr">
        <is>
          <t>2021년 02월</t>
        </is>
      </c>
      <c r="E660" s="28" t="n">
        <v>19000</v>
      </c>
      <c r="F660" s="28" t="n">
        <v>19000</v>
      </c>
      <c r="G660" s="29" t="n">
        <v>2</v>
      </c>
      <c r="H660" s="29" t="n">
        <v>300</v>
      </c>
      <c r="I660" s="21" t="inlineStr">
        <is>
          <t>2021</t>
        </is>
      </c>
      <c r="J660" s="21" t="inlineStr">
        <is>
          <t xml:space="preserve"> 0</t>
        </is>
      </c>
      <c r="K660" s="30">
        <f>(E660-F660)/IF(E660&gt;0,E660,1)</f>
        <v/>
      </c>
    </row>
    <row r="661">
      <c r="A661" s="22" t="inlineStr">
        <is>
          <t>확률론적 로보틱스</t>
        </is>
      </c>
      <c r="B661" s="22" t="inlineStr">
        <is>
          <t>세바스찬 스런, 볼프람 부르가트, 디터 폭스, 남궁영환</t>
        </is>
      </c>
      <c r="C661" s="22" t="inlineStr">
        <is>
          <t>에이콘출판사</t>
        </is>
      </c>
      <c r="D661" s="22" t="inlineStr">
        <is>
          <t>2020년 06월</t>
        </is>
      </c>
      <c r="E661" s="28" t="n">
        <v>50000</v>
      </c>
      <c r="F661" s="28" t="n">
        <v>45000</v>
      </c>
      <c r="G661" s="29" t="n">
        <v>4</v>
      </c>
      <c r="H661" s="29" t="n">
        <v>348</v>
      </c>
      <c r="I661" s="21" t="inlineStr">
        <is>
          <t>2020</t>
        </is>
      </c>
      <c r="J661" s="21" t="inlineStr">
        <is>
          <t xml:space="preserve"> 0</t>
        </is>
      </c>
      <c r="K661" s="30">
        <f>(E661-F661)/IF(E661&gt;0,E661,1)</f>
        <v/>
      </c>
    </row>
    <row r="662">
      <c r="A662" s="22" t="inlineStr">
        <is>
          <t>AI와 함께 여는 글쓰기 교육의 미래</t>
        </is>
      </c>
      <c r="B662" s="22" t="inlineStr">
        <is>
          <t>양일동</t>
        </is>
      </c>
      <c r="C662" s="22" t="inlineStr">
        <is>
          <t>지식과감성#</t>
        </is>
      </c>
      <c r="D662" s="22" t="inlineStr">
        <is>
          <t>2025년 09월</t>
        </is>
      </c>
      <c r="E662" s="28" t="n">
        <v>23000</v>
      </c>
      <c r="F662" s="28" t="n">
        <v>20700</v>
      </c>
      <c r="G662" s="29" t="n">
        <v>6</v>
      </c>
      <c r="H662" s="29" t="n">
        <v>438</v>
      </c>
      <c r="I662" s="21" t="inlineStr">
        <is>
          <t>2025</t>
        </is>
      </c>
      <c r="J662" s="21" t="inlineStr">
        <is>
          <t xml:space="preserve"> 0</t>
        </is>
      </c>
      <c r="K662" s="30">
        <f>(E662-F662)/IF(E662&gt;0,E662,1)</f>
        <v/>
      </c>
    </row>
    <row r="663">
      <c r="A663" s="22" t="inlineStr">
        <is>
          <t>업무 효율이 10배 오르는 챗GPT X 엑셀 활용법</t>
        </is>
      </c>
      <c r="B663" s="22" t="inlineStr">
        <is>
          <t>다케이 가즈미, 구수영</t>
        </is>
      </c>
      <c r="C663" s="22" t="inlineStr">
        <is>
          <t>AK(에이케이 커뮤니케이션즈)</t>
        </is>
      </c>
      <c r="D663" s="22" t="inlineStr">
        <is>
          <t>2024년 12월</t>
        </is>
      </c>
      <c r="E663" s="28" t="n">
        <v>19800</v>
      </c>
      <c r="F663" s="28" t="n">
        <v>18810</v>
      </c>
      <c r="G663" s="29" t="n">
        <v>0</v>
      </c>
      <c r="H663" s="29" t="n">
        <v>318</v>
      </c>
      <c r="I663" s="21" t="inlineStr">
        <is>
          <t>2024</t>
        </is>
      </c>
      <c r="J663" s="21" t="inlineStr">
        <is>
          <t xml:space="preserve"> 1</t>
        </is>
      </c>
      <c r="K663" s="30">
        <f>(E663-F663)/IF(E663&gt;0,E663,1)</f>
        <v/>
      </c>
    </row>
    <row r="664">
      <c r="A664" s="22" t="inlineStr">
        <is>
          <t>챗GPT 제미나이 업무활용 마스터키트</t>
        </is>
      </c>
      <c r="B664" s="22" t="inlineStr">
        <is>
          <t>백경석</t>
        </is>
      </c>
      <c r="C664" s="22" t="inlineStr">
        <is>
          <t>에이아이마스터</t>
        </is>
      </c>
      <c r="D664" s="22" t="inlineStr">
        <is>
          <t>2025년 01월</t>
        </is>
      </c>
      <c r="E664" s="28" t="n">
        <v>33000</v>
      </c>
      <c r="F664" s="28" t="n">
        <v>29700</v>
      </c>
      <c r="G664" s="29" t="n">
        <v>0</v>
      </c>
      <c r="H664" s="29" t="n">
        <v>330</v>
      </c>
      <c r="I664" s="21" t="inlineStr">
        <is>
          <t>2025</t>
        </is>
      </c>
      <c r="J664" s="21" t="inlineStr">
        <is>
          <t xml:space="preserve"> 0</t>
        </is>
      </c>
      <c r="K664" s="30">
        <f>(E664-F664)/IF(E664&gt;0,E664,1)</f>
        <v/>
      </c>
    </row>
    <row r="665">
      <c r="A665" s="22" t="inlineStr">
        <is>
          <t>AI 트랜스포메이션(AX)</t>
        </is>
      </c>
      <c r="B665" s="22" t="inlineStr">
        <is>
          <t>임정혁</t>
        </is>
      </c>
      <c r="C665" s="22" t="inlineStr">
        <is>
          <t>포아이알미디어</t>
        </is>
      </c>
      <c r="D665" s="22" t="inlineStr">
        <is>
          <t>2025년 10월</t>
        </is>
      </c>
      <c r="E665" s="28" t="n">
        <v>33000</v>
      </c>
      <c r="F665" s="28" t="n">
        <v>29700</v>
      </c>
      <c r="G665" s="29" t="n">
        <v>0</v>
      </c>
      <c r="H665" s="29" t="n">
        <v>402</v>
      </c>
      <c r="I665" s="21" t="inlineStr">
        <is>
          <t>2025</t>
        </is>
      </c>
      <c r="J665" s="21" t="inlineStr">
        <is>
          <t xml:space="preserve"> 1</t>
        </is>
      </c>
      <c r="K665" s="30">
        <f>(E665-F665)/IF(E665&gt;0,E665,1)</f>
        <v/>
      </c>
    </row>
    <row r="666">
      <c r="A666" s="22" t="inlineStr">
        <is>
          <t>인공지능 법과 윤리</t>
        </is>
      </c>
      <c r="B666" s="22" t="inlineStr">
        <is>
          <t>김명훈</t>
        </is>
      </c>
      <c r="C666" s="22" t="inlineStr">
        <is>
          <t>길벗캠퍼스</t>
        </is>
      </c>
      <c r="D666" s="22" t="inlineStr">
        <is>
          <t>2024년 12월</t>
        </is>
      </c>
      <c r="E666" s="28" t="n">
        <v>29500</v>
      </c>
      <c r="F666" s="28" t="n">
        <v>29500</v>
      </c>
      <c r="G666" s="29" t="n">
        <v>2</v>
      </c>
      <c r="H666" s="29" t="n">
        <v>282</v>
      </c>
      <c r="I666" s="21" t="inlineStr">
        <is>
          <t>2024</t>
        </is>
      </c>
      <c r="J666" s="21" t="inlineStr">
        <is>
          <t xml:space="preserve"> 1</t>
        </is>
      </c>
      <c r="K666" s="30">
        <f>(E666-F666)/IF(E666&gt;0,E666,1)</f>
        <v/>
      </c>
    </row>
    <row r="667">
      <c r="A667" s="22" t="inlineStr">
        <is>
          <t>밀리터리 인공지능 리터러시</t>
        </is>
      </c>
      <c r="B667" s="22" t="inlineStr">
        <is>
          <t>정현식</t>
        </is>
      </c>
      <c r="C667" s="22" t="inlineStr">
        <is>
          <t>좋은땅</t>
        </is>
      </c>
      <c r="D667" s="22" t="inlineStr">
        <is>
          <t>2025년 10월</t>
        </is>
      </c>
      <c r="E667" s="28" t="n">
        <v>17000</v>
      </c>
      <c r="F667" s="28" t="n">
        <v>15300</v>
      </c>
      <c r="G667" s="29" t="n">
        <v>1</v>
      </c>
      <c r="H667" s="29" t="n">
        <v>408</v>
      </c>
      <c r="I667" s="21" t="inlineStr">
        <is>
          <t>2025</t>
        </is>
      </c>
      <c r="J667" s="21" t="inlineStr">
        <is>
          <t xml:space="preserve"> 1</t>
        </is>
      </c>
      <c r="K667" s="30">
        <f>(E667-F667)/IF(E667&gt;0,E667,1)</f>
        <v/>
      </c>
    </row>
    <row r="668">
      <c r="A668" s="22" t="inlineStr">
        <is>
          <t>5차원 AI</t>
        </is>
      </c>
      <c r="B668" s="22" t="inlineStr">
        <is>
          <t>원동연, 민진홍</t>
        </is>
      </c>
      <c r="C668" s="22" t="inlineStr">
        <is>
          <t>성안당</t>
        </is>
      </c>
      <c r="D668" s="22" t="inlineStr">
        <is>
          <t>2025년 04월</t>
        </is>
      </c>
      <c r="E668" s="28" t="n">
        <v>23000</v>
      </c>
      <c r="F668" s="28" t="n">
        <v>20700</v>
      </c>
      <c r="G668" s="29" t="n">
        <v>49</v>
      </c>
      <c r="H668" s="29" t="n">
        <v>282</v>
      </c>
      <c r="I668" s="21" t="inlineStr">
        <is>
          <t>2025</t>
        </is>
      </c>
      <c r="J668" s="21" t="inlineStr">
        <is>
          <t xml:space="preserve"> 0</t>
        </is>
      </c>
      <c r="K668" s="30">
        <f>(E668-F668)/IF(E668&gt;0,E668,1)</f>
        <v/>
      </c>
    </row>
    <row r="669">
      <c r="A669" s="22" t="inlineStr">
        <is>
          <t>AI 대전환 시대, 질문을 디자인하라</t>
        </is>
      </c>
      <c r="B669" s="22" t="inlineStr">
        <is>
          <t>김기진</t>
        </is>
      </c>
      <c r="C669" s="22" t="inlineStr">
        <is>
          <t>에릭스토리</t>
        </is>
      </c>
      <c r="D669" s="22" t="inlineStr">
        <is>
          <t>2025년 04월</t>
        </is>
      </c>
      <c r="E669" s="28" t="n">
        <v>15000</v>
      </c>
      <c r="F669" s="28" t="n">
        <v>13500</v>
      </c>
      <c r="G669" s="29" t="n">
        <v>1</v>
      </c>
      <c r="H669" s="29" t="n">
        <v>252</v>
      </c>
      <c r="I669" s="21" t="inlineStr">
        <is>
          <t>2025</t>
        </is>
      </c>
      <c r="J669" s="21" t="inlineStr">
        <is>
          <t xml:space="preserve"> 0</t>
        </is>
      </c>
      <c r="K669" s="30">
        <f>(E669-F669)/IF(E669&gt;0,E669,1)</f>
        <v/>
      </c>
    </row>
    <row r="670">
      <c r="A670" s="22" t="inlineStr">
        <is>
          <t>포토샵 with AI</t>
        </is>
      </c>
      <c r="B670" s="22" t="inlineStr">
        <is>
          <t>이문형</t>
        </is>
      </c>
      <c r="C670" s="22" t="inlineStr">
        <is>
          <t>길벗캠퍼스</t>
        </is>
      </c>
      <c r="D670" s="22" t="inlineStr">
        <is>
          <t>2024년 12월</t>
        </is>
      </c>
      <c r="E670" s="28" t="n">
        <v>28000</v>
      </c>
      <c r="F670" s="28" t="n">
        <v>28000</v>
      </c>
      <c r="G670" s="29" t="n">
        <v>2</v>
      </c>
      <c r="H670" s="29" t="n">
        <v>264</v>
      </c>
      <c r="I670" s="21" t="inlineStr">
        <is>
          <t>2024</t>
        </is>
      </c>
      <c r="J670" s="21" t="inlineStr">
        <is>
          <t xml:space="preserve"> 1</t>
        </is>
      </c>
      <c r="K670" s="30">
        <f>(E670-F670)/IF(E670&gt;0,E670,1)</f>
        <v/>
      </c>
    </row>
    <row r="671">
      <c r="A671" s="22" t="inlineStr">
        <is>
          <t>생성형 AI 영상 제작 : 영화·애니메이션·광고·PPT·유튜브까지</t>
        </is>
      </c>
      <c r="B671" s="22" t="inlineStr">
        <is>
          <t>김세원</t>
        </is>
      </c>
      <c r="C671" s="22" t="inlineStr">
        <is>
          <t>책바세</t>
        </is>
      </c>
      <c r="D671" s="22" t="inlineStr">
        <is>
          <t>2024년 07월</t>
        </is>
      </c>
      <c r="E671" s="28" t="n">
        <v>24000</v>
      </c>
      <c r="F671" s="28" t="n">
        <v>21600</v>
      </c>
      <c r="G671" s="29" t="n">
        <v>7</v>
      </c>
      <c r="H671" s="29" t="n">
        <v>264</v>
      </c>
      <c r="I671" s="21" t="inlineStr">
        <is>
          <t>2024</t>
        </is>
      </c>
      <c r="J671" s="21" t="inlineStr">
        <is>
          <t xml:space="preserve"> 0</t>
        </is>
      </c>
      <c r="K671" s="30">
        <f>(E671-F671)/IF(E671&gt;0,E671,1)</f>
        <v/>
      </c>
    </row>
    <row r="672">
      <c r="A672" s="22" t="inlineStr">
        <is>
          <t>데일리 프롬프트 101</t>
        </is>
      </c>
      <c r="B672" s="22" t="inlineStr">
        <is>
          <t>최소영</t>
        </is>
      </c>
      <c r="C672" s="22" t="inlineStr">
        <is>
          <t>루비페이퍼</t>
        </is>
      </c>
      <c r="D672" s="22" t="inlineStr">
        <is>
          <t>2024년 04월</t>
        </is>
      </c>
      <c r="E672" s="28" t="n">
        <v>20000</v>
      </c>
      <c r="F672" s="28" t="n">
        <v>18000</v>
      </c>
      <c r="G672" s="29" t="n">
        <v>11</v>
      </c>
      <c r="H672" s="29" t="n">
        <v>300</v>
      </c>
      <c r="I672" s="21" t="inlineStr">
        <is>
          <t>2024</t>
        </is>
      </c>
      <c r="J672" s="21" t="inlineStr">
        <is>
          <t xml:space="preserve"> 0</t>
        </is>
      </c>
      <c r="K672" s="30">
        <f>(E672-F672)/IF(E672&gt;0,E672,1)</f>
        <v/>
      </c>
    </row>
    <row r="673">
      <c r="A673" s="23" t="inlineStr">
        <is>
          <t>합계 및 평균 요약</t>
        </is>
      </c>
      <c r="B673" s="31" t="n"/>
      <c r="C673" s="31" t="n"/>
      <c r="D673" s="31" t="n"/>
      <c r="E673" s="25">
        <f>AVERAGE(E2:E672)</f>
        <v/>
      </c>
      <c r="F673" s="25">
        <f>AVERAGE(F2:F672)</f>
        <v/>
      </c>
      <c r="G673" s="24">
        <f>SUM(G2:G672)</f>
        <v/>
      </c>
      <c r="H673" s="24">
        <f>SUM(H2:H672)</f>
        <v/>
      </c>
      <c r="I673" s="31" t="n"/>
      <c r="J673" s="31" t="n"/>
      <c r="K673" s="26">
        <f>AVERAGE(K2:K672)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2026-07-15T04:35:46Z</dcterms:created>
  <dcterms:modified xmlns:dcterms="http://purl.org/dc/terms/" xmlns:xsi="http://www.w3.org/2001/XMLSchema-instance" xsi:type="dcterms:W3CDTF">2026-07-15T04:35:46Z</dcterms:modified>
</cp:coreProperties>
</file>